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0"/>
  <workbookPr codeName="ThisWorkbook"/>
  <mc:AlternateContent xmlns:mc="http://schemas.openxmlformats.org/markup-compatibility/2006">
    <mc:Choice Requires="x15">
      <x15ac:absPath xmlns:x15ac="http://schemas.microsoft.com/office/spreadsheetml/2010/11/ac" url="https://nexstrom.sharepoint.com/sites/Technical/Shared Documents/General/Weekly Report/2D Summary/"/>
    </mc:Choice>
  </mc:AlternateContent>
  <xr:revisionPtr revIDLastSave="0" documentId="8_{4188492A-24DC-4084-B426-57A19839F836}" xr6:coauthVersionLast="47" xr6:coauthVersionMax="47" xr10:uidLastSave="{00000000-0000-0000-0000-000000000000}"/>
  <bookViews>
    <workbookView minimized="1" xWindow="2120" yWindow="2120" windowWidth="14400" windowHeight="8170" firstSheet="5" activeTab="5" xr2:uid="{0DA201DC-A70B-4DAA-83BF-EDBEA62F3558}"/>
  </bookViews>
  <sheets>
    <sheet name="Milestone" sheetId="26" r:id="rId1"/>
    <sheet name="HA_Schedule" sheetId="14" state="hidden" r:id="rId2"/>
    <sheet name="WorkShift_W633" sheetId="36" r:id="rId3"/>
    <sheet name="WorkShift_W634" sheetId="35" r:id="rId4"/>
    <sheet name="HA_SplitTable" sheetId="20" r:id="rId5"/>
    <sheet name="VB_SplitTable" sheetId="33" r:id="rId6"/>
    <sheet name="VA_SplitTable" sheetId="22" r:id="rId7"/>
    <sheet name="QUAD_Schedule" sheetId="16" state="hidden" r:id="rId8"/>
    <sheet name="SEP_List" sheetId="27" r:id="rId9"/>
    <sheet name="Sample Request" sheetId="34" r:id="rId10"/>
    <sheet name="QUAD_SplitTable" sheetId="23" r:id="rId11"/>
  </sheets>
  <definedNames>
    <definedName name="_xlnm._FilterDatabase" localSheetId="4" hidden="1">HA_SplitTable!$A$1:$AE$2</definedName>
    <definedName name="_xlnm._FilterDatabase" localSheetId="6" hidden="1">VA_SplitTable!$A$1:$AF$1</definedName>
    <definedName name="_xlnm._FilterDatabase" localSheetId="5" hidden="1">VB_SplitTable!$A$1:$AI$67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34" l="1"/>
  <c r="I4" i="34"/>
  <c r="I5" i="34"/>
  <c r="I3" i="34"/>
  <c r="I2" i="34"/>
  <c r="J2" i="34"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<sst xmlns="http://schemas.openxmlformats.org/spreadsheetml/2006/main" count="13377" uniqueCount="3146">
  <si>
    <t>Quarters</t>
  </si>
  <si>
    <t>Q1</t>
  </si>
  <si>
    <t>Q2</t>
  </si>
  <si>
    <t>Q3</t>
  </si>
  <si>
    <t>Month</t>
  </si>
  <si>
    <t>March</t>
  </si>
  <si>
    <t>April</t>
  </si>
  <si>
    <t>May</t>
  </si>
  <si>
    <t>June</t>
  </si>
  <si>
    <t>July</t>
  </si>
  <si>
    <t>August</t>
  </si>
  <si>
    <t>September</t>
  </si>
  <si>
    <t>Week</t>
  </si>
  <si>
    <t>Goal</t>
  </si>
  <si>
    <t>User</t>
  </si>
  <si>
    <t>W611</t>
  </si>
  <si>
    <t>W612</t>
  </si>
  <si>
    <t>W613</t>
  </si>
  <si>
    <t>W614</t>
  </si>
  <si>
    <t>W615</t>
  </si>
  <si>
    <t>W616</t>
  </si>
  <si>
    <t>W617</t>
  </si>
  <si>
    <t>W618</t>
  </si>
  <si>
    <t>W619</t>
  </si>
  <si>
    <t>W620</t>
  </si>
  <si>
    <t>W621</t>
  </si>
  <si>
    <t>W622</t>
  </si>
  <si>
    <t>W623</t>
  </si>
  <si>
    <t>W624</t>
  </si>
  <si>
    <t>W625</t>
  </si>
  <si>
    <t>W626</t>
  </si>
  <si>
    <t>W627</t>
  </si>
  <si>
    <t>W628</t>
  </si>
  <si>
    <t>W629</t>
  </si>
  <si>
    <t>W630</t>
  </si>
  <si>
    <t>W631</t>
  </si>
  <si>
    <t>W632</t>
  </si>
  <si>
    <t>W633</t>
  </si>
  <si>
    <t>W634</t>
  </si>
  <si>
    <t>W635</t>
  </si>
  <si>
    <t>W636</t>
  </si>
  <si>
    <t>W637</t>
  </si>
  <si>
    <t>W638</t>
  </si>
  <si>
    <t>QUAD</t>
  </si>
  <si>
    <t>4" SC MoS2</t>
  </si>
  <si>
    <t>YM / AY</t>
  </si>
  <si>
    <t>(1) Monolayer, 5um (CS2), Random Orientation, Coverage 40%​
(2) SH V4 system onboarded</t>
  </si>
  <si>
    <t>Compare and Decide Sulfur precursor – H2S vs. CS2
H2S Deliverable first and CS2 as the backup</t>
  </si>
  <si>
    <t>~5 um domain size 
&gt;80% Cov.</t>
  </si>
  <si>
    <t xml:space="preserve">95% Coverage, &gt;10 um </t>
  </si>
  <si>
    <t>SC, &gt;95% Coverage, &gt;10 um
Electrical Properties ?</t>
  </si>
  <si>
    <t>Remove bottom plate SH for longer mixing path</t>
  </si>
  <si>
    <t>Back to 2-plate SH, repeat previous baseline</t>
  </si>
  <si>
    <t>grain ~500nm
orientation &gt;80%</t>
  </si>
  <si>
    <r>
      <rPr>
        <sz val="12"/>
        <color rgb="FF000000"/>
        <rFont val="Aptos Narrow"/>
        <family val="2"/>
        <scheme val="minor"/>
      </rPr>
      <t xml:space="preserve">grain ~1um
</t>
    </r>
    <r>
      <rPr>
        <sz val="12"/>
        <color rgb="FFFF0000"/>
        <rFont val="Aptos Narrow"/>
        <family val="2"/>
        <scheme val="minor"/>
      </rPr>
      <t>orientation &gt;50%</t>
    </r>
  </si>
  <si>
    <t>grain ~1um
orientation &gt;80%</t>
  </si>
  <si>
    <t>Mo intermediate temperature scanning</t>
  </si>
  <si>
    <t xml:space="preserve">alternate
chemical reaction </t>
  </si>
  <si>
    <t>increase boundary layer</t>
  </si>
  <si>
    <t>VM</t>
  </si>
  <si>
    <t>Customer Sample Preparations / Low T</t>
  </si>
  <si>
    <t>SM / JK</t>
  </si>
  <si>
    <t xml:space="preserve">Jk hand over to Shi-Ming </t>
  </si>
  <si>
    <t>VA</t>
  </si>
  <si>
    <t>Bilayer 
Sample Preparations</t>
  </si>
  <si>
    <t>LY / Hayden / AY</t>
  </si>
  <si>
    <t>bilayers, 5um</t>
  </si>
  <si>
    <t>Bilayer Evaluation (WO3 vs. W foil)</t>
  </si>
  <si>
    <t>1L &gt; 95% cov.  PL ~35nm</t>
  </si>
  <si>
    <t>CIP / Device Testing</t>
  </si>
  <si>
    <t>1L Cov.&gt; 95%, PL &lt;35nm, Grain &gt;10um
TSMC Monolayer Sample Preparation</t>
  </si>
  <si>
    <t>1L SC, Cov.&gt; 95%, PL &lt;35nm, Grain &gt;10um</t>
  </si>
  <si>
    <t>Build Monoalyer Baseline for TSMC samples</t>
  </si>
  <si>
    <t>Prepare TSMC samples and Report</t>
  </si>
  <si>
    <r>
      <rPr>
        <sz val="12"/>
        <color rgb="FF000000"/>
        <rFont val="Aptos Narrow"/>
        <family val="2"/>
        <scheme val="minor"/>
      </rPr>
      <t>Stock Monolayer samples (</t>
    </r>
    <r>
      <rPr>
        <b/>
        <sz val="12"/>
        <color rgb="FF000000"/>
        <rFont val="Aptos Narrow"/>
        <family val="2"/>
        <scheme val="minor"/>
      </rPr>
      <t>IMEC:6</t>
    </r>
    <r>
      <rPr>
        <sz val="12"/>
        <color rgb="FF000000"/>
        <rFont val="Aptos Narrow"/>
        <family val="2"/>
        <scheme val="minor"/>
      </rPr>
      <t>, TSMC: TBD)</t>
    </r>
  </si>
  <si>
    <t>Build bilayer baseline</t>
  </si>
  <si>
    <t>Stock bilayer samples</t>
  </si>
  <si>
    <t>HA2</t>
  </si>
  <si>
    <t>Monolayer
Customer Sample</t>
  </si>
  <si>
    <t>build Monolayer baseline and 
Prepare customers' samples</t>
  </si>
  <si>
    <t>HA</t>
  </si>
  <si>
    <t>CY / JK</t>
  </si>
  <si>
    <t>5~10 layers, 0.5um</t>
  </si>
  <si>
    <t>Establish Monolayer baseline (1um, 1L w/ 30% cover., and multilayer flakes )</t>
  </si>
  <si>
    <t>1L, cov. 50%, ​ domain &gt; 10um​</t>
  </si>
  <si>
    <t>1L, cov. 80%,  &gt; 10um​, PL &lt; 35nm</t>
  </si>
  <si>
    <t>1L, cov. 95%, &gt; 10um​, PL &lt; 35nm
Safely and Precisely control Br
Can WSe2 grow on low T?</t>
  </si>
  <si>
    <t>Can W(CO)6 + Br grow WSe2?
evaluate W(CO)6 vs. WO3</t>
  </si>
  <si>
    <t>Upgrade system for Br exploratory</t>
  </si>
  <si>
    <r>
      <rPr>
        <sz val="12"/>
        <color rgb="FFFF0000"/>
        <rFont val="Aptos Narrow"/>
        <family val="2"/>
        <scheme val="minor"/>
      </rPr>
      <t xml:space="preserve">Establish HT baseline:
</t>
    </r>
    <r>
      <rPr>
        <sz val="12"/>
        <color rgb="FF000000"/>
        <rFont val="Aptos Narrow"/>
        <family val="2"/>
        <scheme val="minor"/>
      </rPr>
      <t xml:space="preserve">W(CO)6 + Br +O2
</t>
    </r>
    <r>
      <rPr>
        <b/>
        <sz val="12"/>
        <color rgb="FF000000"/>
        <rFont val="Aptos Narrow"/>
        <family val="2"/>
        <scheme val="minor"/>
      </rPr>
      <t>O2 is crucial for 1L; Domain ~1um</t>
    </r>
  </si>
  <si>
    <t>Br Cleaning  pathway</t>
  </si>
  <si>
    <t>upgrade system to 1L growth</t>
  </si>
  <si>
    <t xml:space="preserve">Large Bilayer Film   </t>
  </si>
  <si>
    <t>DUO</t>
  </si>
  <si>
    <t>Layer-by-Layer development</t>
  </si>
  <si>
    <t>Frank / AY / JK</t>
  </si>
  <si>
    <t xml:space="preserve">prepare to start from W613 </t>
  </si>
  <si>
    <t>WSe2 monolayer Growth</t>
  </si>
  <si>
    <t>Temp Nucleation</t>
  </si>
  <si>
    <t>Defect + Temperature
Effect</t>
  </si>
  <si>
    <t>2" Annealing Test</t>
  </si>
  <si>
    <t>Finalize annealing methodology</t>
  </si>
  <si>
    <t>LBL: W(CO)6 +Se
bilayer grain&gt;1um, Cov. &gt;95%</t>
  </si>
  <si>
    <t>electrical performance</t>
  </si>
  <si>
    <t>LBL: 3L growth</t>
  </si>
  <si>
    <t>Single Crystal WSe2 via substrate modification</t>
  </si>
  <si>
    <t>CFD</t>
  </si>
  <si>
    <t>SM/AY</t>
  </si>
  <si>
    <t>VA Fluid Geometry</t>
  </si>
  <si>
    <t>HA Fluid Geometry</t>
  </si>
  <si>
    <t>VA/HA Chemical Reaction</t>
  </si>
  <si>
    <t>QUAD Chemical Reaction</t>
  </si>
  <si>
    <t>Pending</t>
  </si>
  <si>
    <t>4" and 12" flow geometry (low fidelity)</t>
  </si>
  <si>
    <t>4" flow geometry (low fidelity)</t>
  </si>
  <si>
    <t xml:space="preserve">Hammerhead 
SH flow </t>
  </si>
  <si>
    <t>Build workflow:
fluent to chemkin</t>
  </si>
  <si>
    <t>optimize workflow on HW
understand growth mechanism</t>
  </si>
  <si>
    <t>12" CWCVD</t>
  </si>
  <si>
    <t>Installation</t>
  </si>
  <si>
    <t>Functional Testing</t>
  </si>
  <si>
    <t>Process Tuning</t>
  </si>
  <si>
    <t>HA Milestone</t>
  </si>
  <si>
    <t>Progress</t>
  </si>
  <si>
    <t>Plan</t>
  </si>
  <si>
    <t>Note</t>
  </si>
  <si>
    <t>Feb</t>
  </si>
  <si>
    <t>W606</t>
  </si>
  <si>
    <t>Br Cleaning</t>
  </si>
  <si>
    <t>Br can effective react with W. Either clean the coating or bring out more W source during growth</t>
  </si>
  <si>
    <t>The conclusions are revised based on W609's results. The dominant reaction is WO3 + Br2 over 500°C.</t>
  </si>
  <si>
    <t>W607</t>
  </si>
  <si>
    <t>W+Br Pathfinding</t>
  </si>
  <si>
    <t>1. Observe growth behaviour and reproducibility.
2. Check the contamination and clean strategy.</t>
  </si>
  <si>
    <r>
      <rPr>
        <sz val="12"/>
        <color rgb="FF000000"/>
        <rFont val="Aptos Narrow"/>
        <family val="2"/>
        <scheme val="minor"/>
      </rPr>
      <t xml:space="preserve">1. Bromine (Br) residuals originated primarily from the graphite holder.
2. The use of a quartz holder eliminated detectable Br residuals.
3. The effect of residual Br on the process is minor.
</t>
    </r>
    <r>
      <rPr>
        <b/>
        <sz val="12"/>
        <color rgb="FFFF0000"/>
        <rFont val="Aptos Narrow"/>
        <family val="2"/>
        <scheme val="minor"/>
      </rPr>
      <t>Issue: Fresh W foil can growth, but somehow reused W is poissioned.</t>
    </r>
  </si>
  <si>
    <t xml:space="preserve">1. W foil located at 700°C temperature zone, reacts with Br2.
2. Run dummy run and H2-cleaning process.
3. Use AFM to check the early-stage nucleation.				</t>
  </si>
  <si>
    <t>W608</t>
  </si>
  <si>
    <t>Observe growth behaviour and compare with last week's result.</t>
  </si>
  <si>
    <t>1. Locate the W foil 800°C-890°C zone. 
2. Repeat W608 experiments.</t>
  </si>
  <si>
    <t>W609</t>
  </si>
  <si>
    <t>Multilayer WSe2</t>
  </si>
  <si>
    <t>Set up bilayer recipe for TSMC sample preparations.</t>
  </si>
  <si>
    <r>
      <rPr>
        <b/>
        <sz val="12"/>
        <color theme="1"/>
        <rFont val="Aptos Narrow"/>
        <family val="2"/>
        <scheme val="minor"/>
      </rPr>
      <t xml:space="preserve">1. Vacuum Action and Root Cause Identification: </t>
    </r>
    <r>
      <rPr>
        <sz val="12"/>
        <color theme="1"/>
        <rFont val="Aptos Narrow"/>
        <family val="2"/>
        <scheme val="minor"/>
      </rPr>
      <t xml:space="preserve"> Confirmed O2 residue was NOT the cause of growth cessation, while the surface state depletion was the primary failure mode. 
</t>
    </r>
    <r>
      <rPr>
        <b/>
        <sz val="12"/>
        <color theme="1"/>
        <rFont val="Aptos Narrow"/>
        <family val="2"/>
        <scheme val="minor"/>
      </rPr>
      <t>2. Mechanism Breakthrough:</t>
    </r>
    <r>
      <rPr>
        <sz val="12"/>
        <color theme="1"/>
        <rFont val="Aptos Narrow"/>
        <family val="2"/>
        <scheme val="minor"/>
      </rPr>
      <t xml:space="preserve"> Verified that WO3-terminated surfaces react efficiently with Br2 at 600°C, while pure W-metal is inactive. Summarize the difference between the W&amp;WO3 source and the Br2&amp;H2O transport agents.
</t>
    </r>
    <r>
      <rPr>
        <b/>
        <sz val="12"/>
        <color theme="1"/>
        <rFont val="Aptos Narrow"/>
        <family val="2"/>
        <scheme val="minor"/>
      </rPr>
      <t>3. Understand the WBrx mechanism:</t>
    </r>
    <r>
      <rPr>
        <sz val="12"/>
        <color theme="1"/>
        <rFont val="Aptos Narrow"/>
        <family val="2"/>
        <scheme val="minor"/>
      </rPr>
      <t xml:space="preserve"> </t>
    </r>
    <r>
      <rPr>
        <b/>
        <sz val="12"/>
        <color theme="1"/>
        <rFont val="Aptos Narrow"/>
        <family val="2"/>
        <scheme val="minor"/>
      </rPr>
      <t>WBr2</t>
    </r>
    <r>
      <rPr>
        <sz val="12"/>
        <color theme="1"/>
        <rFont val="Aptos Narrow"/>
        <family val="2"/>
        <scheme val="minor"/>
      </rPr>
      <t xml:space="preserve"> dominates at higher temperatures, but it's non-volatile. WOx+Br2→ WO2Br2  is the main reaction for producing intermediate.
</t>
    </r>
    <r>
      <rPr>
        <b/>
        <sz val="12"/>
        <color theme="1"/>
        <rFont val="Aptos Narrow"/>
        <family val="2"/>
        <scheme val="minor"/>
      </rPr>
      <t>4. System Recovery via cleaning:</t>
    </r>
    <r>
      <rPr>
        <sz val="12"/>
        <color theme="1"/>
        <rFont val="Aptos Narrow"/>
        <family val="2"/>
        <scheme val="minor"/>
      </rPr>
      <t xml:space="preserve"> Standardized the H2/H2O cleaning cycle to eliminate WSe2&amp;WOxBry memory effects; verified "zero-growth" baseline via Dummy Run.
</t>
    </r>
    <r>
      <rPr>
        <b/>
        <sz val="12"/>
        <color rgb="FFFF0000"/>
        <rFont val="Aptos Narrow"/>
        <family val="2"/>
        <scheme val="minor"/>
      </rPr>
      <t>Issue: Pump vacuum level increases to 1.3Torr.</t>
    </r>
    <r>
      <rPr>
        <sz val="12"/>
        <color theme="1"/>
        <rFont val="Aptos Narrow"/>
        <family val="2"/>
        <scheme val="minor"/>
      </rPr>
      <t xml:space="preserve">
</t>
    </r>
  </si>
  <si>
    <r>
      <rPr>
        <b/>
        <sz val="12"/>
        <color rgb="FF0070C0"/>
        <rFont val="Aptos Display"/>
        <family val="2"/>
        <scheme val="major"/>
      </rPr>
      <t xml:space="preserve">W+Br Route
</t>
    </r>
    <r>
      <rPr>
        <sz val="12"/>
        <color rgb="FF000000"/>
        <rFont val="Aptos Display"/>
        <family val="2"/>
        <scheme val="major"/>
      </rPr>
      <t>1. Verify the root cause for growth decay.
2. Explore the W&amp;Br2 reaction mechanism.</t>
    </r>
  </si>
  <si>
    <t>W610</t>
  </si>
  <si>
    <t>Upgrade Br Controller system</t>
  </si>
  <si>
    <r>
      <rPr>
        <b/>
        <sz val="12"/>
        <color theme="1"/>
        <rFont val="Aptos Narrow"/>
        <family val="2"/>
        <scheme val="minor"/>
      </rPr>
      <t>1. Change pump:</t>
    </r>
    <r>
      <rPr>
        <sz val="12"/>
        <color theme="1"/>
        <rFont val="Aptos Narrow"/>
        <family val="2"/>
        <scheme val="minor"/>
      </rPr>
      <t xml:space="preserve"> Replaced the degraded oil pump.
</t>
    </r>
    <r>
      <rPr>
        <b/>
        <sz val="12"/>
        <color theme="1"/>
        <rFont val="Aptos Narrow"/>
        <family val="2"/>
        <scheme val="minor"/>
      </rPr>
      <t>2. Low-Temp Kinetic Study:</t>
    </r>
    <r>
      <rPr>
        <sz val="12"/>
        <color theme="1"/>
        <rFont val="Aptos Narrow"/>
        <family val="2"/>
        <scheme val="minor"/>
      </rPr>
      <t xml:space="preserve"> Conducted growth at 400°C &amp; 500°C to prove WBr5 stability. Observed black particles with NO WSe2 signal, confirming low residence time/fast desorption of WBr5. 
</t>
    </r>
    <r>
      <rPr>
        <b/>
        <sz val="12"/>
        <color theme="1"/>
        <rFont val="Aptos Narrow"/>
        <family val="2"/>
        <scheme val="minor"/>
      </rPr>
      <t xml:space="preserve">3. Precursor Optimization: </t>
    </r>
    <r>
      <rPr>
        <sz val="12"/>
        <color theme="1"/>
        <rFont val="Aptos Narrow"/>
        <family val="2"/>
        <scheme val="minor"/>
      </rPr>
      <t xml:space="preserve">Theoretical calculations prioritize WO2Br2 as the ideal intermediate. Conducted O2 variable tests (1, 0.5, 0 sccm); confirmed excess O2 causes etching of WSe2. 
</t>
    </r>
    <r>
      <rPr>
        <sz val="12"/>
        <color rgb="FFFF0000"/>
        <rFont val="Aptos Narrow"/>
        <family val="2"/>
        <scheme val="minor"/>
      </rPr>
      <t>System upgrade: Br2 PC installation.</t>
    </r>
  </si>
  <si>
    <t>1. Change to a new pump and check the vacuum issue.
2. Conduct low-temperature growth (set at 400°C). Verify the stability and reactivity of WBr6/WBr5 intermediates. 
3. Compare the intermediates WBrx&amp;WO2Br2 and establish a plan for the cold-wall system.
4. Upgrade system. Install a PC for Br2. (Mar 6th)</t>
  </si>
  <si>
    <t>multilayer WSe2 film (&lt;10 layers)</t>
  </si>
  <si>
    <t>1. System Upgrade: Successfully integrated an MFC for precise Br2 delivery.
2. Oxidized W-Foil Trials: Performed growth runs using oxidized W-foil with 5 sccm and 15 sccm Br2 carrier gas. Observed excessive deposition (dark wafer) and thick-layer WSe2 formation. 
3. Conditions Tuning: Shifted W-foil to a lower temperature zone (700°C→600°C) and reduced growth time (15 min→5 min). Results showed reduced thickness but persistent thick-layer flakes on the monolayer.</t>
  </si>
  <si>
    <t>WO3+Br2→WO2Br2 intermediate verification
1. Find bilayer window.
2. Check the effect of oxidation degree.</t>
  </si>
  <si>
    <t>WCO6+Br</t>
  </si>
  <si>
    <t>few-layer WSe2 film (1~3 layers)</t>
  </si>
  <si>
    <r>
      <rPr>
        <b/>
        <sz val="12"/>
        <color theme="1"/>
        <rFont val="Aptos Narrow"/>
        <family val="2"/>
        <scheme val="minor"/>
      </rPr>
      <t>1. W source Replace.</t>
    </r>
    <r>
      <rPr>
        <sz val="12"/>
        <color theme="1"/>
        <rFont val="Aptos Narrow"/>
        <family val="2"/>
        <scheme val="minor"/>
      </rPr>
      <t xml:space="preserve"> Replaced W-foil with WO3 powder. Confirmed WO3 powder as a more controllable and sustainable W-source without passivation issues. 
</t>
    </r>
    <r>
      <rPr>
        <b/>
        <sz val="12"/>
        <color theme="1"/>
        <rFont val="Aptos Narrow"/>
        <family val="2"/>
        <scheme val="minor"/>
      </rPr>
      <t>2. Precursor Ratio Tuning:</t>
    </r>
    <r>
      <rPr>
        <sz val="12"/>
        <color theme="1"/>
        <rFont val="Aptos Narrow"/>
        <family val="2"/>
        <scheme val="minor"/>
      </rPr>
      <t xml:space="preserve"> Achieved near-full coverage of the first monolayer within a 5-minute growth window by increasing the Se/W ratio. 
</t>
    </r>
    <r>
      <rPr>
        <b/>
        <sz val="12"/>
        <color theme="1"/>
        <rFont val="Aptos Narrow"/>
        <family val="2"/>
        <scheme val="minor"/>
      </rPr>
      <t>3. Cooling Process:</t>
    </r>
    <r>
      <rPr>
        <sz val="12"/>
        <color theme="1"/>
        <rFont val="Aptos Narrow"/>
        <family val="2"/>
        <scheme val="minor"/>
      </rPr>
      <t xml:space="preserve"> Verified that maintaining H2Se flow during the ramp-down is critical for film formation.
</t>
    </r>
  </si>
  <si>
    <t>1. WO3 powder utilization. (position)
2. Decrease Br2 vapors.
3. Se/W ratio fine-tuning.</t>
  </si>
  <si>
    <t>Build and Optimize Monolayer Baseline</t>
  </si>
  <si>
    <t>1L, cov. 50%, ​domain &gt; 10um​</t>
  </si>
  <si>
    <r>
      <rPr>
        <b/>
        <sz val="12"/>
        <color theme="1"/>
        <rFont val="Aptos Narrow"/>
        <family val="2"/>
        <scheme val="minor"/>
      </rPr>
      <t>1. Installed a Chiller for the Br2 container.</t>
    </r>
    <r>
      <rPr>
        <sz val="12"/>
        <color theme="1"/>
        <rFont val="Aptos Narrow"/>
        <family val="2"/>
        <scheme val="minor"/>
      </rPr>
      <t xml:space="preserve"> Confirmed that lowering the source temperature effectively reduces Br2 transport agent flux, significantly suppressing thick-layer formation.
</t>
    </r>
    <r>
      <rPr>
        <b/>
        <sz val="12"/>
        <color theme="1"/>
        <rFont val="Aptos Narrow"/>
        <family val="2"/>
        <scheme val="minor"/>
      </rPr>
      <t>2. Increased the distance</t>
    </r>
    <r>
      <rPr>
        <sz val="12"/>
        <color theme="1"/>
        <rFont val="Aptos Narrow"/>
        <family val="2"/>
        <scheme val="minor"/>
      </rPr>
      <t xml:space="preserve"> between the substrate and the inner tube outlet. Observed a noticeable increase in flake size and overall crystalline quality.
3. New furnace tube and showerhead installation.
</t>
    </r>
    <r>
      <rPr>
        <sz val="12"/>
        <color rgb="FFFF0000"/>
        <rFont val="Aptos Narrow"/>
        <family val="2"/>
        <scheme val="minor"/>
      </rPr>
      <t>Achieve monolayer flakes with PL~31nm.</t>
    </r>
  </si>
  <si>
    <t xml:space="preserve">1. System upgrade: showerhead installation.
2. Wafer position fine-tuning.
</t>
  </si>
  <si>
    <t>1. H2Se pretreatment.
2. System upgrade: add Br bubbler</t>
  </si>
  <si>
    <t>2. Upgraded (anti-corrisive)
3. XPS
4. Electrical Device
1. planned
5. W(CO)6 + O2 +Br = WO2Br2
6. WBr6 + O2 = WO2Br2</t>
  </si>
  <si>
    <t>1L, cov. 95%, &gt; 10um​, PL &lt; 35nm</t>
  </si>
  <si>
    <t>Tablet Press Machine Arrive</t>
  </si>
  <si>
    <t>W(CO)₆ + Br/O₂ Pathfinding (HT)</t>
  </si>
  <si>
    <t>Establish HT baseline:
W(CO)6 + Br +O2
grain &gt;5um, PL&lt;40nm; reproduciblity</t>
  </si>
  <si>
    <t>Does it introduce Br/O contamination?
Does Br/O2 improve W delivery?
Reproduciblity</t>
  </si>
  <si>
    <t>High-quality growth confirmation:
grain &gt;10um, PL&lt;35nm; merged film for device; Br contamination</t>
  </si>
  <si>
    <t>Achievable grain size?
How is the quality?
Film continuity?</t>
  </si>
  <si>
    <t>HT demonstration sample (device);
Can achieve unidirectional control?</t>
  </si>
  <si>
    <t>Does Br/O2 disturb sapphire surface passivation?
Can the process reach &gt;80% single orientation?</t>
  </si>
  <si>
    <t>W(CO)₆ + Br/O₂ Pathfinding (LT)</t>
  </si>
  <si>
    <t xml:space="preserve">LT scouting:
W(CO)6 + Br +O2 or W(CO)6 + Br </t>
  </si>
  <si>
    <t>Can crystalline WSe2 be formed below 400 °C?
Is direct low-T SiO2 growth realistic? Or need to be a specific template</t>
  </si>
  <si>
    <t>W639</t>
  </si>
  <si>
    <t>Q4</t>
  </si>
  <si>
    <t>October</t>
  </si>
  <si>
    <t>W640</t>
  </si>
  <si>
    <t>W641</t>
  </si>
  <si>
    <t>W642</t>
  </si>
  <si>
    <t>W643</t>
  </si>
  <si>
    <t>November</t>
  </si>
  <si>
    <t>W644</t>
  </si>
  <si>
    <t>W645</t>
  </si>
  <si>
    <t>W646</t>
  </si>
  <si>
    <t>W647</t>
  </si>
  <si>
    <t>W648</t>
  </si>
  <si>
    <t>December</t>
  </si>
  <si>
    <t>W649</t>
  </si>
  <si>
    <t>W650</t>
  </si>
  <si>
    <t>W651</t>
  </si>
  <si>
    <t>W652</t>
  </si>
  <si>
    <t>Monday (8/10)</t>
  </si>
  <si>
    <t>Tuesday (8/11)</t>
  </si>
  <si>
    <t>Wednesday (8/12)</t>
  </si>
  <si>
    <t>Thursday (8/13)</t>
  </si>
  <si>
    <t xml:space="preserve">Friday (8/14) </t>
  </si>
  <si>
    <t>Satursday (8/15)</t>
  </si>
  <si>
    <t>Sunday (8/16)</t>
  </si>
  <si>
    <t>N</t>
  </si>
  <si>
    <t>P</t>
  </si>
  <si>
    <t>Early Morning</t>
  </si>
  <si>
    <t>Morning</t>
  </si>
  <si>
    <t>Afternoon</t>
  </si>
  <si>
    <t>Evening</t>
  </si>
  <si>
    <t>Color Code</t>
  </si>
  <si>
    <t>On Leave</t>
  </si>
  <si>
    <t xml:space="preserve">AHU &amp; Exhaust </t>
  </si>
  <si>
    <t>10/15 ~ 10/29</t>
  </si>
  <si>
    <t>AY</t>
  </si>
  <si>
    <t>LY</t>
  </si>
  <si>
    <t>CY</t>
  </si>
  <si>
    <t>YM</t>
  </si>
  <si>
    <t>JK</t>
  </si>
  <si>
    <t>HW</t>
  </si>
  <si>
    <t>PM</t>
  </si>
  <si>
    <t>Monday (8/17)</t>
  </si>
  <si>
    <t>Tuesday (8/18)</t>
  </si>
  <si>
    <t>Wednesday (8/19)</t>
  </si>
  <si>
    <t>Thursday (8/20)</t>
  </si>
  <si>
    <t xml:space="preserve">Friday (8/21) </t>
  </si>
  <si>
    <t>Satursday (8/22)</t>
  </si>
  <si>
    <t>Sunday (8/23)</t>
  </si>
  <si>
    <t>WaferID</t>
  </si>
  <si>
    <t>Baseline</t>
  </si>
  <si>
    <t>Date</t>
  </si>
  <si>
    <t>Purpose</t>
  </si>
  <si>
    <t>T</t>
  </si>
  <si>
    <t>Ar in</t>
  </si>
  <si>
    <t>Ar out</t>
  </si>
  <si>
    <t>W source</t>
  </si>
  <si>
    <t>W PC</t>
  </si>
  <si>
    <t>H2O</t>
  </si>
  <si>
    <t>W T</t>
  </si>
  <si>
    <t>Oxidize</t>
  </si>
  <si>
    <t>H2Se</t>
  </si>
  <si>
    <t>O2</t>
  </si>
  <si>
    <t>H2</t>
  </si>
  <si>
    <t>Br</t>
  </si>
  <si>
    <t>Br T</t>
  </si>
  <si>
    <t>Spin</t>
  </si>
  <si>
    <t>Dist.</t>
  </si>
  <si>
    <t>Time</t>
  </si>
  <si>
    <t>Pretr.</t>
  </si>
  <si>
    <t>Posttr.</t>
  </si>
  <si>
    <t>Coat</t>
  </si>
  <si>
    <t>1inch</t>
  </si>
  <si>
    <t>Pulse</t>
  </si>
  <si>
    <t>Remark</t>
  </si>
  <si>
    <t>Result_Comment</t>
  </si>
  <si>
    <t>Issue</t>
  </si>
  <si>
    <t>Result_OM</t>
  </si>
  <si>
    <t>Result_PL</t>
  </si>
  <si>
    <t>LA/E2g</t>
  </si>
  <si>
    <t>FWHM</t>
  </si>
  <si>
    <t>Result_Raman</t>
  </si>
  <si>
    <t>torr</t>
  </si>
  <si>
    <t>˚C</t>
  </si>
  <si>
    <t>sccm</t>
  </si>
  <si>
    <t>run after oxidation</t>
  </si>
  <si>
    <t>in/out</t>
  </si>
  <si>
    <t>rpm</t>
  </si>
  <si>
    <t>cm</t>
  </si>
  <si>
    <t>min</t>
  </si>
  <si>
    <t>cycle</t>
  </si>
  <si>
    <t>relative intensity</t>
  </si>
  <si>
    <t>E2g</t>
  </si>
  <si>
    <t>HAAA01</t>
  </si>
  <si>
    <t>HA1P012603001</t>
  </si>
  <si>
    <t>Verify WBr5 intermediate.</t>
  </si>
  <si>
    <t>foil, 5mm*25mm</t>
  </si>
  <si>
    <t>/</t>
  </si>
  <si>
    <t>quartz boat</t>
  </si>
  <si>
    <t>NA</t>
  </si>
  <si>
    <t>tube</t>
  </si>
  <si>
    <t>W foil is treated with H2 reduction.</t>
  </si>
  <si>
    <t xml:space="preserve">Wafer became light dark. </t>
  </si>
  <si>
    <t>OM shows black particles.</t>
  </si>
  <si>
    <t>HAAA02</t>
  </si>
  <si>
    <t>HA1P012603002</t>
  </si>
  <si>
    <t xml:space="preserve">The waferdeeper dark. </t>
  </si>
  <si>
    <t>HAAA03</t>
  </si>
  <si>
    <t>HA1P012603003</t>
  </si>
  <si>
    <r>
      <t>W+O2+Br2</t>
    </r>
    <r>
      <rPr>
        <b/>
        <sz val="11"/>
        <color theme="1"/>
        <rFont val="Aptos Narrow"/>
        <family val="2"/>
      </rPr>
      <t>→</t>
    </r>
    <r>
      <rPr>
        <b/>
        <sz val="11"/>
        <color theme="1"/>
        <rFont val="Calibri"/>
        <family val="2"/>
      </rPr>
      <t xml:space="preserve">WO2Br2
</t>
    </r>
    <r>
      <rPr>
        <sz val="11"/>
        <color theme="1"/>
        <rFont val="Calibri"/>
        <family val="2"/>
      </rPr>
      <t>intermediate verification
O2 effect</t>
    </r>
  </si>
  <si>
    <t>The foil is obviously oxidized.</t>
  </si>
  <si>
    <t>HAAA04</t>
  </si>
  <si>
    <t>HA1P012603004</t>
  </si>
  <si>
    <t>Small flakes (&lt;1um) and black particles.</t>
  </si>
  <si>
    <t>HAAA05</t>
  </si>
  <si>
    <t>HA1P012603005</t>
  </si>
  <si>
    <t>Obvious back diffuse in innertube.</t>
  </si>
  <si>
    <t>HAAA06</t>
  </si>
  <si>
    <t>HA1P012603006</t>
  </si>
  <si>
    <t>H2&amp;H2O cleaning</t>
  </si>
  <si>
    <t>HAAA07</t>
  </si>
  <si>
    <t>HA1P012603007</t>
  </si>
  <si>
    <t>Verify the Ozone treatment for W foil.</t>
  </si>
  <si>
    <t>foil, 15mm*25mm</t>
  </si>
  <si>
    <r>
      <rPr>
        <b/>
        <sz val="11"/>
        <color rgb="FFFF0000"/>
        <rFont val="Calibri"/>
        <family val="2"/>
      </rPr>
      <t>W foil 1</t>
    </r>
    <r>
      <rPr>
        <sz val="11"/>
        <color rgb="FFFF0000"/>
        <rFont val="Calibri"/>
        <family val="2"/>
      </rPr>
      <t>: Ozone 60mins treatment W foil.</t>
    </r>
  </si>
  <si>
    <t>No growth.</t>
  </si>
  <si>
    <t>HAAA08</t>
  </si>
  <si>
    <t>HA1P012603008</t>
  </si>
  <si>
    <r>
      <rPr>
        <b/>
        <sz val="11"/>
        <color theme="1"/>
        <rFont val="Calibri"/>
        <family val="2"/>
      </rPr>
      <t>W foil 2</t>
    </r>
    <r>
      <rPr>
        <sz val="11"/>
        <color theme="1"/>
        <rFont val="Calibri"/>
        <family val="2"/>
      </rPr>
      <t>: Ozone 60mins treatment W foil.</t>
    </r>
  </si>
  <si>
    <t>No growth. Not the H2 effect.</t>
  </si>
  <si>
    <t>HAAA09</t>
  </si>
  <si>
    <t>HA1P012603009</t>
  </si>
  <si>
    <r>
      <rPr>
        <b/>
        <sz val="11"/>
        <color rgb="FFFF0000"/>
        <rFont val="Calibri"/>
        <family val="2"/>
      </rPr>
      <t xml:space="preserve">W foil 3: </t>
    </r>
    <r>
      <rPr>
        <sz val="11"/>
        <color rgb="FFFF0000"/>
        <rFont val="Calibri"/>
        <family val="2"/>
      </rPr>
      <t>Origin W foil.</t>
    </r>
  </si>
  <si>
    <t>No growth. W foil difference.</t>
  </si>
  <si>
    <t>HAAA10</t>
  </si>
  <si>
    <t>HA1P012603010</t>
  </si>
  <si>
    <t>O2 treatment process verification</t>
  </si>
  <si>
    <t>O2-treatment 700˚C 20min</t>
  </si>
  <si>
    <t>W foil 3.</t>
  </si>
  <si>
    <t>HAAA11</t>
  </si>
  <si>
    <t>HA1P012603011</t>
  </si>
  <si>
    <t xml:space="preserve">No growth. </t>
  </si>
  <si>
    <t>HAAA12</t>
  </si>
  <si>
    <t>HA1P012603012</t>
  </si>
  <si>
    <t>O2-treatment 850˚C 20min</t>
  </si>
  <si>
    <t>Obvious WO3 Raman signal.</t>
  </si>
  <si>
    <t>HAAA13</t>
  </si>
  <si>
    <t>HA1P012603013</t>
  </si>
  <si>
    <t>W foil 3. H2 used up.</t>
  </si>
  <si>
    <t>For controllable Br2.</t>
  </si>
  <si>
    <t>Br MFC installation.</t>
  </si>
  <si>
    <t>BCl3 10sccm MFC for Br2. (equal to Ar 33sccm)</t>
  </si>
  <si>
    <t>0.05mm foil, 5mm*50mm</t>
  </si>
  <si>
    <t>1sccm O2 &amp; 50sccm 150Torr H2O</t>
  </si>
  <si>
    <t>Br2 refill.</t>
  </si>
  <si>
    <t>vacuum&amp;purge.</t>
  </si>
  <si>
    <t>HAAB00</t>
  </si>
  <si>
    <r>
      <rPr>
        <b/>
        <sz val="11"/>
        <color theme="1"/>
        <rFont val="Calibri"/>
        <family val="2"/>
      </rPr>
      <t>WO3+Br2→WO2Br2</t>
    </r>
    <r>
      <rPr>
        <sz val="11"/>
        <color theme="1"/>
        <rFont val="Calibri"/>
        <family val="2"/>
      </rPr>
      <t xml:space="preserve">
intermediate verification
WOx degree effect</t>
    </r>
  </si>
  <si>
    <t>1st</t>
  </si>
  <si>
    <t>The furnace gets a dark coating at the inner tube exit.</t>
  </si>
  <si>
    <t>The wafer becomes dark. Too much growth.</t>
  </si>
  <si>
    <t>1sccm O2 -&gt; 50sccm 150Torr H2O</t>
  </si>
  <si>
    <t>The black coting becomes white.</t>
  </si>
  <si>
    <t>HAAB01</t>
  </si>
  <si>
    <t>HAAB01_postcln</t>
  </si>
  <si>
    <t>1sccm O2 20min -&gt; 3sccm Br2 5min -&gt; 20sccm H2</t>
  </si>
  <si>
    <t>The black coting becomes white (WO3).</t>
  </si>
  <si>
    <t>HAAB02</t>
  </si>
  <si>
    <t>2nd</t>
  </si>
  <si>
    <t>HAAB02_postcln1</t>
  </si>
  <si>
    <t>Cleaning process</t>
  </si>
  <si>
    <t>1sccm O2 20min -&gt; 3sccm Br2 15min -&gt; 50sccm H2</t>
  </si>
  <si>
    <t>Not working, still has W coating</t>
  </si>
  <si>
    <t>HAAB02_postcln2</t>
  </si>
  <si>
    <t>5sccm O2 20min -&gt; 3sccm Br2 15min -&gt; 50sccm H2 20min</t>
  </si>
  <si>
    <t>HAAB02_postcln3</t>
  </si>
  <si>
    <t>5sccm O2 + 10sccm Br2 30min -&gt; 50sccm H2</t>
  </si>
  <si>
    <t>HAAB02_postcln4</t>
  </si>
  <si>
    <t>3sccm Br2</t>
  </si>
  <si>
    <t>HAAB03_dummy</t>
  </si>
  <si>
    <t>HAAB04</t>
  </si>
  <si>
    <r>
      <rPr>
        <b/>
        <sz val="11"/>
        <color theme="1"/>
        <rFont val="Calibri"/>
        <family val="2"/>
      </rPr>
      <t>WO3+Br2→WO2Br2</t>
    </r>
    <r>
      <rPr>
        <sz val="11"/>
        <color theme="1"/>
        <rFont val="Calibri"/>
        <family val="2"/>
      </rPr>
      <t xml:space="preserve">
intermediate verification
W temp. effect</t>
    </r>
  </si>
  <si>
    <t>3rd</t>
  </si>
  <si>
    <t>Clean wafer.</t>
  </si>
  <si>
    <t>HAAB05</t>
  </si>
  <si>
    <t>4th</t>
  </si>
  <si>
    <t>HAAB06</t>
  </si>
  <si>
    <t>5th</t>
  </si>
  <si>
    <t>same conditions with HAAB02</t>
  </si>
  <si>
    <t>HAAB07</t>
  </si>
  <si>
    <t>6th</t>
  </si>
  <si>
    <t>forget to open Br2 valve</t>
  </si>
  <si>
    <t>HAAB08</t>
  </si>
  <si>
    <t>7th</t>
  </si>
  <si>
    <t>HAAB08_postcln</t>
  </si>
  <si>
    <t>5sccm O2 20min</t>
  </si>
  <si>
    <t>HAAB09</t>
  </si>
  <si>
    <t>WOx surface effect</t>
  </si>
  <si>
    <t>8th</t>
  </si>
  <si>
    <t>HAAB10</t>
  </si>
  <si>
    <t>9th</t>
  </si>
  <si>
    <t>HAAB11</t>
  </si>
  <si>
    <t>10th</t>
  </si>
  <si>
    <t>HAAB11_postcln</t>
  </si>
  <si>
    <t>furnace cleaning and Foil oxidation.</t>
  </si>
  <si>
    <t>HAAB12</t>
  </si>
  <si>
    <r>
      <t xml:space="preserve">WO3+Br2→WO2Br2
</t>
    </r>
    <r>
      <rPr>
        <sz val="11"/>
        <color theme="1"/>
        <rFont val="Calibri"/>
        <family val="2"/>
      </rPr>
      <t>intermediate verification
W temp. effect</t>
    </r>
  </si>
  <si>
    <t>HAAB13</t>
  </si>
  <si>
    <t>HAAB14</t>
  </si>
  <si>
    <t>HAAB14_postcln</t>
  </si>
  <si>
    <t>5sccm O2 20min -&gt;700˚C Br 3sccm 10min</t>
  </si>
  <si>
    <t>HABA00</t>
  </si>
  <si>
    <t>WO3 powder precursor</t>
  </si>
  <si>
    <t>WO3 powder, 0.014g</t>
  </si>
  <si>
    <t>Change to WO3 powder source.</t>
  </si>
  <si>
    <t>HABA01</t>
  </si>
  <si>
    <t>WO3 powder, 0.017g</t>
  </si>
  <si>
    <t>HABA02</t>
  </si>
  <si>
    <r>
      <t xml:space="preserve">WO3 powder, </t>
    </r>
    <r>
      <rPr>
        <sz val="11"/>
        <color rgb="FFFF0000"/>
        <rFont val="Calibri"/>
        <family val="2"/>
      </rPr>
      <t>0.33g</t>
    </r>
  </si>
  <si>
    <t>HABA02_postcln</t>
  </si>
  <si>
    <t>HABA03</t>
  </si>
  <si>
    <t>increase WO3</t>
  </si>
  <si>
    <t>WO3 0.33g, open, 2cm</t>
  </si>
  <si>
    <t>Increase WO3 by fully opeing</t>
  </si>
  <si>
    <t xml:space="preserve">Center/dount: WO3 paticle film, edge: WSe2 particles </t>
  </si>
  <si>
    <t>could be H2Se is not sufficient and flow into Wafer center/dount</t>
  </si>
  <si>
    <t>HABA04</t>
  </si>
  <si>
    <t>increase H2Se</t>
  </si>
  <si>
    <t>1sccm H2Se</t>
  </si>
  <si>
    <t>Increase H2Se 2-&gt;4 and Ar(out) 150 -&gt;180</t>
  </si>
  <si>
    <t xml:space="preserve">Lower half: multilayer WSe2 film; Upper half: 1~multilayer w/ 1um domain </t>
  </si>
  <si>
    <t>could be WO3 amount is too much --&gt; lower WO3 temp</t>
  </si>
  <si>
    <t>HABA04_postcln</t>
  </si>
  <si>
    <t>HABA05</t>
  </si>
  <si>
    <t>lower WO3 temp</t>
  </si>
  <si>
    <t>WO3 0.33g, open, 0cm</t>
  </si>
  <si>
    <t>Change the trap filter after this run.</t>
  </si>
  <si>
    <t>The first layer is almost fully grown, get orientation.</t>
  </si>
  <si>
    <t>HABA06</t>
  </si>
  <si>
    <t>lower Br2 flow</t>
  </si>
  <si>
    <t>Further decrease W/Se ratio.</t>
  </si>
  <si>
    <t>No growth if no H2Se during cooling.</t>
  </si>
  <si>
    <t>HABA07</t>
  </si>
  <si>
    <t>H2Se and Br set values have issues</t>
  </si>
  <si>
    <t xml:space="preserve">Small multilayer flake growth. </t>
  </si>
  <si>
    <t>HABA07_postcln</t>
  </si>
  <si>
    <t>HABA08</t>
  </si>
  <si>
    <t>Repeat BA07</t>
  </si>
  <si>
    <t>2sccm H2Se</t>
  </si>
  <si>
    <t xml:space="preserve">Dard red--&gt; monolayer w/ mutilayer flakes.  Light red--&gt; flake growth </t>
  </si>
  <si>
    <t>HABB00</t>
  </si>
  <si>
    <t>Lower Br2 vapor.</t>
  </si>
  <si>
    <t>Chiller for Br2 tank.</t>
  </si>
  <si>
    <t>Most areas still have mutilayer flakes. But the edge is cleaner. </t>
  </si>
  <si>
    <t>lots of black particles --&gt; The H2Se pretreatment should help.</t>
  </si>
  <si>
    <t>HABB00_postcln</t>
  </si>
  <si>
    <t>HABB01</t>
  </si>
  <si>
    <t>2sccm H2Se 5min</t>
  </si>
  <si>
    <t>It might be caused by the vapor accumulation in the tank.</t>
  </si>
  <si>
    <t>Multilayer flakes and WO3 rods.</t>
  </si>
  <si>
    <t>HABB02</t>
  </si>
  <si>
    <t>Increase the homogeneity.</t>
  </si>
  <si>
    <t>Monolayer round flake growth. -&gt; It might be H2-etching effect.</t>
  </si>
  <si>
    <t>FWHM: 31~38nm</t>
  </si>
  <si>
    <t>HABB03</t>
  </si>
  <si>
    <t>Decrease the etching.</t>
  </si>
  <si>
    <t>The shape doesn’t change with H2 decreasing.</t>
  </si>
  <si>
    <t>&lt;1um monolayer round flakes</t>
  </si>
  <si>
    <t>FWHM: 35~39nm</t>
  </si>
  <si>
    <t>HABB03_postcln</t>
  </si>
  <si>
    <t>HABB04</t>
  </si>
  <si>
    <t>Check H2 effect.</t>
  </si>
  <si>
    <t xml:space="preserve">The 1st run of every day has more multilayer flakes and worse PL FWHM. </t>
  </si>
  <si>
    <t>HABB05</t>
  </si>
  <si>
    <t>Extend time.</t>
  </si>
  <si>
    <t>Extending growth time leads to a worse quality. (PL 37-Over50)  The round flake might be caused by the Se/W ratio.</t>
  </si>
  <si>
    <t>Achieve an almost fully merged monolayer film by increasing growth time.</t>
  </si>
  <si>
    <t>HABC00</t>
  </si>
  <si>
    <t>Test the homogeneity after system upgrade</t>
  </si>
  <si>
    <t>New tube &amp; showerhead installation; Br2 bypass</t>
  </si>
  <si>
    <t>More black particles and thick nucleis after installing the showerhead.</t>
  </si>
  <si>
    <t>The wafer has hole distributions.</t>
  </si>
  <si>
    <t>HABC01</t>
  </si>
  <si>
    <t>Decrease thick nuleis.</t>
  </si>
  <si>
    <t>HABC02</t>
  </si>
  <si>
    <t>H2 delay 5 min</t>
  </si>
  <si>
    <t>5min Br+H2Se 
5min Br+H2Se+H2</t>
  </si>
  <si>
    <t xml:space="preserve">Small flakes with bad PL. </t>
  </si>
  <si>
    <t>HABC03</t>
  </si>
  <si>
    <t>repeat BC02 w/o delay</t>
  </si>
  <si>
    <t>HABC03_postcln</t>
  </si>
  <si>
    <t>Cleaning process looks good</t>
  </si>
  <si>
    <t>Tube is very clean, but WO3 looks yellow-blue (not sure it was like this previsouly)</t>
  </si>
  <si>
    <t>HABC04</t>
  </si>
  <si>
    <t>Upgrade Br vent -&gt; before Throttle valve</t>
  </si>
  <si>
    <t>H2 cyliner is running low</t>
  </si>
  <si>
    <t>uniform film, cov. 80%~90%, samll domain &lt;0.5um, PL looks okay</t>
  </si>
  <si>
    <t>HABC05</t>
  </si>
  <si>
    <t>decrease Br flow 3 --&gt; 1.5 and increase time 5 --&gt; 10</t>
  </si>
  <si>
    <t>HABC06</t>
  </si>
  <si>
    <t>repeat HABA03</t>
  </si>
  <si>
    <t>HABC07</t>
  </si>
  <si>
    <t>HABC08</t>
  </si>
  <si>
    <t>Lots of thick nuleations.</t>
  </si>
  <si>
    <t>Caused by the accumulation of Br2 vapor in the tank.</t>
  </si>
  <si>
    <t>HABC08_postcln</t>
  </si>
  <si>
    <t>HABC09</t>
  </si>
  <si>
    <t>repeat HABC03</t>
  </si>
  <si>
    <t>HABC10</t>
  </si>
  <si>
    <t>verify H2 stability.</t>
  </si>
  <si>
    <t>HABC11</t>
  </si>
  <si>
    <t>Decrease Br2 vapor.</t>
  </si>
  <si>
    <t>Mutilayer small flake growth.</t>
  </si>
  <si>
    <t>HABC12</t>
  </si>
  <si>
    <t>No growth. Clean wafer.</t>
  </si>
  <si>
    <t>HABC12_postcln</t>
  </si>
  <si>
    <t>HABC13</t>
  </si>
  <si>
    <t>decrease Br flow 3 --&gt; 2</t>
  </si>
  <si>
    <t>open Br at 30 sec transition</t>
  </si>
  <si>
    <t>cov.&gt;70% but domain is 1um</t>
  </si>
  <si>
    <t>Br early in</t>
  </si>
  <si>
    <t>HABC14</t>
  </si>
  <si>
    <t>decrease H2 flow 10 -&gt; 0</t>
  </si>
  <si>
    <t>No growth --&gt; hydrogen is necessary, can play as cut off</t>
  </si>
  <si>
    <t>HABC15</t>
  </si>
  <si>
    <t>stepwise Br flow 1.5 --&gt; 3</t>
  </si>
  <si>
    <t>1.5-&gt;3</t>
  </si>
  <si>
    <t>stepwise Br, increase 0.1 every 20 sec</t>
  </si>
  <si>
    <t>HABC16</t>
  </si>
  <si>
    <t>stepwise H2 flow 0 --&gt; 10</t>
  </si>
  <si>
    <t>0-&gt;10</t>
  </si>
  <si>
    <t>stepwise H2, increase 1 every 30 sec</t>
  </si>
  <si>
    <t>HABC17</t>
  </si>
  <si>
    <t>repeat HABC13 w/ heated MFC</t>
  </si>
  <si>
    <t>HABD00</t>
  </si>
  <si>
    <t>check bubbler effect</t>
  </si>
  <si>
    <t>Add Br2 bubbler.</t>
  </si>
  <si>
    <t>HABD01</t>
  </si>
  <si>
    <t>Small flakes &lt;1um</t>
  </si>
  <si>
    <t>HABD02</t>
  </si>
  <si>
    <t>Repeat HABD01 to check the reproducibility of bubbler.</t>
  </si>
  <si>
    <t>Little growth. Wafer color is lighter than HABD01.</t>
  </si>
  <si>
    <t>HABD03</t>
  </si>
  <si>
    <t>Check reproducibility</t>
  </si>
  <si>
    <t>Almost No Growth.</t>
  </si>
  <si>
    <t>HABD04</t>
  </si>
  <si>
    <t>Change WO3 powder</t>
  </si>
  <si>
    <t>WO3 0.35g, open, 0cm</t>
  </si>
  <si>
    <t>Thick and small WSe2 flakes.</t>
  </si>
  <si>
    <t>HABD05</t>
  </si>
  <si>
    <t>repeat HABD04</t>
  </si>
  <si>
    <t>Fully merged film with black particles.</t>
  </si>
  <si>
    <t>HABD06</t>
  </si>
  <si>
    <t>decrease Br2 flow</t>
  </si>
  <si>
    <t>HABD06_postcln</t>
  </si>
  <si>
    <t>HABD07</t>
  </si>
  <si>
    <t>Fully merged film. Small flakes.</t>
  </si>
  <si>
    <t>PL~39nm</t>
  </si>
  <si>
    <t>HABD08</t>
  </si>
  <si>
    <t>repeat  HABD07</t>
  </si>
  <si>
    <t>Growth decayed a lot more than HABD07.</t>
  </si>
  <si>
    <t>HABD09</t>
  </si>
  <si>
    <t>HABD09_postcln</t>
  </si>
  <si>
    <t>HABD10</t>
  </si>
  <si>
    <t>Rule out the Br2 effect.</t>
  </si>
  <si>
    <t>Purge Br2 with 3sccm Ar flow for 3mins before growth.</t>
  </si>
  <si>
    <t>HABD11</t>
  </si>
  <si>
    <t>Verify WO3 effect.</t>
  </si>
  <si>
    <t>Oxidization before growth.</t>
  </si>
  <si>
    <t>HABD12</t>
  </si>
  <si>
    <t>HABD12_postcln</t>
  </si>
  <si>
    <t>HABD13</t>
  </si>
  <si>
    <t>HABD14</t>
  </si>
  <si>
    <t>remove oxidation process</t>
  </si>
  <si>
    <t>No oxidation, no growth.</t>
  </si>
  <si>
    <t>HABD15</t>
  </si>
  <si>
    <t>repeat HABD13</t>
  </si>
  <si>
    <t>delay Br2 5mins.</t>
  </si>
  <si>
    <t>Small flakes.</t>
  </si>
  <si>
    <t>HABD16</t>
  </si>
  <si>
    <t>repeat HABD15</t>
  </si>
  <si>
    <t>Similar result with HABD15.</t>
  </si>
  <si>
    <t>HABD17</t>
  </si>
  <si>
    <t>WO3 temperature zone</t>
  </si>
  <si>
    <t>Relocate WO3 back 2cm.</t>
  </si>
  <si>
    <t>Small flakes with black particles.</t>
  </si>
  <si>
    <t>HABD18</t>
  </si>
  <si>
    <t>Increase purge time for O2 (5-&gt;10 mins)</t>
  </si>
  <si>
    <t>HABD19</t>
  </si>
  <si>
    <t>[decrease W] decrease Br2 tank temperature</t>
  </si>
  <si>
    <t>small flakes &lt;1um on the wafer edges</t>
  </si>
  <si>
    <t>HABD20</t>
  </si>
  <si>
    <t>[decrease W and S] decrease Pressure (65--&gt;10 torr)</t>
  </si>
  <si>
    <t>wafer was replaced on the wrong side</t>
  </si>
  <si>
    <t>HABD21</t>
  </si>
  <si>
    <t>[induce etching process] add O2 during growth</t>
  </si>
  <si>
    <t>0.5 sccm O2 during growth</t>
  </si>
  <si>
    <t>~3um flakes at edge. PL varies a lot.</t>
  </si>
  <si>
    <t>HABD22</t>
  </si>
  <si>
    <t xml:space="preserve">[decrease S] H2Se 4 --&gt; 2 sccm </t>
  </si>
  <si>
    <t>non-annealed sapphire</t>
  </si>
  <si>
    <t>small flakes &lt;1um</t>
  </si>
  <si>
    <t>HABD23</t>
  </si>
  <si>
    <t>repeat HABD21</t>
  </si>
  <si>
    <t>HABD24</t>
  </si>
  <si>
    <t>O2 etch at the beginning, then close</t>
  </si>
  <si>
    <t>Remove O2 purging.</t>
  </si>
  <si>
    <t>HABD25</t>
  </si>
  <si>
    <t>repeat HABD21, turn off O2 when growth ends</t>
  </si>
  <si>
    <t>HABD26</t>
  </si>
  <si>
    <t>repeat HABD21; growth time 10mins.</t>
  </si>
  <si>
    <t>exist flakes (&gt;1um) at the edge</t>
  </si>
  <si>
    <t>HABD27</t>
  </si>
  <si>
    <t>increase pressure</t>
  </si>
  <si>
    <t>Edge~2um flakes; other areas &lt;1um flakes.</t>
  </si>
  <si>
    <t>PL peak position shifts a lot.</t>
  </si>
  <si>
    <t>HABD28</t>
  </si>
  <si>
    <t>remove 0.5sccm O2</t>
  </si>
  <si>
    <t>PL 33-40nm</t>
  </si>
  <si>
    <t>HABD29</t>
  </si>
  <si>
    <t>remove 0.5sccm O2; decrease pressure.</t>
  </si>
  <si>
    <t>homogeneous distribution; smaller flakes</t>
  </si>
  <si>
    <t>PL~40nm</t>
  </si>
  <si>
    <t>HABD30</t>
  </si>
  <si>
    <t>increase pressure to 110Torr</t>
  </si>
  <si>
    <t>HABD31</t>
  </si>
  <si>
    <t>replace check valve;</t>
  </si>
  <si>
    <t>(BCl3 should set 1sccm)</t>
  </si>
  <si>
    <t>The BCl3 MFC lost control after HABD31. </t>
  </si>
  <si>
    <t>BCl3 MFC broke down.</t>
  </si>
  <si>
    <t>HABE00</t>
  </si>
  <si>
    <t>Change to Ar 10sccm MFC</t>
  </si>
  <si>
    <t>The Br2 delivery is higher.</t>
  </si>
  <si>
    <t>Thick layer growth.</t>
  </si>
  <si>
    <t>PL over 50</t>
  </si>
  <si>
    <t>HABE01</t>
  </si>
  <si>
    <t>Decrease chiller temperature from 10 to 3.</t>
  </si>
  <si>
    <t>Almost fully merged monolayer (&lt;1um flakes)</t>
  </si>
  <si>
    <t>PL 34.6-37</t>
  </si>
  <si>
    <t>HABE02</t>
  </si>
  <si>
    <t>Decrease Br2 mfc flow from 3 to 1 sccm.</t>
  </si>
  <si>
    <t>Small flakes growth.</t>
  </si>
  <si>
    <t>PL 34-37.5</t>
  </si>
  <si>
    <t>HABE03</t>
  </si>
  <si>
    <t>Increase the distance from 5cm to 7cm.</t>
  </si>
  <si>
    <t>Exist Se particle.</t>
  </si>
  <si>
    <t>Edge~1um flakes; other area&lt;1um flake.</t>
  </si>
  <si>
    <t>PL&gt;40</t>
  </si>
  <si>
    <t>HABE04</t>
  </si>
  <si>
    <t>pressure sweep</t>
  </si>
  <si>
    <t>RT-&gt;3</t>
  </si>
  <si>
    <t>wafer became black</t>
  </si>
  <si>
    <t>The chiller shut down at the beginning.</t>
  </si>
  <si>
    <t>Lots of thick layer growth.</t>
  </si>
  <si>
    <t>HABE05</t>
  </si>
  <si>
    <t>Lower Temperature.</t>
  </si>
  <si>
    <t>&lt;650</t>
  </si>
  <si>
    <t>Less growth. More furnace coating.</t>
  </si>
  <si>
    <t>Lots of particles.</t>
  </si>
  <si>
    <t>HABE06</t>
  </si>
  <si>
    <t>Higher Temperature.</t>
  </si>
  <si>
    <t>&gt;650</t>
  </si>
  <si>
    <t>Edge~3um flakes; other area ~1 um flakes.</t>
  </si>
  <si>
    <t>PL 34.5-40</t>
  </si>
  <si>
    <t>HABE07</t>
  </si>
  <si>
    <t>H2 effect.</t>
  </si>
  <si>
    <t>smaller flakes with increased H2</t>
  </si>
  <si>
    <t>PL intensity decays when operating.</t>
  </si>
  <si>
    <t>HABE08</t>
  </si>
  <si>
    <t>100</t>
  </si>
  <si>
    <t>Low coverage.</t>
  </si>
  <si>
    <t>All 2 um flakes.</t>
  </si>
  <si>
    <t>PL 35.8-44</t>
  </si>
  <si>
    <t>HABE09</t>
  </si>
  <si>
    <t>Distance finetuning.</t>
  </si>
  <si>
    <t>2um flakes with multilayer flakes.</t>
  </si>
  <si>
    <t>PL 38-47</t>
  </si>
  <si>
    <t>HABE10</t>
  </si>
  <si>
    <t>HABE11</t>
  </si>
  <si>
    <t>HACA00</t>
  </si>
  <si>
    <t>Change to W(CO)6</t>
  </si>
  <si>
    <t>890</t>
  </si>
  <si>
    <t>Similar growth result with WO3 powder. The homogeneity increased a lot.</t>
  </si>
  <si>
    <t>&lt;1um flake</t>
  </si>
  <si>
    <t>PL 40-44</t>
  </si>
  <si>
    <t>HACA01</t>
  </si>
  <si>
    <t>cannot tell the domain size; weak Raman signal</t>
  </si>
  <si>
    <t>HACA02</t>
  </si>
  <si>
    <t>HACA03</t>
  </si>
  <si>
    <t>Increase growth temperature to achieve larger domain.</t>
  </si>
  <si>
    <t>950</t>
  </si>
  <si>
    <t>Br2 MFC flow vibration; Heater delay to 900.</t>
  </si>
  <si>
    <t>HACA04</t>
  </si>
  <si>
    <t>repeat HACA00</t>
  </si>
  <si>
    <t>HACA05</t>
  </si>
  <si>
    <t>W/Se ratio 5:1</t>
  </si>
  <si>
    <t>~700nm flakes.</t>
  </si>
  <si>
    <t>PL 36-39.5</t>
  </si>
  <si>
    <t>HACA06</t>
  </si>
  <si>
    <t>PC2 uncontrollable.</t>
  </si>
  <si>
    <t>HACB00</t>
  </si>
  <si>
    <t>check new MFC reproducibility</t>
  </si>
  <si>
    <t>Change MFC to  BCl3 10 sccm.</t>
  </si>
  <si>
    <t>~1um domain size and smaller flakes. (2-stage-nuleation)</t>
  </si>
  <si>
    <t>PL 35-42.5</t>
  </si>
  <si>
    <t>HACB01</t>
  </si>
  <si>
    <t>Exist 1um flakes and mutilayer particles.</t>
  </si>
  <si>
    <t>pl~43</t>
  </si>
  <si>
    <t>HACB02</t>
  </si>
  <si>
    <t>Exist mutilayer particles.</t>
  </si>
  <si>
    <t>HACB03</t>
  </si>
  <si>
    <t>increase distanc(5-&gt;7)</t>
  </si>
  <si>
    <t>PL 34-41</t>
  </si>
  <si>
    <t>HACB04</t>
  </si>
  <si>
    <t>W/Se ratio</t>
  </si>
  <si>
    <t>1-2um flakes with mutilayer particles</t>
  </si>
  <si>
    <t>PL 35-40</t>
  </si>
  <si>
    <t>HACB05</t>
  </si>
  <si>
    <t>PL 34.5-43</t>
  </si>
  <si>
    <t>HACB06</t>
  </si>
  <si>
    <t>Try to increase coverage by extending growth time</t>
  </si>
  <si>
    <t>HACB07</t>
  </si>
  <si>
    <t>system modification</t>
  </si>
  <si>
    <t>HADA00</t>
  </si>
  <si>
    <t>WO3 0.5g</t>
  </si>
  <si>
    <t>1sccm O2 3min</t>
  </si>
  <si>
    <t>20 um flakes(w/ mutiple particles) and 2um flakes (antiparallel)</t>
  </si>
  <si>
    <t xml:space="preserve"> </t>
  </si>
  <si>
    <t>Large flakes have PL shift (~810); small flakes ~760</t>
  </si>
  <si>
    <t>HADA01</t>
  </si>
  <si>
    <t>1sccm O2 10min</t>
  </si>
  <si>
    <t>Hole distribution.</t>
  </si>
  <si>
    <t>WO3 powder becomes black. The Se back diffuse to react with the powder.</t>
  </si>
  <si>
    <t>pl 34-40</t>
  </si>
  <si>
    <t>HADA02</t>
  </si>
  <si>
    <t>increase innertube flow</t>
  </si>
  <si>
    <t>new powder WO3 0.5g</t>
  </si>
  <si>
    <t>1sccm O2 800s</t>
  </si>
  <si>
    <t>HADA03</t>
  </si>
  <si>
    <t>new powder WO3 0.65g</t>
  </si>
  <si>
    <t>HADA04</t>
  </si>
  <si>
    <t>WO3 0.65g</t>
  </si>
  <si>
    <t>No outer tube flow when increasing temperature.</t>
  </si>
  <si>
    <t>small multilayer particles.</t>
  </si>
  <si>
    <t>HADA05</t>
  </si>
  <si>
    <t>2sccm O2 800s</t>
  </si>
  <si>
    <t>PC pressure increased after 10mins growth.</t>
  </si>
  <si>
    <t>Large flakes and small flakes (2-stage nucleations)</t>
  </si>
  <si>
    <t>PL~40nm; large flakes exist pl peak shift</t>
  </si>
  <si>
    <t>HADA06</t>
  </si>
  <si>
    <t>PC pressure increased after 13mins growth.</t>
  </si>
  <si>
    <t>pl~41</t>
  </si>
  <si>
    <t>HADA07</t>
  </si>
  <si>
    <t>change PV of H2O</t>
  </si>
  <si>
    <t>pl 34-44; peak varies a lot.</t>
  </si>
  <si>
    <t>HADB00</t>
  </si>
  <si>
    <t>remove bubbler/lower liquid level/ move furnace upstream forward 3cm</t>
  </si>
  <si>
    <t>HADB01</t>
  </si>
  <si>
    <t>Introduce 0.5sccm O2 during the growth</t>
  </si>
  <si>
    <t>HADB02*1</t>
  </si>
  <si>
    <t>distance test</t>
  </si>
  <si>
    <t>PL&gt;50nm; strong red shift</t>
  </si>
  <si>
    <t>HADB02*2</t>
  </si>
  <si>
    <t>PL peak -&gt;810; jump to 760</t>
  </si>
  <si>
    <t>651c pressure control failiure</t>
  </si>
  <si>
    <t>HADB03</t>
  </si>
  <si>
    <t>Increase H2 to inhibit thick nucleations.</t>
  </si>
  <si>
    <t>Film easily damaged.</t>
  </si>
  <si>
    <t>HADB04</t>
  </si>
  <si>
    <t>Remove O2 pre-treat</t>
  </si>
  <si>
    <t>/ no pretreatment</t>
  </si>
  <si>
    <t>HADB05</t>
  </si>
  <si>
    <t>Decrease O2 flow</t>
  </si>
  <si>
    <t>HADB06</t>
  </si>
  <si>
    <t>0.5sccm O2 60s</t>
  </si>
  <si>
    <t>HADB07</t>
  </si>
  <si>
    <t>Add bubbler</t>
  </si>
  <si>
    <t>HADB08</t>
  </si>
  <si>
    <t>irregular round flakes</t>
  </si>
  <si>
    <t>35.5-37.5</t>
  </si>
  <si>
    <t>HADB09</t>
  </si>
  <si>
    <t xml:space="preserve">w/o </t>
  </si>
  <si>
    <t>Red coating disappear. The growth result may be caused by the coating distribution.</t>
  </si>
  <si>
    <t>pl 33.3-50</t>
  </si>
  <si>
    <t>HADB10</t>
  </si>
  <si>
    <t>repeat HADB09</t>
  </si>
  <si>
    <t>central area: 1-2um; edge area 3-10um</t>
  </si>
  <si>
    <t xml:space="preserve"> PL: 36-44 (one 56)</t>
  </si>
  <si>
    <t>HADB11</t>
  </si>
  <si>
    <t>1st run fo 950</t>
  </si>
  <si>
    <t>uneven distribution</t>
  </si>
  <si>
    <t>pl~46</t>
  </si>
  <si>
    <t>HADB12</t>
  </si>
  <si>
    <t>HADB13</t>
  </si>
  <si>
    <t>More H2Se increased the cover ratio.</t>
  </si>
  <si>
    <t>Uneven distribution</t>
  </si>
  <si>
    <t>PL~40</t>
  </si>
  <si>
    <t>HADB14</t>
  </si>
  <si>
    <t>increase presure</t>
  </si>
  <si>
    <t>More homogeneous</t>
  </si>
  <si>
    <t>Domain size varies a lot. From 2um to 20 um.</t>
  </si>
  <si>
    <t>PL~41</t>
  </si>
  <si>
    <t>HADB15</t>
  </si>
  <si>
    <t>increase hydrogen</t>
  </si>
  <si>
    <t>Similar results with HADB14</t>
  </si>
  <si>
    <t>PL: 37-47</t>
  </si>
  <si>
    <t>HADB16</t>
  </si>
  <si>
    <t>increase H2O</t>
  </si>
  <si>
    <t>H2O doesn’t increase the quality</t>
  </si>
  <si>
    <t>PL over 41</t>
  </si>
  <si>
    <t>HADB17</t>
  </si>
  <si>
    <t>pressure fine- tune</t>
  </si>
  <si>
    <t>Lots of particles. It may be caused by the lower growth pressure.</t>
  </si>
  <si>
    <t>Domain size 1-5um.</t>
  </si>
  <si>
    <t>PL 39-44</t>
  </si>
  <si>
    <t>HADB18</t>
  </si>
  <si>
    <t>post annealing effect</t>
  </si>
  <si>
    <t>5sccm O2 800s</t>
  </si>
  <si>
    <t>1sccm H2Se&amp;20sccm H2 600C 30mins</t>
  </si>
  <si>
    <t>Se is empty</t>
  </si>
  <si>
    <t>PL 43-50</t>
  </si>
  <si>
    <t>HADB19</t>
  </si>
  <si>
    <t>Less growth than HADB17. Pressure change affect the environment.</t>
  </si>
  <si>
    <t>All thick-layer nucleations.</t>
  </si>
  <si>
    <t>HADB20</t>
  </si>
  <si>
    <t>repeat HADB19</t>
  </si>
  <si>
    <t>Exist orientation behaviour</t>
  </si>
  <si>
    <t>HADB21</t>
  </si>
  <si>
    <t>PL 31-37</t>
  </si>
  <si>
    <t>HADB22</t>
  </si>
  <si>
    <t>repeat DB21</t>
  </si>
  <si>
    <t>PL 31-39</t>
  </si>
  <si>
    <t>HADB23</t>
  </si>
  <si>
    <t>New WO3 Powder</t>
  </si>
  <si>
    <r>
      <rPr>
        <sz val="11"/>
        <color rgb="FF000000"/>
        <rFont val="Calibri"/>
        <family val="2"/>
      </rPr>
      <t>WO3 0.65g</t>
    </r>
    <r>
      <rPr>
        <sz val="11"/>
        <color rgb="FFFF0000"/>
        <rFont val="Calibri"/>
        <family val="2"/>
      </rPr>
      <t>, new</t>
    </r>
  </si>
  <si>
    <t>WO3 powder became blue. Inadequate O2 leads to less growth.</t>
  </si>
  <si>
    <t>PL 31-34</t>
  </si>
  <si>
    <t>HADB24</t>
  </si>
  <si>
    <t>New WO3 Powder, repeat DB23</t>
  </si>
  <si>
    <t>HADB25</t>
  </si>
  <si>
    <t>Check annealed WO3 powder</t>
  </si>
  <si>
    <t>WO3 0.65g, 5sccmO2 300Torr anneal 30min</t>
  </si>
  <si>
    <t>HADB26</t>
  </si>
  <si>
    <t>\</t>
  </si>
  <si>
    <t>Much less growth than HADB25.</t>
  </si>
  <si>
    <t>HADB27</t>
  </si>
  <si>
    <t>New WO3 powder</t>
  </si>
  <si>
    <t>WO3 0.8g, new</t>
  </si>
  <si>
    <t>1sccm O2 600s at 750C</t>
  </si>
  <si>
    <t>PL~48</t>
  </si>
  <si>
    <t>HADC00</t>
  </si>
  <si>
    <t>system modification,REPEAT hadb27</t>
  </si>
  <si>
    <t>The 1st layer is almost fully merged. Exist bilayer growth.</t>
  </si>
  <si>
    <t>.</t>
  </si>
  <si>
    <t>HADC01</t>
  </si>
  <si>
    <t>0.5sccm O2 600s at 750C</t>
  </si>
  <si>
    <t>HADC02</t>
  </si>
  <si>
    <t>NEW powder; change WO3 position; new showerhead; new distance</t>
  </si>
  <si>
    <t>WO3 0.9g, new</t>
  </si>
  <si>
    <t>small monolayer flakes; lager bilayer flakes.</t>
  </si>
  <si>
    <t>HADC03</t>
  </si>
  <si>
    <t>repeat HADC03</t>
  </si>
  <si>
    <t>bilayer flakes on monolayer</t>
  </si>
  <si>
    <t>PL 33-39</t>
  </si>
  <si>
    <t>HADC04</t>
  </si>
  <si>
    <t>Rotation decrease.</t>
  </si>
  <si>
    <t>PL33-38.8</t>
  </si>
  <si>
    <t>HADC05</t>
  </si>
  <si>
    <t>avoid bilayers.</t>
  </si>
  <si>
    <t>HADC06</t>
  </si>
  <si>
    <t>repeat DC05</t>
  </si>
  <si>
    <t>H2 10sccm leads to less growth.</t>
  </si>
  <si>
    <t>HADC07</t>
  </si>
  <si>
    <t>quartz ring for stage</t>
  </si>
  <si>
    <t>2sccm O2 600s at 750C</t>
  </si>
  <si>
    <t>The ring broke.</t>
  </si>
  <si>
    <t>HADC08</t>
  </si>
  <si>
    <t>repeat HADC07</t>
  </si>
  <si>
    <t>PL~ 30 uniform</t>
  </si>
  <si>
    <t>HADC09</t>
  </si>
  <si>
    <t>repeat HADC08</t>
  </si>
  <si>
    <t>HADC10</t>
  </si>
  <si>
    <t>HADC11</t>
  </si>
  <si>
    <t>Add new powder</t>
  </si>
  <si>
    <t>add new powder 0.45g</t>
  </si>
  <si>
    <t>HADC12</t>
  </si>
  <si>
    <t>decrease growth pressure</t>
  </si>
  <si>
    <t>WO3 0.9g</t>
  </si>
  <si>
    <t>HADC13</t>
  </si>
  <si>
    <t>change to 100Torr gauge</t>
  </si>
  <si>
    <t>HADC14</t>
  </si>
  <si>
    <t>repeat HADC13</t>
  </si>
  <si>
    <t>HADC15</t>
  </si>
  <si>
    <t>HACB08</t>
  </si>
  <si>
    <t>Bypass ball valve is not closed</t>
  </si>
  <si>
    <t>Lots of thick WSe2 particles.</t>
  </si>
  <si>
    <t>PL~37</t>
  </si>
  <si>
    <t>HACB09</t>
  </si>
  <si>
    <t>repeat HACB08</t>
  </si>
  <si>
    <t>Less growth than HACB09.</t>
  </si>
  <si>
    <t>only thick particles</t>
  </si>
  <si>
    <t>HACB10</t>
  </si>
  <si>
    <t>repeat HACB09</t>
  </si>
  <si>
    <t>1-2um flakes with thick particles.</t>
  </si>
  <si>
    <t>PL 35-41.5</t>
  </si>
  <si>
    <t>HACB11</t>
  </si>
  <si>
    <t>decrease O2</t>
  </si>
  <si>
    <t>1um flakes with thick particles</t>
  </si>
  <si>
    <t>PL 38-41</t>
  </si>
  <si>
    <t>HACB12</t>
  </si>
  <si>
    <t>increase o2</t>
  </si>
  <si>
    <t>&lt;1um flakes w/ thick particles</t>
  </si>
  <si>
    <t>HACB13</t>
  </si>
  <si>
    <t>increase W(CO)6</t>
  </si>
  <si>
    <t>more white particles and &lt;1um flakes</t>
  </si>
  <si>
    <t>PL 37-43</t>
  </si>
  <si>
    <t>HACB14</t>
  </si>
  <si>
    <t>increase distance</t>
  </si>
  <si>
    <t>HACB15</t>
  </si>
  <si>
    <t>w source decrease</t>
  </si>
  <si>
    <t>HACB16</t>
  </si>
  <si>
    <t>decrease the distance to 7cm</t>
  </si>
  <si>
    <t>PL 39.5-42</t>
  </si>
  <si>
    <t>HACB17</t>
  </si>
  <si>
    <t>increase growth pressure</t>
  </si>
  <si>
    <t>~1um flakes</t>
  </si>
  <si>
    <t>PL 35-37.6</t>
  </si>
  <si>
    <t>HACB18</t>
  </si>
  <si>
    <t>PL 35-42</t>
  </si>
  <si>
    <t>HACB19</t>
  </si>
  <si>
    <t xml:space="preserve">w/o O2 </t>
  </si>
  <si>
    <t>HACB20</t>
  </si>
  <si>
    <t>dummy run</t>
  </si>
  <si>
    <t>HACC00</t>
  </si>
  <si>
    <t>NaOH cleaned showerhead</t>
  </si>
  <si>
    <t>get growth</t>
  </si>
  <si>
    <t>pl 36-39.6</t>
  </si>
  <si>
    <t>HACC01_pstcln</t>
  </si>
  <si>
    <t>Br2 cleaning</t>
  </si>
  <si>
    <t>HACC02</t>
  </si>
  <si>
    <t>HACC03_pstcln</t>
  </si>
  <si>
    <t>10sccm O2 20min -&gt;500˚C Br 3sccm 10min</t>
  </si>
  <si>
    <t>HACC04</t>
  </si>
  <si>
    <t>HACC05</t>
  </si>
  <si>
    <t>HACD00</t>
  </si>
  <si>
    <t>exist particles but no obvious WSe2 signals</t>
  </si>
  <si>
    <t>HACD01</t>
  </si>
  <si>
    <t>change Br MFC</t>
  </si>
  <si>
    <t>10sccm BCl3 MFC change to 5sccm H2Se</t>
  </si>
  <si>
    <t>color changed, but no WSe2 Raman signals</t>
  </si>
  <si>
    <t>HACD02</t>
  </si>
  <si>
    <t>Br2 MFC unstably control --&gt;0.4</t>
  </si>
  <si>
    <t>HACD03</t>
  </si>
  <si>
    <t>&lt;1um flakes</t>
  </si>
  <si>
    <t>PL 36-40</t>
  </si>
  <si>
    <t>HACD04</t>
  </si>
  <si>
    <t>HACD05</t>
  </si>
  <si>
    <t>Change the innertube</t>
  </si>
  <si>
    <t>no growth</t>
  </si>
  <si>
    <t>HACD06</t>
  </si>
  <si>
    <t>HACD07</t>
  </si>
  <si>
    <t>HACD08</t>
  </si>
  <si>
    <t>Br2 2sccm 20min</t>
  </si>
  <si>
    <t>HACD09</t>
  </si>
  <si>
    <t>Exist WSe2 growth</t>
  </si>
  <si>
    <t>HACD10</t>
  </si>
  <si>
    <t>HACD11</t>
  </si>
  <si>
    <t>System Modification</t>
  </si>
  <si>
    <t>Br2 MFC unstably control --&gt;0.4; Forget to open O2 valve.</t>
  </si>
  <si>
    <t>HACD12</t>
  </si>
  <si>
    <t>HACD13</t>
  </si>
  <si>
    <t>O2--&gt;outer tube</t>
  </si>
  <si>
    <t>4 out</t>
  </si>
  <si>
    <t>HACD14</t>
  </si>
  <si>
    <t>decrease O2 flow.</t>
  </si>
  <si>
    <t>2 out</t>
  </si>
  <si>
    <t>Small dense flake growth.</t>
  </si>
  <si>
    <t>HACD15</t>
  </si>
  <si>
    <t>Get growth. --&gt; indicationg W(CO)6 is too much</t>
  </si>
  <si>
    <t>~2um irregular flakes</t>
  </si>
  <si>
    <t>PL 32-35; high intensity</t>
  </si>
  <si>
    <t>HACD16</t>
  </si>
  <si>
    <t>decrease W(CO)6 flow</t>
  </si>
  <si>
    <t>New inner tube.</t>
  </si>
  <si>
    <t>Less growth. Almost no WSe2 signal.</t>
  </si>
  <si>
    <t>HACD17</t>
  </si>
  <si>
    <t>Increase W(CO)6 flow</t>
  </si>
  <si>
    <t>HACD18</t>
  </si>
  <si>
    <t>HACD19</t>
  </si>
  <si>
    <t>decrease growth temperature</t>
  </si>
  <si>
    <t>More black particles</t>
  </si>
  <si>
    <t>HACD20</t>
  </si>
  <si>
    <t>Exist growth</t>
  </si>
  <si>
    <t>HAEA00</t>
  </si>
  <si>
    <t>Br2-cleaning systematic research</t>
  </si>
  <si>
    <t>HAEA01</t>
  </si>
  <si>
    <t>HAEA02</t>
  </si>
  <si>
    <t>HAEA03</t>
  </si>
  <si>
    <t>W metal disappear</t>
  </si>
  <si>
    <t>HAEA04</t>
  </si>
  <si>
    <t>HAEA05</t>
  </si>
  <si>
    <t>No effect</t>
  </si>
  <si>
    <t>HAEA06</t>
  </si>
  <si>
    <t>W diappear</t>
  </si>
  <si>
    <t>HAEA07</t>
  </si>
  <si>
    <t>HACD21</t>
  </si>
  <si>
    <t>HACD22</t>
  </si>
  <si>
    <t>cleaning+dummy run</t>
  </si>
  <si>
    <t>400C 2sccmO2 0.4sccm Br2 30min</t>
  </si>
  <si>
    <t>Some particles but no obvious Raman signals.</t>
  </si>
  <si>
    <t>HACD23</t>
  </si>
  <si>
    <t>600C 2sccmO2 0.4sccm Br2 20min</t>
  </si>
  <si>
    <t>&lt;1um domain with particles</t>
  </si>
  <si>
    <t>PL 36-38</t>
  </si>
  <si>
    <t>HACD24</t>
  </si>
  <si>
    <t>3 out</t>
  </si>
  <si>
    <t>lots of oxides</t>
  </si>
  <si>
    <t>HACD25</t>
  </si>
  <si>
    <t>new inner tube</t>
  </si>
  <si>
    <t>More particles at a lower position.</t>
  </si>
  <si>
    <t>PL: 34-35</t>
  </si>
  <si>
    <t>HACD26</t>
  </si>
  <si>
    <t>Oin &amp;Oout</t>
  </si>
  <si>
    <t>O2 outer tube--&gt; black;paricles </t>
  </si>
  <si>
    <t>HACD27</t>
  </si>
  <si>
    <t>2 in</t>
  </si>
  <si>
    <t>O2 inner tube--&gt;red;w/o particles </t>
  </si>
  <si>
    <t>PL 30.6-35</t>
  </si>
  <si>
    <t>HACD28</t>
  </si>
  <si>
    <t>10min 890˚C 20min 1000˚C</t>
  </si>
  <si>
    <t>PL: 32-34</t>
  </si>
  <si>
    <t>HACD29</t>
  </si>
  <si>
    <t>10min 890˚C 50min 1000˚C</t>
  </si>
  <si>
    <t>MFC5 alarm; process end.</t>
  </si>
  <si>
    <t>HACD30</t>
  </si>
  <si>
    <t>10min 890˚C 20min 1000˚C;  1sccm H2Se when increasing temperature</t>
  </si>
  <si>
    <t>Larger flakes have two orientations from AFM.</t>
  </si>
  <si>
    <t>HACD31</t>
  </si>
  <si>
    <r>
      <t xml:space="preserve">10min 890˚C </t>
    </r>
    <r>
      <rPr>
        <u/>
        <sz val="11"/>
        <color theme="1"/>
        <rFont val="Calibri"/>
        <family val="2"/>
      </rPr>
      <t>50min</t>
    </r>
    <r>
      <rPr>
        <sz val="11"/>
        <color theme="1"/>
        <rFont val="Calibri"/>
        <family val="2"/>
      </rPr>
      <t xml:space="preserve"> 1000˚C; 1sccm H2Se when increasing temperature</t>
    </r>
  </si>
  <si>
    <t>Less growth when extending time.</t>
  </si>
  <si>
    <t>HACD32</t>
  </si>
  <si>
    <t>10min 890˚C 20min 1000˚C; only H2Se when 1000˚C</t>
  </si>
  <si>
    <t>Lower coverage and round flakes.</t>
  </si>
  <si>
    <t>HACD33</t>
  </si>
  <si>
    <t>2 in/ 1 in</t>
  </si>
  <si>
    <t>10min 890˚C 20min 1000˚C; 1sccm O2 when 1000˚C</t>
  </si>
  <si>
    <t>HACD34</t>
  </si>
  <si>
    <t>increase nuleation</t>
  </si>
  <si>
    <t>HACD35</t>
  </si>
  <si>
    <t>repeat HACD34</t>
  </si>
  <si>
    <t>HACD36</t>
  </si>
  <si>
    <t>HACD37</t>
  </si>
  <si>
    <t>MFC5 alarm (0.4 drop to 0.2)</t>
  </si>
  <si>
    <t>HADD00</t>
  </si>
  <si>
    <t>New furnace/ flange/ showerhead design</t>
  </si>
  <si>
    <t>HADD01</t>
  </si>
  <si>
    <t>WO3 0.5g, new</t>
  </si>
  <si>
    <t>0.5 in</t>
  </si>
  <si>
    <t>0.5sccm O2 1000s at 600C</t>
  </si>
  <si>
    <t>MFC1 alarm.</t>
  </si>
  <si>
    <t>HADD02</t>
  </si>
  <si>
    <t>~2 cm circle merged film</t>
  </si>
  <si>
    <t>PL peaks shift to 800nm; PL 35-45nm</t>
  </si>
  <si>
    <t>HADD03</t>
  </si>
  <si>
    <t>repeat HADD02</t>
  </si>
  <si>
    <t>Different distribution with HADD02</t>
  </si>
  <si>
    <t>~3um flakes</t>
  </si>
  <si>
    <t>PL FWHM 38-45m</t>
  </si>
  <si>
    <t>HADD04</t>
  </si>
  <si>
    <t>1sccm O2 1000s at 600C</t>
  </si>
  <si>
    <t>Similar results with HADD03</t>
  </si>
  <si>
    <t>FWHM 33-45nm</t>
  </si>
  <si>
    <t>HADD05</t>
  </si>
  <si>
    <t>Lots of oxide-rod</t>
  </si>
  <si>
    <t>FWHM 35.7-42nm</t>
  </si>
  <si>
    <t>HADD06</t>
  </si>
  <si>
    <t>WO3 state</t>
  </si>
  <si>
    <t>WO3 0.5g, disturbed</t>
  </si>
  <si>
    <t>Large flakes (PL shift) and small flakes</t>
  </si>
  <si>
    <t>FWHM 35.4-43</t>
  </si>
  <si>
    <t>HADD07</t>
  </si>
  <si>
    <t>WO3 1.3g new</t>
  </si>
  <si>
    <t>Bilayer growth</t>
  </si>
  <si>
    <t>HADD08</t>
  </si>
  <si>
    <t>WO3 1.3g</t>
  </si>
  <si>
    <t>1 in</t>
  </si>
  <si>
    <t>Similar results with HADD06</t>
  </si>
  <si>
    <t>FWHM 35-43</t>
  </si>
  <si>
    <t>HADD09</t>
  </si>
  <si>
    <t>5sccm O2 1000s at 600C</t>
  </si>
  <si>
    <t>~2um flakes</t>
  </si>
  <si>
    <t>FWHM 37.3-40</t>
  </si>
  <si>
    <t>HADD10</t>
  </si>
  <si>
    <t>Dummy run</t>
  </si>
  <si>
    <t>Get growth</t>
  </si>
  <si>
    <t>HADD11</t>
  </si>
  <si>
    <t>WO3 1.3g,disturbed</t>
  </si>
  <si>
    <t>New pump oil</t>
  </si>
  <si>
    <t>FWHM over 40</t>
  </si>
  <si>
    <t>postcleaning</t>
  </si>
  <si>
    <t>W foil</t>
  </si>
  <si>
    <t>HADD12</t>
  </si>
  <si>
    <t>HADD13</t>
  </si>
  <si>
    <t>decrease pressure</t>
  </si>
  <si>
    <t>FWHM 34-36nm</t>
  </si>
  <si>
    <t>HADD14</t>
  </si>
  <si>
    <t>add H2 flow</t>
  </si>
  <si>
    <t>hole distribution</t>
  </si>
  <si>
    <t>bilayer large grain and small monolayer grain(2um)</t>
  </si>
  <si>
    <t>FWHM 33-45</t>
  </si>
  <si>
    <t>HADD15</t>
  </si>
  <si>
    <t>decrease flow rate</t>
  </si>
  <si>
    <t>antiparallel orientations</t>
  </si>
  <si>
    <t>4um small flakes and 40um large bilayer flakes</t>
  </si>
  <si>
    <t>FWHM 32.8-40</t>
  </si>
  <si>
    <t>HADD16</t>
  </si>
  <si>
    <t>0 in</t>
  </si>
  <si>
    <t>Irregular 10um flakes</t>
  </si>
  <si>
    <t>HADD17</t>
  </si>
  <si>
    <t>HADD18</t>
  </si>
  <si>
    <t>POSTCLEANING</t>
  </si>
  <si>
    <t>HADD19</t>
  </si>
  <si>
    <t>antiparallel orientations (small flakes)</t>
  </si>
  <si>
    <t>PL over 40</t>
  </si>
  <si>
    <t>HADD20</t>
  </si>
  <si>
    <t>repeat HADD15</t>
  </si>
  <si>
    <t>Lots of Se condensation</t>
  </si>
  <si>
    <t>New W foil</t>
  </si>
  <si>
    <t>HADD21</t>
  </si>
  <si>
    <t>Bilayer flakes</t>
  </si>
  <si>
    <t>HADD22</t>
  </si>
  <si>
    <t>Repeat HADD22</t>
  </si>
  <si>
    <t>similar result with HADD22</t>
  </si>
  <si>
    <t>bilayer flakes(40um)</t>
  </si>
  <si>
    <t>HADD23</t>
  </si>
  <si>
    <t>decrease thick mutilayer</t>
  </si>
  <si>
    <t>Fail</t>
  </si>
  <si>
    <t>Large domain surrounded by small flakes (&lt;1um)</t>
  </si>
  <si>
    <t>H2 30-&gt;tube pressure keep increasing-&gt;PC1 pressure increase-&gt;No H2O vapor</t>
  </si>
  <si>
    <t>HADD24</t>
  </si>
  <si>
    <t>HADD25</t>
  </si>
  <si>
    <t>Monolyaer flakes</t>
  </si>
  <si>
    <t>5um flakes</t>
  </si>
  <si>
    <t>HADD26</t>
  </si>
  <si>
    <t>Merged monolayer film with thick large flakes</t>
  </si>
  <si>
    <t>large domain (over 10um)</t>
  </si>
  <si>
    <t>FWHM 27-38nm</t>
  </si>
  <si>
    <t>HADD27</t>
  </si>
  <si>
    <t>REPEAT HADD24</t>
  </si>
  <si>
    <t>furnace open at 590C</t>
  </si>
  <si>
    <t>cover ratio decreases dramatically</t>
  </si>
  <si>
    <t>5um monolayer flakes</t>
  </si>
  <si>
    <t>HADD28</t>
  </si>
  <si>
    <t>confirm hole-distribution</t>
  </si>
  <si>
    <t>HADD29</t>
  </si>
  <si>
    <t>repeat HADD28</t>
  </si>
  <si>
    <t>monolayer large flakes</t>
  </si>
  <si>
    <t>FWHM 31-35nm</t>
  </si>
  <si>
    <t>HADD30</t>
  </si>
  <si>
    <t>increase uniformity</t>
  </si>
  <si>
    <t>introduce H2 and H2Se in advance</t>
  </si>
  <si>
    <t>HADD31</t>
  </si>
  <si>
    <t>Showerhead effect-180 rotation</t>
  </si>
  <si>
    <t>Showerhead rotate 180˚</t>
  </si>
  <si>
    <t>The film is still in the down area. (H2Se gravity)</t>
  </si>
  <si>
    <t>HADD32</t>
  </si>
  <si>
    <t>Find W powder
Spin does't help, still shows hole pattern, indicating fast growth mode, probably within 1 mins</t>
  </si>
  <si>
    <t>HADD33</t>
  </si>
  <si>
    <t>decrease multilayer nuleation</t>
  </si>
  <si>
    <t>10,30,70</t>
  </si>
  <si>
    <t xml:space="preserve">H2O flow step-by-step increase </t>
  </si>
  <si>
    <t>Bilayer growth significantly decreased.</t>
  </si>
  <si>
    <t xml:space="preserve">Find WSe2 growth at the 3-inch quartz wall </t>
  </si>
  <si>
    <t>FWHM 34-38</t>
  </si>
  <si>
    <t>HADD34</t>
  </si>
  <si>
    <t>unifomity</t>
  </si>
  <si>
    <t>Place a quartz block in front of the stage.</t>
  </si>
  <si>
    <t>HADD35</t>
  </si>
  <si>
    <t>Pressure
Finetuning</t>
  </si>
  <si>
    <t>HADD36</t>
  </si>
  <si>
    <t>HADD37</t>
  </si>
  <si>
    <t>HADD38</t>
  </si>
  <si>
    <t>HADD39</t>
  </si>
  <si>
    <t>HADD40</t>
  </si>
  <si>
    <t>HADD41</t>
  </si>
  <si>
    <t>H2Se&amp;H2 pretreatment</t>
  </si>
  <si>
    <t xml:space="preserve">H2Se&amp;H2&amp;H2O at the same time </t>
  </si>
  <si>
    <t>HADD42</t>
  </si>
  <si>
    <t>2min H2 20SCCM H2Se 2sccm</t>
  </si>
  <si>
    <t>HADD43</t>
  </si>
  <si>
    <t>Thick layer growth (&gt;bilayer)</t>
  </si>
  <si>
    <t>HADD44</t>
  </si>
  <si>
    <t>1min H2 20SCCM H2Se 2sccm</t>
  </si>
  <si>
    <t>hole distribution; monolayer growth</t>
  </si>
  <si>
    <t>HADD45</t>
  </si>
  <si>
    <t>uniform growth</t>
  </si>
  <si>
    <t>95% bilayer film with particles</t>
  </si>
  <si>
    <t>HADD46</t>
  </si>
  <si>
    <t>REPEAT HADD45</t>
  </si>
  <si>
    <t>merged monolayer; non-merged bilayer</t>
  </si>
  <si>
    <t>HADD47</t>
  </si>
  <si>
    <t>2min H2 30SCCM H2Se 2sccm</t>
  </si>
  <si>
    <t>merged monolayer film; 20% bilayer flake</t>
  </si>
  <si>
    <t>edge - monolayer antiparallel growth</t>
  </si>
  <si>
    <t>HADD48</t>
  </si>
  <si>
    <t>Thick layer growth (&gt;bilayer); Similar result with HADD34.</t>
  </si>
  <si>
    <t>H2O PC failure.</t>
  </si>
  <si>
    <t>HADD49</t>
  </si>
  <si>
    <t>HADD50</t>
  </si>
  <si>
    <t>repeat HADD45</t>
  </si>
  <si>
    <t>HADD51</t>
  </si>
  <si>
    <t>H2 and H2Se introduce 3min earlier than H2O</t>
  </si>
  <si>
    <t>3min H2 20SCCM H2Se 2sccm</t>
  </si>
  <si>
    <t xml:space="preserve">Almost No Growth. </t>
  </si>
  <si>
    <t>100Torr gauge failure.</t>
  </si>
  <si>
    <t>HADD52</t>
  </si>
  <si>
    <t>Increase H2O concentration</t>
  </si>
  <si>
    <t>HADD53</t>
  </si>
  <si>
    <t>Increase growth pressure</t>
  </si>
  <si>
    <t>TBC</t>
  </si>
  <si>
    <t>HADE00</t>
  </si>
  <si>
    <t>W FOIL wrong position</t>
  </si>
  <si>
    <t>Low coverage. Bilayer&amp;trilayer mix.</t>
  </si>
  <si>
    <t>HADE01</t>
  </si>
  <si>
    <t>HADE02</t>
  </si>
  <si>
    <t>HADE03</t>
  </si>
  <si>
    <t>repeat HADD56</t>
  </si>
  <si>
    <t>HADE04</t>
  </si>
  <si>
    <t>HADE05</t>
  </si>
  <si>
    <t>HADE06</t>
  </si>
  <si>
    <t>Repeat HADE05</t>
  </si>
  <si>
    <t>Much more growth than HADE05</t>
  </si>
  <si>
    <t>HADE07</t>
  </si>
  <si>
    <t>2min H2 20SCCM H2Se 4sccm</t>
  </si>
  <si>
    <t>HADE08</t>
  </si>
  <si>
    <t>Repeat HADE07</t>
  </si>
  <si>
    <t>HADE09</t>
  </si>
  <si>
    <t>NEW W Foil</t>
  </si>
  <si>
    <t>HADE10</t>
  </si>
  <si>
    <t>Add H2O bubbler</t>
  </si>
  <si>
    <t>HADE11</t>
  </si>
  <si>
    <t>H2O bubbler</t>
  </si>
  <si>
    <t>3um bilayer&amp; trilayer flakes</t>
  </si>
  <si>
    <t>HADE12</t>
  </si>
  <si>
    <t>Less growth than HADE11</t>
  </si>
  <si>
    <t>HADF00</t>
  </si>
  <si>
    <t>H2O sweep</t>
  </si>
  <si>
    <t>Change H2O PC1</t>
  </si>
  <si>
    <t>HADF01</t>
  </si>
  <si>
    <t>Repeat HADF01</t>
  </si>
  <si>
    <t>HADF02</t>
  </si>
  <si>
    <t>increase O2</t>
  </si>
  <si>
    <t>Run</t>
  </si>
  <si>
    <t>W</t>
  </si>
  <si>
    <t>SH</t>
  </si>
  <si>
    <t>Result</t>
  </si>
  <si>
    <t>Center</t>
  </si>
  <si>
    <r>
      <rPr>
        <sz val="11"/>
        <color theme="1"/>
        <rFont val="Times New Roman"/>
        <family val="1"/>
      </rPr>
      <t>˚</t>
    </r>
    <r>
      <rPr>
        <sz val="11"/>
        <color theme="1"/>
        <rFont val="Calibri"/>
        <family val="2"/>
      </rPr>
      <t>C</t>
    </r>
  </si>
  <si>
    <t>VBAA00</t>
  </si>
  <si>
    <t>Bilayer growth test</t>
  </si>
  <si>
    <t>80,80</t>
  </si>
  <si>
    <t>WO3</t>
  </si>
  <si>
    <t>5g, H2,2cm</t>
  </si>
  <si>
    <t>0,40</t>
  </si>
  <si>
    <t>80% filled, 40C</t>
  </si>
  <si>
    <t>in</t>
  </si>
  <si>
    <t>v2</t>
  </si>
  <si>
    <t>300C-10, O2(0.5): 300C-910C, H2Se(3): 500C-850C</t>
  </si>
  <si>
    <t xml:space="preserve">H2Se(1): 910C-600C, </t>
  </si>
  <si>
    <t>Open all flow of 0.1sccm and purge H2O before growth; Build pressure by out Ar first</t>
  </si>
  <si>
    <t>VBAA01</t>
  </si>
  <si>
    <t>Open all flow of 0.1sccm and purge H2O before growth; Build pressure by out Ar first; PC1 build pressure of 420 torr</t>
  </si>
  <si>
    <t>VATC02</t>
  </si>
  <si>
    <t>VATC01</t>
  </si>
  <si>
    <t>50,50</t>
  </si>
  <si>
    <t xml:space="preserve"> 5.0g, H2</t>
  </si>
  <si>
    <t>80% filled</t>
  </si>
  <si>
    <t>300C-10, O2(0.5): 300C-910C</t>
  </si>
  <si>
    <t>VBAA02</t>
  </si>
  <si>
    <t>Open all flow of 0.1sccm and purge H2O before growth; Build pressure by out Ar first; PC1 build pressure of 570 torr</t>
  </si>
  <si>
    <t>VBAA03</t>
  </si>
  <si>
    <t>Open all flow of 0.1sccm and purge H2O before growth; Build pressure by out Ar first; PC1 build pressure of 290 torr</t>
  </si>
  <si>
    <t>VBBA00</t>
  </si>
  <si>
    <t>210, 160</t>
  </si>
  <si>
    <t>H2Se(1): 10min</t>
  </si>
  <si>
    <t>2L</t>
  </si>
  <si>
    <t>VBBA01</t>
  </si>
  <si>
    <t>VABA00</t>
  </si>
  <si>
    <t>Vertical at 880</t>
  </si>
  <si>
    <t>3.5-8.5</t>
  </si>
  <si>
    <t>1L</t>
  </si>
  <si>
    <t>VBBA02</t>
  </si>
  <si>
    <t>Skip</t>
  </si>
  <si>
    <t>VBBA03</t>
  </si>
  <si>
    <t>VBBA04</t>
  </si>
  <si>
    <t>increase P: 60 --&gt; 70 torr</t>
  </si>
  <si>
    <t>VBBA05</t>
  </si>
  <si>
    <t>repeat VBBA00</t>
  </si>
  <si>
    <t>Vant &amp; Stir</t>
  </si>
  <si>
    <t>VBBA06</t>
  </si>
  <si>
    <t>increase O2 from 0.2 --&gt; 0.24</t>
  </si>
  <si>
    <t>VBBA07</t>
  </si>
  <si>
    <t>increase W temp from 25 --&gt; 35</t>
  </si>
  <si>
    <t>VBBA08</t>
  </si>
  <si>
    <t>increase W temp from 25 --&gt; 40</t>
  </si>
  <si>
    <t>VBBA09</t>
  </si>
  <si>
    <t>reduce SH-stage distance from 5 --&gt; 2.5</t>
  </si>
  <si>
    <t>VBBA10</t>
  </si>
  <si>
    <t>decrease W temp from 40 --&gt; 25</t>
  </si>
  <si>
    <t>VBBA11</t>
  </si>
  <si>
    <t>reduce SH-stage distance from 2.5 --&gt; 1</t>
  </si>
  <si>
    <t>VBBA12</t>
  </si>
  <si>
    <t>decrease P: 60 --&gt; 50 torr</t>
  </si>
  <si>
    <t>VBBA13</t>
  </si>
  <si>
    <t>VBBA14</t>
  </si>
  <si>
    <t>growth from 850 --&gt; 800 C</t>
  </si>
  <si>
    <t>growth@ 800C</t>
  </si>
  <si>
    <t>VBBA15</t>
  </si>
  <si>
    <t>H2Se @ 300C</t>
  </si>
  <si>
    <t>growth@ 800C, H2Se @300C</t>
  </si>
  <si>
    <t>37.1</t>
  </si>
  <si>
    <t>VBBA16</t>
  </si>
  <si>
    <t>O2 @ 300C</t>
  </si>
  <si>
    <t>growth@ 800C, O2 @300C</t>
  </si>
  <si>
    <t>VBBA17</t>
  </si>
  <si>
    <t>H2Se + O2 @ 300C</t>
  </si>
  <si>
    <t>growth@ 800C, O2 @300C, H2Se @300C</t>
  </si>
  <si>
    <t>VBBA18</t>
  </si>
  <si>
    <t>repeat</t>
  </si>
  <si>
    <t>W-PC set as 400 torr before growth, growth@ 800C</t>
  </si>
  <si>
    <t>VBBA19</t>
  </si>
  <si>
    <t>VBBA20</t>
  </si>
  <si>
    <t xml:space="preserve">Increase Inner Ar from 210--&gt;250
</t>
  </si>
  <si>
    <t>250, 200</t>
  </si>
  <si>
    <t>VBBA21</t>
  </si>
  <si>
    <t>increase O2 from 0.2 --&gt; 0.3</t>
  </si>
  <si>
    <t>VBBA22</t>
  </si>
  <si>
    <t>Wrong (&gt;2.5)</t>
  </si>
  <si>
    <t>VBBA23</t>
  </si>
  <si>
    <t>VBBA24</t>
  </si>
  <si>
    <t>VBBA25</t>
  </si>
  <si>
    <t>VBBA26</t>
  </si>
  <si>
    <t>50, 0</t>
  </si>
  <si>
    <t>VBBB00</t>
  </si>
  <si>
    <t>Repeat VBBA00 with d=2.5cm and W=35C</t>
  </si>
  <si>
    <t>210, 170</t>
  </si>
  <si>
    <t>v3</t>
  </si>
  <si>
    <t>VBBB01</t>
  </si>
  <si>
    <t>VA1P012510048</t>
  </si>
  <si>
    <t>Repeat VA1P012510048</t>
  </si>
  <si>
    <r>
      <t>80% filled, 40C,</t>
    </r>
    <r>
      <rPr>
        <b/>
        <sz val="11"/>
        <color rgb="FFFF0000"/>
        <rFont val="Calibri"/>
        <family val="2"/>
      </rPr>
      <t xml:space="preserve"> refill</t>
    </r>
  </si>
  <si>
    <t>H2Se(0.4): 10min</t>
  </si>
  <si>
    <t>Open all flow of 0.1sccm and purge H2O before growth; Build pressure by out Ar first; PC1 build pressure of 280 torr</t>
  </si>
  <si>
    <t>VBBB02</t>
  </si>
  <si>
    <t>Lower nucleation density: lower H2Se</t>
  </si>
  <si>
    <t>VBBB03</t>
  </si>
  <si>
    <t>Thicker layer: less O2</t>
  </si>
  <si>
    <t>VBBB04</t>
  </si>
  <si>
    <r>
      <t xml:space="preserve">80% filled, </t>
    </r>
    <r>
      <rPr>
        <b/>
        <sz val="11"/>
        <color rgb="FFFF0000"/>
        <rFont val="Calibri"/>
        <family val="2"/>
      </rPr>
      <t>RT</t>
    </r>
  </si>
  <si>
    <t>VBBB05</t>
  </si>
  <si>
    <t>VBBB06</t>
  </si>
  <si>
    <t>W=120 torr for 2L growth</t>
  </si>
  <si>
    <t>wo overshoot setup</t>
  </si>
  <si>
    <t>VBBB07</t>
  </si>
  <si>
    <t>Repeat  VBBB01</t>
  </si>
  <si>
    <t>v</t>
  </si>
  <si>
    <t>VBBB08</t>
  </si>
  <si>
    <t>VBBB09</t>
  </si>
  <si>
    <t>VBBB10</t>
  </si>
  <si>
    <t>VBBB11</t>
  </si>
  <si>
    <t>VBBB12</t>
  </si>
  <si>
    <t>VBBB13</t>
  </si>
  <si>
    <t>VBBB14</t>
  </si>
  <si>
    <t>VBBB15</t>
  </si>
  <si>
    <t>VBBB16</t>
  </si>
  <si>
    <t>VBBB17</t>
  </si>
  <si>
    <t>VBBC00</t>
  </si>
  <si>
    <t>0,30</t>
  </si>
  <si>
    <t>v1-1</t>
  </si>
  <si>
    <t>w overshoot setup;</t>
  </si>
  <si>
    <t>VBBC01</t>
  </si>
  <si>
    <t>Increase W temp from 30 to 40C</t>
  </si>
  <si>
    <t>VBBC02</t>
  </si>
  <si>
    <t>Increase W temp from 30 to 50C</t>
  </si>
  <si>
    <t>VBBC03</t>
  </si>
  <si>
    <t>Increase Pressure from 50 to 60 torr</t>
  </si>
  <si>
    <t>VBBC04</t>
  </si>
  <si>
    <t>Growth time: 15min to 18min</t>
  </si>
  <si>
    <t>VBBC05</t>
  </si>
  <si>
    <t>Pressure: 60 torr to 65 torr'</t>
  </si>
  <si>
    <t>VBBC06</t>
  </si>
  <si>
    <t>H2O flow rate: 30 to 40sccm</t>
  </si>
  <si>
    <t>VBBC07</t>
  </si>
  <si>
    <t>Coverage: Higher H2Se (2 to 3 sccm)</t>
  </si>
  <si>
    <t>VBBC08</t>
  </si>
  <si>
    <t>Hayden</t>
  </si>
  <si>
    <t>Coverage: Higher H2e (3 to 3.5 sccm)</t>
  </si>
  <si>
    <t>Uncontrollable pressure: throttle valve oring</t>
  </si>
  <si>
    <t>VBBC09</t>
  </si>
  <si>
    <t>Coverage: Higher H2e (3 to 3.3 sccm)</t>
  </si>
  <si>
    <t>VBBC10</t>
  </si>
  <si>
    <t>Coverage: Higher W (PC2 140 torr to 130 torr)</t>
  </si>
  <si>
    <t>VBBC11</t>
  </si>
  <si>
    <t>Distance check: standing substrate</t>
  </si>
  <si>
    <t>0.5-5.5</t>
  </si>
  <si>
    <t>VBBC12</t>
  </si>
  <si>
    <t>multilayer</t>
  </si>
  <si>
    <t>VBBC13</t>
  </si>
  <si>
    <t>Repeat VBBC07 to check the environment</t>
  </si>
  <si>
    <r>
      <t xml:space="preserve">w overshoot setup; </t>
    </r>
    <r>
      <rPr>
        <b/>
        <sz val="11"/>
        <color rgb="FFFF0000"/>
        <rFont val="Calibri"/>
        <family val="2"/>
      </rPr>
      <t>Change the oring of the throttle valve</t>
    </r>
  </si>
  <si>
    <t>VBBC14</t>
  </si>
  <si>
    <t>VBBC15</t>
  </si>
  <si>
    <t>Best Distance: 3cm</t>
  </si>
  <si>
    <t>VBBC16</t>
  </si>
  <si>
    <t>Intoduce O2 earlier at 800degC</t>
  </si>
  <si>
    <t>w overshoot setup; O2 introduced earlier at 800degC (2min earlier before growth)</t>
  </si>
  <si>
    <t>VBBC17</t>
  </si>
  <si>
    <t>Lower PC2</t>
  </si>
  <si>
    <t>Base pressure abnormal at about 2mTorr</t>
  </si>
  <si>
    <t>VBBC18</t>
  </si>
  <si>
    <t>Increase PC2</t>
  </si>
  <si>
    <t>VBBC19</t>
  </si>
  <si>
    <t>Reduce growth time (15 to 14 min)</t>
  </si>
  <si>
    <t>VBBC20</t>
  </si>
  <si>
    <t>Increase out Ar: SH coating at outlet gas tube</t>
  </si>
  <si>
    <t>VBBD00</t>
  </si>
  <si>
    <t>Coating remove: Change 3-inch tube</t>
  </si>
  <si>
    <t>R.T.</t>
  </si>
  <si>
    <t>higher leakage rate</t>
  </si>
  <si>
    <t>VBBD01</t>
  </si>
  <si>
    <t>1L+2L</t>
  </si>
  <si>
    <t>VBBD02</t>
  </si>
  <si>
    <t>Pressure: 60 torr to 70 torr for higher coverage</t>
  </si>
  <si>
    <t>VBBD03</t>
  </si>
  <si>
    <t>Lower O2 (0.2 to 0.1) for reactivity finetune</t>
  </si>
  <si>
    <t>VBBD04</t>
  </si>
  <si>
    <t>No O2 (0.2 to 0) for leakage check</t>
  </si>
  <si>
    <t>VBBD05</t>
  </si>
  <si>
    <t>Lower O2 (0.2 to 0.15) for reactivity finetune</t>
  </si>
  <si>
    <t>base pressure = 2.16mtorr, leakage = 2.1mtorr/min</t>
  </si>
  <si>
    <t>VBBD06</t>
  </si>
  <si>
    <t>Clean Oring for stable pressure and lower leakage</t>
  </si>
  <si>
    <t>base pressure = 1.44mtorr, leakage = 0.9mtorr/min</t>
  </si>
  <si>
    <t>VBBD07</t>
  </si>
  <si>
    <t>Fix and tape the loose red cable connector</t>
  </si>
  <si>
    <t>base pressure = 1.9-2.02mtorr, leakage = 0.3mtorr/min</t>
  </si>
  <si>
    <t>VBBD08</t>
  </si>
  <si>
    <t>Tighten stage clamp</t>
  </si>
  <si>
    <t>base pressure = 1.88mtorr</t>
  </si>
  <si>
    <t>VBBD09</t>
  </si>
  <si>
    <t>base pressure = 1.65mtorr</t>
  </si>
  <si>
    <t>VBBD10</t>
  </si>
  <si>
    <t>base pressure = 2.22mtorr; 3min: 6.66E-3</t>
  </si>
  <si>
    <t>VBBD11</t>
  </si>
  <si>
    <t>Determine the best stage height for growth</t>
  </si>
  <si>
    <t>base pressure = 2.3mtorr leakage = 1.6mtorr/min</t>
  </si>
  <si>
    <t>VBBD12</t>
  </si>
  <si>
    <t>VBBD13</t>
  </si>
  <si>
    <t>Increase H2Se to improve coverage</t>
  </si>
  <si>
    <t>210, 171</t>
  </si>
  <si>
    <t>0,31</t>
  </si>
  <si>
    <t>15</t>
  </si>
  <si>
    <t>VBBD14</t>
  </si>
  <si>
    <t>Increase O2 to improve grain size</t>
  </si>
  <si>
    <t>210, 172</t>
  </si>
  <si>
    <t>0,32</t>
  </si>
  <si>
    <t>VBBD15</t>
  </si>
  <si>
    <t>Increase O2 from H2O to improve grain size</t>
  </si>
  <si>
    <t>210, 173</t>
  </si>
  <si>
    <t>0,33</t>
  </si>
  <si>
    <t>VBBD16</t>
  </si>
  <si>
    <t xml:space="preserve">Open H2Se 2min earlier for bilayer </t>
  </si>
  <si>
    <t>210, 174</t>
  </si>
  <si>
    <t>0,34</t>
  </si>
  <si>
    <t>H2Se(1): 2min earlier</t>
  </si>
  <si>
    <t>VBBD17</t>
  </si>
  <si>
    <t xml:space="preserve">Reduce water </t>
  </si>
  <si>
    <t>210, 175</t>
  </si>
  <si>
    <t>0,35</t>
  </si>
  <si>
    <t>VBBD18</t>
  </si>
  <si>
    <t>Less H2Se with H2 to reduce island</t>
  </si>
  <si>
    <t>wo overshoot setup (except O2);</t>
  </si>
  <si>
    <t>unstable MFC-1</t>
  </si>
  <si>
    <t>VBBD19</t>
  </si>
  <si>
    <t>Less H2Se to reduce island (3.5 to 3sccm)</t>
  </si>
  <si>
    <t>VBBD20</t>
  </si>
  <si>
    <t>Less W to reduce island (10 to 8 sccm)</t>
  </si>
  <si>
    <t>w overshoot setup (except O2);</t>
  </si>
  <si>
    <t>VBBD21</t>
  </si>
  <si>
    <t>Repeat VBBD17 wo O2 overshoot setup</t>
  </si>
  <si>
    <t>VBBD22</t>
  </si>
  <si>
    <t>Repeat VBBD17</t>
  </si>
  <si>
    <t>VBBD23</t>
  </si>
  <si>
    <t>Earlier H2Se introduction</t>
  </si>
  <si>
    <t>H2Se(1): 7min earlier</t>
  </si>
  <si>
    <t>VBBD24</t>
  </si>
  <si>
    <t>Repeat VA1P012510048 after remove water stuck</t>
  </si>
  <si>
    <t>0, 70</t>
  </si>
  <si>
    <t>20% filled, r.t.</t>
  </si>
  <si>
    <t>VBBD25</t>
  </si>
  <si>
    <t>Repeat VBBC07 after remove water stuck; Less water level to prevent stuck</t>
  </si>
  <si>
    <t>20% filled, 40C</t>
  </si>
  <si>
    <t>VBBD26</t>
  </si>
  <si>
    <t>Repeat VBBD17 after remove water stuck; Less water level to prevent stuck</t>
  </si>
  <si>
    <t>VBBD27</t>
  </si>
  <si>
    <t>Base on VBBD26, introduce H2Se 7 mins eariler. The result can compare w/ VBBD23 (MFC-1 malfunction)</t>
  </si>
  <si>
    <t>VBBD28</t>
  </si>
  <si>
    <t>Base on VBBD26, introduce H2Se 7 mins and O2 30 sec eariler</t>
  </si>
  <si>
    <t>H2Se(1): 7min earlier
O2(0.1): 30 sec eariler</t>
  </si>
  <si>
    <t>VBBD29</t>
  </si>
  <si>
    <t>Introduce H2Se 7min earlier before growth</t>
  </si>
  <si>
    <t>1L-2L</t>
  </si>
  <si>
    <t>VBBD30</t>
  </si>
  <si>
    <t>Reduce W ratio</t>
  </si>
  <si>
    <t>VBBD31</t>
  </si>
  <si>
    <t>Further reduce water</t>
  </si>
  <si>
    <t>VBBD32</t>
  </si>
  <si>
    <t>Increase growth temperature</t>
  </si>
  <si>
    <t>VBBD33</t>
  </si>
  <si>
    <t>VBBD34</t>
  </si>
  <si>
    <t>Higher O2(0.1 to 0.15)</t>
  </si>
  <si>
    <t>VBBD35</t>
  </si>
  <si>
    <t>Higher O2(0.1 to 0.2)</t>
  </si>
  <si>
    <t>VBBD36</t>
  </si>
  <si>
    <t>Higher O2(0.1 to 0.3)</t>
  </si>
  <si>
    <t>VBBD37</t>
  </si>
  <si>
    <t>Higher H2Se for coverage</t>
  </si>
  <si>
    <t>VBBD38</t>
  </si>
  <si>
    <t>2 Stage Growth</t>
  </si>
  <si>
    <t>VBBD39</t>
  </si>
  <si>
    <t>Reduce growth temperature</t>
  </si>
  <si>
    <t>VBBD40</t>
  </si>
  <si>
    <t xml:space="preserve">All precursors introduced 2min earlier </t>
  </si>
  <si>
    <t>v1-2</t>
  </si>
  <si>
    <t>Change SH</t>
  </si>
  <si>
    <t>VBBE00</t>
  </si>
  <si>
    <t>no coating, the W source might lower than VBBD40; hence, obtain 1L?</t>
  </si>
  <si>
    <t>1L. High nucleation density similar result as VBBD40.</t>
  </si>
  <si>
    <t>VBBE01</t>
  </si>
  <si>
    <t>Repeat VBBC07</t>
  </si>
  <si>
    <t xml:space="preserve">1L. Second layer nucleation density reduced. </t>
  </si>
  <si>
    <t>VBBE02</t>
  </si>
  <si>
    <t>Recheck 2025 Oct. baseline VA1P012510048</t>
  </si>
  <si>
    <t>0,70</t>
  </si>
  <si>
    <t xml:space="preserve">1L. Poor growth but larger domain size. </t>
  </si>
  <si>
    <t>VBBE03</t>
  </si>
  <si>
    <t>Reduced H2Se from 3 to 2.5</t>
  </si>
  <si>
    <t xml:space="preserve">1L. Second layer nucleation density further reduced. </t>
  </si>
  <si>
    <t>VBBE04</t>
  </si>
  <si>
    <t>Reduced H2Se from 3 to 2</t>
  </si>
  <si>
    <t xml:space="preserve">1L. Second layer nucleation density further reduced but domain size reduced as compared to E03. </t>
  </si>
  <si>
    <t>VBBE05</t>
  </si>
  <si>
    <t>Reduce H2Se for less island</t>
  </si>
  <si>
    <t>1L. Increased O2 caused high nucleation density.</t>
  </si>
  <si>
    <t>VBBE06</t>
  </si>
  <si>
    <t>8/8/</t>
  </si>
  <si>
    <t>Less W for lower density</t>
  </si>
  <si>
    <t>1L. No significant difference as compared to E05.</t>
  </si>
  <si>
    <t>VBBE07</t>
  </si>
  <si>
    <t>Higher pressue for lower density</t>
  </si>
  <si>
    <t>1L. No significant improvement.</t>
  </si>
  <si>
    <t>VBBE08</t>
  </si>
  <si>
    <t>1L. Monolayer no merge.</t>
  </si>
  <si>
    <t>VBBE09</t>
  </si>
  <si>
    <t>H2Se pretreat</t>
  </si>
  <si>
    <t>H2Se(1): from beginning</t>
  </si>
  <si>
    <t>2L. But not fully merge and small domain size</t>
  </si>
  <si>
    <t>VBBE10</t>
  </si>
  <si>
    <t>Less out Ar for less island</t>
  </si>
  <si>
    <t>1L. Poor growth.</t>
  </si>
  <si>
    <t>VBBE11</t>
  </si>
  <si>
    <t>Higher H2O for bilayer growth</t>
  </si>
  <si>
    <t>VBBE12</t>
  </si>
  <si>
    <t>Repeat VBBE11</t>
  </si>
  <si>
    <t>VBBE13</t>
  </si>
  <si>
    <r>
      <rPr>
        <sz val="11"/>
        <color rgb="FF000000"/>
        <rFont val="Calibri"/>
        <family val="2"/>
      </rPr>
      <t xml:space="preserve">Reduce O2 from 0.2 to 0.15, </t>
    </r>
    <r>
      <rPr>
        <b/>
        <sz val="11"/>
        <color rgb="FFFF0000"/>
        <rFont val="Calibri"/>
        <family val="2"/>
      </rPr>
      <t>forgot to change inner tube</t>
    </r>
  </si>
  <si>
    <t>1L, particles not fully merge</t>
  </si>
  <si>
    <t>VBBE14</t>
  </si>
  <si>
    <t>H2Se pretreat, decrease O2 from 0.2 to 0.15</t>
  </si>
  <si>
    <t>VBBE15</t>
  </si>
  <si>
    <t>Repeat baseline to check distance</t>
  </si>
  <si>
    <t>1-6cm</t>
  </si>
  <si>
    <t>Tube clean</t>
  </si>
  <si>
    <t>Too much coating</t>
  </si>
  <si>
    <t>VAAA00</t>
  </si>
  <si>
    <t>foil, 0.5cm</t>
  </si>
  <si>
    <t>30mL</t>
  </si>
  <si>
    <t>v1</t>
  </si>
  <si>
    <t>300C-10, O2(1): 25/850C</t>
  </si>
  <si>
    <t>H2Se(0.4)-10</t>
  </si>
  <si>
    <t>VAAA01</t>
  </si>
  <si>
    <t>VAAA02</t>
  </si>
  <si>
    <t>O2 anneal (1)</t>
  </si>
  <si>
    <t>300C-10</t>
  </si>
  <si>
    <t>A</t>
  </si>
  <si>
    <t>VAAA03</t>
  </si>
  <si>
    <t>VAAA04</t>
  </si>
  <si>
    <t>better quality for H2O+H2 result</t>
  </si>
  <si>
    <t>VAAA05</t>
  </si>
  <si>
    <r>
      <rPr>
        <b/>
        <sz val="11"/>
        <color rgb="FFFF0000"/>
        <rFont val="Calibri"/>
        <family val="2"/>
      </rPr>
      <t xml:space="preserve">standing </t>
    </r>
    <r>
      <rPr>
        <sz val="11"/>
        <color theme="1"/>
        <rFont val="Calibri"/>
        <family val="2"/>
      </rPr>
      <t>anneal sapphire</t>
    </r>
  </si>
  <si>
    <t>longer distance has larger grain, nucleation density is similar</t>
  </si>
  <si>
    <t>VAAA06</t>
  </si>
  <si>
    <t>1.5-6.5</t>
  </si>
  <si>
    <t>VAAA07</t>
  </si>
  <si>
    <t>monolayer film art 3cm</t>
  </si>
  <si>
    <t>VAAA08</t>
  </si>
  <si>
    <r>
      <rPr>
        <b/>
        <sz val="11"/>
        <color rgb="FFFF0000"/>
        <rFont val="Calibri"/>
        <family val="2"/>
      </rPr>
      <t xml:space="preserve">repeat cheak, standing </t>
    </r>
    <r>
      <rPr>
        <sz val="11"/>
        <color theme="1"/>
        <rFont val="Calibri"/>
        <family val="2"/>
      </rPr>
      <t>anneal sapphire</t>
    </r>
  </si>
  <si>
    <t>small flake only</t>
  </si>
  <si>
    <t>VAAA09</t>
  </si>
  <si>
    <t>repeat cheak</t>
  </si>
  <si>
    <t>dense small flake+few large flake</t>
  </si>
  <si>
    <t>VAAA10</t>
  </si>
  <si>
    <t>O2 anneal (2)</t>
  </si>
  <si>
    <t>repeat cheak with coating</t>
  </si>
  <si>
    <t>VAAA11</t>
  </si>
  <si>
    <r>
      <rPr>
        <b/>
        <sz val="11"/>
        <color rgb="FFFF0000"/>
        <rFont val="Calibri"/>
        <family val="2"/>
      </rPr>
      <t xml:space="preserve">repeat cheak with coating, standing </t>
    </r>
    <r>
      <rPr>
        <b/>
        <sz val="11"/>
        <rFont val="Calibri"/>
        <family val="2"/>
      </rPr>
      <t>a</t>
    </r>
    <r>
      <rPr>
        <sz val="11"/>
        <color theme="1"/>
        <rFont val="Calibri"/>
        <family val="2"/>
      </rPr>
      <t>nneal sapphire</t>
    </r>
  </si>
  <si>
    <t>VAAA12</t>
  </si>
  <si>
    <t>foil, 0.25cm</t>
  </si>
  <si>
    <t>repeat cheak with holder cap</t>
  </si>
  <si>
    <t>Holder break, possibly due to the sapphire?</t>
  </si>
  <si>
    <t>VAAA13</t>
  </si>
  <si>
    <t>dummy test</t>
  </si>
  <si>
    <t>1L film growth with multilayer nucleus</t>
  </si>
  <si>
    <t>VAAA14</t>
  </si>
  <si>
    <r>
      <t xml:space="preserve">dummy test, </t>
    </r>
    <r>
      <rPr>
        <b/>
        <sz val="11"/>
        <color rgb="FFFF0000"/>
        <rFont val="Calibri"/>
        <family val="2"/>
      </rPr>
      <t>refill H2O 30mL</t>
    </r>
  </si>
  <si>
    <t>Small dense nuclei/flakes could be observed under AFM, small Raman signal</t>
  </si>
  <si>
    <t>VAAA15</t>
  </si>
  <si>
    <t>O2 anneal (3)</t>
  </si>
  <si>
    <t>1L film, FWHM: 38-42, antiparallel, size=4um</t>
  </si>
  <si>
    <t>VAAA16</t>
  </si>
  <si>
    <t>1L film, FWHM: 40-44</t>
  </si>
  <si>
    <t>VAAA17</t>
  </si>
  <si>
    <t>repeat cheak with coating (reuse W foil)</t>
  </si>
  <si>
    <t>1L film, FWHM: 44-47, size=2.3um</t>
  </si>
  <si>
    <t>VAAA18</t>
  </si>
  <si>
    <t>VAAA19</t>
  </si>
  <si>
    <t>O2 anneal (4)</t>
  </si>
  <si>
    <t>repeat for resume coating</t>
  </si>
  <si>
    <t>VAAA20</t>
  </si>
  <si>
    <t>1L 17um flake, partial single orientation(80%)</t>
  </si>
  <si>
    <t>VAAA21</t>
  </si>
  <si>
    <t>foil, 1cm</t>
  </si>
  <si>
    <t>VAAA22</t>
  </si>
  <si>
    <t>repeat 03001</t>
  </si>
  <si>
    <t>1L highly-merged, a lot of particles, domain~10um</t>
  </si>
  <si>
    <t>W foil pieces full into SH</t>
  </si>
  <si>
    <t>VAAA23</t>
  </si>
  <si>
    <t>1L clean film, domain~3um</t>
  </si>
  <si>
    <t>VAAA24</t>
  </si>
  <si>
    <t>1L clean film, domain~1um</t>
  </si>
  <si>
    <t>VAAA25</t>
  </si>
  <si>
    <t>1L flake and highly merged, domain~15um, antiarallel? Single ~60-70%?</t>
  </si>
  <si>
    <t>VAAA26</t>
  </si>
  <si>
    <t>film with particles, small domain size at film region</t>
  </si>
  <si>
    <t>probably due to the fall pieces cracked in the SH</t>
  </si>
  <si>
    <t>VAAA27</t>
  </si>
  <si>
    <t>O3 anneal (1hr)</t>
  </si>
  <si>
    <r>
      <t>1L flim, wide PL FWHM~49</t>
    </r>
    <r>
      <rPr>
        <b/>
        <sz val="11"/>
        <color theme="1"/>
        <rFont val="Calibri"/>
        <family val="2"/>
      </rPr>
      <t>nm</t>
    </r>
  </si>
  <si>
    <t>VAAA28</t>
  </si>
  <si>
    <t>repeat 03001, unanneal sapphire</t>
  </si>
  <si>
    <r>
      <t>1L flim, PL FWHM~43</t>
    </r>
    <r>
      <rPr>
        <b/>
        <sz val="11"/>
        <color theme="1"/>
        <rFont val="Calibri"/>
        <family val="2"/>
      </rPr>
      <t>nm</t>
    </r>
  </si>
  <si>
    <t>VAAA29</t>
  </si>
  <si>
    <t>A1</t>
  </si>
  <si>
    <t>A-O-M</t>
  </si>
  <si>
    <t>Excessive mL</t>
  </si>
  <si>
    <t>VAAA30</t>
  </si>
  <si>
    <t>A2</t>
  </si>
  <si>
    <t>1L film with multilayer, PLFWHM~45nm</t>
  </si>
  <si>
    <t>VAAA31</t>
  </si>
  <si>
    <t>B2</t>
  </si>
  <si>
    <t>O2 anneal</t>
  </si>
  <si>
    <t>1L clean film with many particles, PL FWHM~45nm, domain = 1.4um</t>
  </si>
  <si>
    <t>VAAA32</t>
  </si>
  <si>
    <t>B3</t>
  </si>
  <si>
    <t>1L clean film with some particles, PL FWHM~50nm, domain = 1um</t>
  </si>
  <si>
    <t>VAAA33</t>
  </si>
  <si>
    <t>C1</t>
  </si>
  <si>
    <t>A-O</t>
  </si>
  <si>
    <t>VAAA34</t>
  </si>
  <si>
    <t>C2</t>
  </si>
  <si>
    <t>300C-10, Se(2.5): 500C/850C-15</t>
  </si>
  <si>
    <t>Se pre-treatment to reduce coating effect</t>
  </si>
  <si>
    <t>VAAA35</t>
  </si>
  <si>
    <t>C3</t>
  </si>
  <si>
    <t>300C-10, Se(1): 500C/850C-15</t>
  </si>
  <si>
    <t>H2Se(0.4)-10, Arin=500</t>
  </si>
  <si>
    <t>VAAA36</t>
  </si>
  <si>
    <t>D1</t>
  </si>
  <si>
    <t>foil, 0.5cm, up 5cm</t>
  </si>
  <si>
    <t>VAAA37</t>
  </si>
  <si>
    <t>A+O+I</t>
  </si>
  <si>
    <t>Change tube, SH upward 2.5cm, repeat 03001 for single orientation</t>
  </si>
  <si>
    <t>2L flakes with 1L nucleus</t>
  </si>
  <si>
    <t>VAAA38</t>
  </si>
  <si>
    <t>D2</t>
  </si>
  <si>
    <t>recheck</t>
  </si>
  <si>
    <t>VAAA39</t>
  </si>
  <si>
    <t>D3</t>
  </si>
  <si>
    <t>lower P for higher nucleation density</t>
  </si>
  <si>
    <t>1L / 2L flakes, larger domain of 18um; 1L flakes, 1-3um</t>
  </si>
  <si>
    <t>VAAA40</t>
  </si>
  <si>
    <t>E1</t>
  </si>
  <si>
    <r>
      <t xml:space="preserve">foil, </t>
    </r>
    <r>
      <rPr>
        <b/>
        <sz val="11"/>
        <rFont val="Calibri"/>
        <family val="2"/>
      </rPr>
      <t>0.5cmx6cm</t>
    </r>
  </si>
  <si>
    <t>Air anneal</t>
  </si>
  <si>
    <t>previous W foil: 0.5cmx4cm, air annealed W foil with another furnace</t>
  </si>
  <si>
    <t>1L/ 2L flake,~10um; 1L flakes, 3um (small 1L flake size increase)</t>
  </si>
  <si>
    <t>VAAA41</t>
  </si>
  <si>
    <t>E2</t>
  </si>
  <si>
    <t>after anneal, with longer foil</t>
  </si>
  <si>
    <t>1L/ 2L flake, 50-80 um; 1L flakes, 1-3um; 2L film around the wafer edge</t>
  </si>
  <si>
    <t>VAAA42</t>
  </si>
  <si>
    <t>E3</t>
  </si>
  <si>
    <t>small distance for higher nucleation density</t>
  </si>
  <si>
    <t>VAAA43</t>
  </si>
  <si>
    <t>JK; Add O2</t>
  </si>
  <si>
    <t>VAAA44</t>
  </si>
  <si>
    <t>VAAA45</t>
  </si>
  <si>
    <t>VAAA46</t>
  </si>
  <si>
    <t>Reuse VAAA45</t>
  </si>
  <si>
    <t>VAAA47</t>
  </si>
  <si>
    <t>Higher H2Se to balance O2</t>
  </si>
  <si>
    <t>1L flakes with thick center</t>
  </si>
  <si>
    <t>VAAA48</t>
  </si>
  <si>
    <t>Higher H2 to balance O2</t>
  </si>
  <si>
    <t>2L flakes on 1L film</t>
  </si>
  <si>
    <t>VAAA49</t>
  </si>
  <si>
    <t>Recheck after cleaning</t>
  </si>
  <si>
    <t>WO3 (0.16g)</t>
  </si>
  <si>
    <t>WO3 turn to blue</t>
  </si>
  <si>
    <t>SH outer gas outlet: bilayer flakes, other region: monolayer small flakes. Many particles. WO3 turn to blue</t>
  </si>
  <si>
    <t>VABA01</t>
  </si>
  <si>
    <t>Repeat baseline</t>
  </si>
  <si>
    <t>re1-WO3 (0.16g)</t>
  </si>
  <si>
    <t>bilayer at center while other region with monolayer flakes with nuclei center.</t>
  </si>
  <si>
    <t>VABA02</t>
  </si>
  <si>
    <t>re2-WO3 (0.16g)</t>
  </si>
  <si>
    <t>Still with distribution aligned with SH. Bilayer grow at position 9.</t>
  </si>
  <si>
    <t>VABA03</t>
  </si>
  <si>
    <t>increase sample-showerhead distance from 2 to 3</t>
  </si>
  <si>
    <t>Nucleation density and bilayer coverage reduce</t>
  </si>
  <si>
    <t>VABA04</t>
  </si>
  <si>
    <t>Two stage Ar flow rate</t>
  </si>
  <si>
    <t>50,80</t>
  </si>
  <si>
    <t>out Ar=50(ramp), 80(growth)</t>
  </si>
  <si>
    <t>No distribution of SH, but with distribution from left  inside (monolayer) and right outside (bilayer)</t>
  </si>
  <si>
    <t>VABA05</t>
  </si>
  <si>
    <t>increase growth time 15 --&gt;20 for higher coverage</t>
  </si>
  <si>
    <t>out Ar=50(ramp), 80(growth)
Although increase growth time, but the W source was degraded</t>
  </si>
  <si>
    <t>Lower coverage</t>
  </si>
  <si>
    <t>VABA06</t>
  </si>
  <si>
    <t>Adding O2 in the pretreatment to oxidize WO3 as initial state</t>
  </si>
  <si>
    <t>re3-WO3 (0.16g)</t>
  </si>
  <si>
    <t>300C-10, O2(0.5)</t>
  </si>
  <si>
    <t>1L film, 123 clean while 689 with multilayer flake. Domain size= 2um</t>
  </si>
  <si>
    <t>VABA07</t>
  </si>
  <si>
    <t>adding H2O after 1min of growth</t>
  </si>
  <si>
    <t>re4-WO3 (0.16g)</t>
  </si>
  <si>
    <t>out Ar=50(ramp), 80(growth). H2O introduce later (1min) for bilayer nuclei</t>
  </si>
  <si>
    <t>1L highly merged, larger domain size(center=2-5um, edge=5-10um)</t>
  </si>
  <si>
    <t>VABA08</t>
  </si>
  <si>
    <t>decrease O2 pretreatment amount</t>
  </si>
  <si>
    <t>re5-WO3 (0.16g)</t>
  </si>
  <si>
    <t>300C-10, O2(0.1)</t>
  </si>
  <si>
    <t>1L film + partial region large flakes with thick nucleation center</t>
  </si>
  <si>
    <t>VABA09</t>
  </si>
  <si>
    <t>increase H2 20--&gt;30sccm and higher spin</t>
  </si>
  <si>
    <t>re6-WO3 (0.16g)</t>
  </si>
  <si>
    <t>1L film/ flakes, flakes with weird PL: 780nm for 3s and then suddenly change to 720nm</t>
  </si>
  <si>
    <t>VABA10</t>
  </si>
  <si>
    <t>lower H2 30 --&gt; 10 and higher spin</t>
  </si>
  <si>
    <t>1L large flake (star-shape). PL red shift but with narrower FWHM</t>
  </si>
  <si>
    <t>VABA11</t>
  </si>
  <si>
    <t>1L triangle flake with redshifted PL and slightly wider FWHM</t>
  </si>
  <si>
    <t>VABA12</t>
  </si>
  <si>
    <t>reproducibility</t>
  </si>
  <si>
    <t>repeat VABA07</t>
  </si>
  <si>
    <t>weird result</t>
  </si>
  <si>
    <t>H2 residue</t>
  </si>
  <si>
    <t>VABA13</t>
  </si>
  <si>
    <t>new-WO3 (0.16g)</t>
  </si>
  <si>
    <t>A-OM</t>
  </si>
  <si>
    <r>
      <t>repeat VABA07;</t>
    </r>
    <r>
      <rPr>
        <sz val="11"/>
        <color rgb="FFFF0000"/>
        <rFont val="Calibri"/>
        <family val="2"/>
      </rPr>
      <t xml:space="preserve"> tube cleaned</t>
    </r>
  </si>
  <si>
    <t>VABA14</t>
  </si>
  <si>
    <t>VABA15</t>
  </si>
  <si>
    <r>
      <t xml:space="preserve">repeat VABA07, H2&amp;H2Se regulator check; </t>
    </r>
    <r>
      <rPr>
        <sz val="11"/>
        <color rgb="FFFF0000"/>
        <rFont val="Calibri"/>
        <family val="2"/>
      </rPr>
      <t xml:space="preserve">H2 cylinder didn't open </t>
    </r>
  </si>
  <si>
    <t>small dense flakes</t>
  </si>
  <si>
    <t>VABA16</t>
  </si>
  <si>
    <r>
      <t xml:space="preserve">repeat VABA07, H2&amp;H2Se regulator check; </t>
    </r>
    <r>
      <rPr>
        <sz val="11"/>
        <color rgb="FFFF0000"/>
        <rFont val="Calibri"/>
        <family val="2"/>
      </rPr>
      <t>H2 gas didn't purge</t>
    </r>
  </si>
  <si>
    <t>small dense flakes, edge 2L and 3L</t>
  </si>
  <si>
    <t>VABA17</t>
  </si>
  <si>
    <t>WO3 holder position slightly move</t>
  </si>
  <si>
    <t>doughnut like distribution: growth at center and edge, large flakes, PL=782nm, FWHM=41</t>
  </si>
  <si>
    <t>VABA18</t>
  </si>
  <si>
    <t>Quality: H2</t>
  </si>
  <si>
    <t>&gt;90% coverage, 1L film. PL position~770nm, FWHM~45nm</t>
  </si>
  <si>
    <t>VABA19</t>
  </si>
  <si>
    <t>center-edge: 2L highly-merged/1L highly-merged/1L flake (triangle)</t>
  </si>
  <si>
    <t>VABA20</t>
  </si>
  <si>
    <t>Quality: remove residual O2</t>
  </si>
  <si>
    <t>300C-10, O2(0.5), O2(0): 890C-3</t>
  </si>
  <si>
    <t>small dense 1L</t>
  </si>
  <si>
    <t>VABA21</t>
  </si>
  <si>
    <t>300C-10, O2(0.5), O2(0): 890C-1.5</t>
  </si>
  <si>
    <t>small dense 3L/2L/1L</t>
  </si>
  <si>
    <t>VABA22</t>
  </si>
  <si>
    <t>Quality: H2Se earlier</t>
  </si>
  <si>
    <t>300C-10, O2(0.5), H2Se(1): 815C</t>
  </si>
  <si>
    <t>star-shape 1L flake/highly merged, PL=780, 40</t>
  </si>
  <si>
    <t>VABA23</t>
  </si>
  <si>
    <t>300C-10, O2(0.5), H2Se(1): 705C</t>
  </si>
  <si>
    <t>star-shape 1L flake. PL = 781nm;48nm</t>
  </si>
  <si>
    <t>VABA24</t>
  </si>
  <si>
    <t>0,80</t>
  </si>
  <si>
    <t>star-shape 1L flake. PL = 779nm;51nm</t>
  </si>
  <si>
    <t>VABA25</t>
  </si>
  <si>
    <t>Quality: replace O2 with H2O at beginning</t>
  </si>
  <si>
    <r>
      <rPr>
        <sz val="11"/>
        <color rgb="FF000000"/>
        <rFont val="Calibri"/>
        <family val="2"/>
      </rPr>
      <t xml:space="preserve">300C-10, </t>
    </r>
    <r>
      <rPr>
        <b/>
        <sz val="11"/>
        <color rgb="FFFF0000"/>
        <rFont val="Calibri"/>
        <family val="2"/>
      </rPr>
      <t>H2O (150, 40)</t>
    </r>
  </si>
  <si>
    <t>small dot, multilayer dot</t>
  </si>
  <si>
    <t>VABA26</t>
  </si>
  <si>
    <t>0,60</t>
  </si>
  <si>
    <t>triangle and star-shape 1L flake. PL FWHM = 767nm; 51.5nm</t>
  </si>
  <si>
    <t>VABA27</t>
  </si>
  <si>
    <t xml:space="preserve">Quality: Temp </t>
  </si>
  <si>
    <t xml:space="preserve">WO3 tube moves to a bad position </t>
  </si>
  <si>
    <t>small dense flakes. PL FWHM: 754nm;34.8nm</t>
  </si>
  <si>
    <t>VABA28</t>
  </si>
  <si>
    <t>Quality: Temp</t>
  </si>
  <si>
    <t>Move WO3 tube back; but moves to a bad position after growth</t>
  </si>
  <si>
    <t>small dense flakes. PL FWHM: 757nm;34.7nm</t>
  </si>
  <si>
    <t>VABA29</t>
  </si>
  <si>
    <t>WO3 precursor setup</t>
  </si>
  <si>
    <t>triangle+small dense flakes. PL = 776nm;45nm</t>
  </si>
  <si>
    <t>VABA30</t>
  </si>
  <si>
    <t>O2 pretreat finetune</t>
  </si>
  <si>
    <t>300C-10, 300-840: O2(0.5)</t>
  </si>
  <si>
    <t>small dense flake at surrounding, center region with bilayer growth</t>
  </si>
  <si>
    <t>VABA31</t>
  </si>
  <si>
    <t>Without O2 pretreatment check</t>
  </si>
  <si>
    <t>small flakes (2um) with PL&lt;35nm</t>
  </si>
  <si>
    <t>VABA32</t>
  </si>
  <si>
    <t>Reproducibility: new powder</t>
  </si>
  <si>
    <t>300C-10, 300: O2(0.5)</t>
  </si>
  <si>
    <t>2L ring with other region of 1L flakes</t>
  </si>
  <si>
    <t>VABA33</t>
  </si>
  <si>
    <t>re-WO3 (0.16g)</t>
  </si>
  <si>
    <t>2L ring; inside ring: small dense flakes; outside ring: larger flake</t>
  </si>
  <si>
    <t>VAAA50</t>
  </si>
  <si>
    <t>VA1P012603001</t>
  </si>
  <si>
    <t>sufficient W suply</t>
  </si>
  <si>
    <r>
      <t xml:space="preserve">foil, </t>
    </r>
    <r>
      <rPr>
        <sz val="11"/>
        <rFont val="Aptos Narrow"/>
        <family val="2"/>
        <scheme val="minor"/>
      </rPr>
      <t>0.5cmx6cm</t>
    </r>
  </si>
  <si>
    <t>Small dense flakes, good quality, low coverage.</t>
  </si>
  <si>
    <t>VAAA51</t>
  </si>
  <si>
    <t>Larege flakes with small dense flakes. The distribution aligned wit the outer gas outlet.</t>
  </si>
  <si>
    <t>VAAB01</t>
  </si>
  <si>
    <t>O2 in situ treat</t>
  </si>
  <si>
    <t>300C-10, 300C-600C-10: O2(1), 600C-890C: O2(0.1), 890C: O2(0)</t>
  </si>
  <si>
    <t>Few large flakes with small dense flakes. Edge (0.5-0.8cm width): film</t>
  </si>
  <si>
    <t>VAAB02</t>
  </si>
  <si>
    <t>Reproducibility and uniformity (base on the flow stability result)</t>
  </si>
  <si>
    <t>Uniform clean film on 2-inch wafer. Small domain size. The quality could be improved.</t>
  </si>
  <si>
    <t>VAAB03</t>
  </si>
  <si>
    <t>VAAB04</t>
  </si>
  <si>
    <t>re-1</t>
  </si>
  <si>
    <t>Uniform film on 2-inch wafer. Small domain size. The quality could be improved.</t>
  </si>
  <si>
    <t>VAAB05</t>
  </si>
  <si>
    <t>re-2</t>
  </si>
  <si>
    <t>VAAB06</t>
  </si>
  <si>
    <t>Depostion position check</t>
  </si>
  <si>
    <t>V (0.5-5.5)</t>
  </si>
  <si>
    <t>not uniform multilayer</t>
  </si>
  <si>
    <t>VAAB07</t>
  </si>
  <si>
    <t>V (3.5-8.5)</t>
  </si>
  <si>
    <t>monolayer with multilayer→monolayer</t>
  </si>
  <si>
    <t>VAAB08</t>
  </si>
  <si>
    <t>monolayer film with few bilayer</t>
  </si>
  <si>
    <t>W foil cracked into pieces</t>
  </si>
  <si>
    <t>VAAB09</t>
  </si>
  <si>
    <t>new, O2 in situ treat</t>
  </si>
  <si>
    <t>VABA34</t>
  </si>
  <si>
    <t>new WO3</t>
  </si>
  <si>
    <t>full in tube, hang</t>
  </si>
  <si>
    <t>out Ar=50(ramp), 80(growth). H2O introduce later (1min) for bilayer nuclei, WO3 final check</t>
  </si>
  <si>
    <t>vertically not uniform, excessice source</t>
  </si>
  <si>
    <t>VABA35</t>
  </si>
  <si>
    <t xml:space="preserve">H2O introduce later (1min). Before growth, Ar (out) 50 </t>
  </si>
  <si>
    <t>Better quality at 8cm but with multilayer. At 6cm, the film is clean</t>
  </si>
  <si>
    <t>VABA36</t>
  </si>
  <si>
    <t>Clean and uniform film but the domain is small</t>
  </si>
  <si>
    <t>VABA37</t>
  </si>
  <si>
    <t>Compare to last run, the film is easier to be broken when doing the Raman characterization</t>
  </si>
  <si>
    <t>VABA38</t>
  </si>
  <si>
    <t>Small domain size but uniform</t>
  </si>
  <si>
    <t>VABA39</t>
  </si>
  <si>
    <t>Distribution, ring like. Larger domain size and better quality (&gt;5um, up to 30um, PL FWHM min = 35nm)</t>
  </si>
  <si>
    <t>VABA40</t>
  </si>
  <si>
    <t>Uniformity: ratation speed</t>
  </si>
  <si>
    <t>found increasing blue coating on the tube wall. Smaller domain size compare to last run. The distribution ring move outward from the center of the wafer</t>
  </si>
  <si>
    <t>VABA41</t>
  </si>
  <si>
    <t>Reproducibility</t>
  </si>
  <si>
    <t>distribution: inside and outside, inside with more multilayer, outside wasn't full. Large domain size and good quality</t>
  </si>
  <si>
    <t>VABA42</t>
  </si>
  <si>
    <t>outer ring : some region is not full. Small domain size (not sure whether it is due to what) normal quality</t>
  </si>
  <si>
    <t>VABA43</t>
  </si>
  <si>
    <t>center only few large flake???PL shift to low energy but the FWHM is narrow</t>
  </si>
  <si>
    <t>VABA44</t>
  </si>
  <si>
    <t>full but with small domain size and normal quality</t>
  </si>
  <si>
    <t>VABA45</t>
  </si>
  <si>
    <t>O2(0.5)</t>
  </si>
  <si>
    <t>VABA46</t>
  </si>
  <si>
    <t>Similar with VABA39 last time use new powder but with 10torr, multilayer</t>
  </si>
  <si>
    <t>VABA47</t>
  </si>
  <si>
    <t>Ring-like distribution with center region seems to be uniform. The quality is poor.</t>
  </si>
  <si>
    <t>VABA48</t>
  </si>
  <si>
    <t>Domain size</t>
  </si>
  <si>
    <t>300C-10, O2(0.3)</t>
  </si>
  <si>
    <t>Slightly larger domain</t>
  </si>
  <si>
    <t>VABA49</t>
  </si>
  <si>
    <t>small thick layer</t>
  </si>
  <si>
    <t>VABA50</t>
  </si>
  <si>
    <t>300C-10, O2(0.5): 300C-890C, H2Se(1): 300C-850C</t>
  </si>
  <si>
    <t>Dirty with thick layer, slightly larger domain</t>
  </si>
  <si>
    <t>VABA51</t>
  </si>
  <si>
    <t>300C-10, O2(0.5): 300C-890C, H2Se(2): 300C-850C</t>
  </si>
  <si>
    <t>larger domain size but still normal quality</t>
  </si>
  <si>
    <t>VABA52</t>
  </si>
  <si>
    <t>300C-10, O2(0.5): 300C-890C, H2Se(3): 300C-850C</t>
  </si>
  <si>
    <t>larger domain size, better quality, partial region is not full</t>
  </si>
  <si>
    <t>VABA53</t>
  </si>
  <si>
    <t>250,80</t>
  </si>
  <si>
    <t>Smaller domain size and worse quality</t>
  </si>
  <si>
    <t>VABA54</t>
  </si>
  <si>
    <t>100,80</t>
  </si>
  <si>
    <t>300C-10, O2(0.5): 300C-890C, H2Se(5): 300C-850C</t>
  </si>
  <si>
    <t>Smaller domain size than VABA52, but larger than VABA53, and worse quality</t>
  </si>
  <si>
    <t>VABA55</t>
  </si>
  <si>
    <t>Larger domain size but smaller than VABA52, and the quality is worse</t>
  </si>
  <si>
    <t>VABA56</t>
  </si>
  <si>
    <t>Large domain size but still smaller than VABA52. Lower coverage</t>
  </si>
  <si>
    <t>VABA57</t>
  </si>
  <si>
    <t>Low coverage, ring-distribution, better quality</t>
  </si>
  <si>
    <t>stop at 10 min due to the low pressure of H2O</t>
  </si>
  <si>
    <t>VABA58</t>
  </si>
  <si>
    <t>Low coverage, dot-distribution, flake center with particle, worse quality</t>
  </si>
  <si>
    <t>WO3 color is dark</t>
  </si>
  <si>
    <t>VABA59</t>
  </si>
  <si>
    <t>Slightly smaller domain compare to VABA52 and worse quality. Particle nuclei with thick island</t>
  </si>
  <si>
    <t>VABA60</t>
  </si>
  <si>
    <t>Larger domain size with thick oxide and thick layer center, normal quality, highly merged, not full coverage</t>
  </si>
  <si>
    <t>VABA61</t>
  </si>
  <si>
    <t>smaller domain size, same quality, less thick nucleus on most of the region but excessive multilayer nucleus at the center of the wafer</t>
  </si>
  <si>
    <t>VABA62</t>
  </si>
  <si>
    <t>Edge with thick nucleus and not full monolayer flake, mot of the region are fully cover, center region highly merged (&gt;90%)</t>
  </si>
  <si>
    <t>VABA63</t>
  </si>
  <si>
    <t>Coverage</t>
  </si>
  <si>
    <t>Okay domain size, less nucleus-induced GB inSHG, worse quality, higher coverage</t>
  </si>
  <si>
    <t>VABA64</t>
  </si>
  <si>
    <t>Large nuclus center reduce but the domain size become smaller. Normal quality. Ring distribution of highly merged</t>
  </si>
  <si>
    <t>VABA65</t>
  </si>
  <si>
    <t>300C-10, O2(0.5): 300C-890C, H2Se(3): 300C-875C</t>
  </si>
  <si>
    <t>With large nucleus, domain size okay, worse quality. Ring distibution of higly merge</t>
  </si>
  <si>
    <t>VABA66</t>
  </si>
  <si>
    <t xml:space="preserve">Ring distibution move outward. Normal quality. Large nucleus center </t>
  </si>
  <si>
    <t>VABA67</t>
  </si>
  <si>
    <t>ring distribution, olay domain size, normal quality</t>
  </si>
  <si>
    <t>VABA68</t>
  </si>
  <si>
    <t>30,80</t>
  </si>
  <si>
    <t>less ring distribution, but with large particles</t>
  </si>
  <si>
    <t>VABA69</t>
  </si>
  <si>
    <t>H2O introduce later (1min).</t>
  </si>
  <si>
    <t>High coverage, thick island cluster</t>
  </si>
  <si>
    <t>VABA70</t>
  </si>
  <si>
    <t>High coverage, thick island cluster, similar result, but more thick nucleus cluster</t>
  </si>
  <si>
    <t>Consume new WO3</t>
  </si>
  <si>
    <t>new</t>
  </si>
  <si>
    <t>~3um flake with nucleation center</t>
  </si>
  <si>
    <t>After the electricity back, the stage uncontrollable and thus the SH was brokedn by the stage. Change to new SH, and the H2 seems has some leakage and run out of the H2 cylinder</t>
  </si>
  <si>
    <t>VABB01</t>
  </si>
  <si>
    <t>Baseline check</t>
  </si>
  <si>
    <t>add</t>
  </si>
  <si>
    <t>Full monolayer, ring-distribution of multilayer flakes</t>
  </si>
  <si>
    <r>
      <t xml:space="preserve">Due to the low coverage and almost no coating was found, add some WO3; </t>
    </r>
    <r>
      <rPr>
        <b/>
        <sz val="11"/>
        <color rgb="FFFF0000"/>
        <rFont val="Calibri"/>
        <family val="2"/>
      </rPr>
      <t>new H2</t>
    </r>
  </si>
  <si>
    <t>VABB02</t>
  </si>
  <si>
    <t>Se coating check</t>
  </si>
  <si>
    <t>H2O introduce later (1min).Elemental Se coating at upstream</t>
  </si>
  <si>
    <t>With many particles (oxide??), normal quality</t>
  </si>
  <si>
    <t>VABB03</t>
  </si>
  <si>
    <t>Film Cleaness</t>
  </si>
  <si>
    <t>excessive small particle</t>
  </si>
  <si>
    <t>VABB04</t>
  </si>
  <si>
    <t>less particle</t>
  </si>
  <si>
    <t>VABB05</t>
  </si>
  <si>
    <t>lower monolayer coverage, bilayer growth, more particle and rod, high quality of monolayer???</t>
  </si>
  <si>
    <t>VABB06</t>
  </si>
  <si>
    <t>4.8 reduce to 4.6g</t>
  </si>
  <si>
    <t>highly merged bilayer</t>
  </si>
  <si>
    <t>VABB07</t>
  </si>
  <si>
    <t>quality</t>
  </si>
  <si>
    <t>4.6g reduce to 4.1g</t>
  </si>
  <si>
    <t>300C-10, O2(0.5): 300C-950C, H2Se(3): 300C-925C</t>
  </si>
  <si>
    <t>monolaer with particles</t>
  </si>
  <si>
    <t>VABB08</t>
  </si>
  <si>
    <t>film cleaness</t>
  </si>
  <si>
    <t>4.1g</t>
  </si>
  <si>
    <t>H2O introduce later (1min). Repeat</t>
  </si>
  <si>
    <t>less particle, lower coverage, round flake</t>
  </si>
  <si>
    <t>less coating after last run</t>
  </si>
  <si>
    <t>VABB09</t>
  </si>
  <si>
    <t>4.1g reduce to 3.7g</t>
  </si>
  <si>
    <t>H2O introduce later (1min)</t>
  </si>
  <si>
    <t>particles and high coverage</t>
  </si>
  <si>
    <t>VABB10</t>
  </si>
  <si>
    <t>3.7g reduce to 2.5g</t>
  </si>
  <si>
    <t>partcles and high coverage</t>
  </si>
  <si>
    <t>VABB11</t>
  </si>
  <si>
    <t>2.5g reduce to 0.5g</t>
  </si>
  <si>
    <t>v-0.5-5.5</t>
  </si>
  <si>
    <t>2.5cm with particles, foloowing mostly 2L+1L</t>
  </si>
  <si>
    <t>VABB12</t>
  </si>
  <si>
    <t>0.5g</t>
  </si>
  <si>
    <t>300C-10, O2(0.5): 300C-925C, H2Se(3): 300C-900C</t>
  </si>
  <si>
    <t>H2O introduce later (1min). Vertical</t>
  </si>
  <si>
    <t>3-4 cm with cleaner film with PL FWHM of 37nm, but the cleanness should be improved</t>
  </si>
  <si>
    <t>VABB13</t>
  </si>
  <si>
    <t>v-0-5</t>
  </si>
  <si>
    <t>300C-10, O2(0.5): 300C-900C, H2Se(3): 300C-875C</t>
  </si>
  <si>
    <t>after 3 cm cleaner</t>
  </si>
  <si>
    <t>The holder position move during the growth</t>
  </si>
  <si>
    <t>VABB14</t>
  </si>
  <si>
    <t>v-2.5-7.5</t>
  </si>
  <si>
    <t>VABC01</t>
  </si>
  <si>
    <t>v-7.5-12.5</t>
  </si>
  <si>
    <t>multilayer, rod at top</t>
  </si>
  <si>
    <t>The SH was moved upward for 5cm</t>
  </si>
  <si>
    <t>VABC02</t>
  </si>
  <si>
    <t>multilayer dot at top</t>
  </si>
  <si>
    <t>VABC03</t>
  </si>
  <si>
    <t>300C-10, O2(0.2): 300C-925C, H2Se(3): 300C-900C</t>
  </si>
  <si>
    <t>multilayer, small, distribution</t>
  </si>
  <si>
    <t>VABC04</t>
  </si>
  <si>
    <t>multilayer, rod</t>
  </si>
  <si>
    <t>VABC05</t>
  </si>
  <si>
    <t>film cleanness - move stage upward</t>
  </si>
  <si>
    <t>VABC06</t>
  </si>
  <si>
    <t xml:space="preserve">film cleanness - pressure </t>
  </si>
  <si>
    <t>monolayer+ dot</t>
  </si>
  <si>
    <t>VABC07</t>
  </si>
  <si>
    <t>multilayer +dot</t>
  </si>
  <si>
    <t>VABC08</t>
  </si>
  <si>
    <t>film cleanness - temperature</t>
  </si>
  <si>
    <t>monolayer+ white dot</t>
  </si>
  <si>
    <t>VABC09</t>
  </si>
  <si>
    <t>larger domain, still bad quality</t>
  </si>
  <si>
    <t>VABC10</t>
  </si>
  <si>
    <t>film cleanness - pretreatment</t>
  </si>
  <si>
    <t>300C-10, O2(0.5): 300C-925C</t>
  </si>
  <si>
    <t>Small flakes, acceptable nucleation density</t>
  </si>
  <si>
    <t>VABC11</t>
  </si>
  <si>
    <t>extremely small flakes with good quality, extremely low coverage</t>
  </si>
  <si>
    <t>VABC12</t>
  </si>
  <si>
    <t>higher coverage, nut the doami size is small (&lt;1um), bad quality, likely due to the oxygen pretreatment</t>
  </si>
  <si>
    <t>VABC13</t>
  </si>
  <si>
    <t>300C-10, O2(0.5): 300C-700C, O2(0.2): 700C-900 H2Se(3): 700C-875C</t>
  </si>
  <si>
    <t>small domain, higher coverage but poor quality</t>
  </si>
  <si>
    <t>VABC14</t>
  </si>
  <si>
    <t>monolayer+ excessive dot</t>
  </si>
  <si>
    <t>VABC15</t>
  </si>
  <si>
    <t>Low coverage, normal quality</t>
  </si>
  <si>
    <t>VABC16</t>
  </si>
  <si>
    <t>less growth</t>
  </si>
  <si>
    <t>VABC17</t>
  </si>
  <si>
    <t>10um star shape flake with nuclei center</t>
  </si>
  <si>
    <t>VABC18</t>
  </si>
  <si>
    <t>VABC017</t>
  </si>
  <si>
    <t>edge with film, center thick layer</t>
  </si>
  <si>
    <t>VABC19</t>
  </si>
  <si>
    <t>VABC20</t>
  </si>
  <si>
    <t>bilayer small flakes, 80% coverage</t>
  </si>
  <si>
    <t>VABD00</t>
  </si>
  <si>
    <t>monolayer flakes with partial nuclei center</t>
  </si>
  <si>
    <t>VABD01</t>
  </si>
  <si>
    <t>monolayer flakes with particle center, with distribution</t>
  </si>
  <si>
    <t>VABD02</t>
  </si>
  <si>
    <t>bilayer flakes</t>
  </si>
  <si>
    <t>VABD03</t>
  </si>
  <si>
    <t>300C-10, O2(0.5): 300C-890C, H2Se(5): 300C-875C</t>
  </si>
  <si>
    <t>small loose bilayer</t>
  </si>
  <si>
    <t>VABD04</t>
  </si>
  <si>
    <t>monoayer flakes with particles, low coverage</t>
  </si>
  <si>
    <t>VABD05</t>
  </si>
  <si>
    <t>outer ring of loose monolayer, center small dense bilayer</t>
  </si>
  <si>
    <t>VABD06</t>
  </si>
  <si>
    <t>4g (new)</t>
  </si>
  <si>
    <t>monolayer film with paritcles and thick layer nucleus. Large domain</t>
  </si>
  <si>
    <t>VABD07</t>
  </si>
  <si>
    <t>4g</t>
  </si>
  <si>
    <t>bilayer film with many particles</t>
  </si>
  <si>
    <t>VABD08</t>
  </si>
  <si>
    <t>4g(new)</t>
  </si>
  <si>
    <t>300C-10, O2(0.5): 300C-890C, H2Se(3): 300C-865C</t>
  </si>
  <si>
    <t>H2O introduce later (1min). Before growth, Ar (out) 50, repeat</t>
  </si>
  <si>
    <t>film with multilayer</t>
  </si>
  <si>
    <t>VABD09</t>
  </si>
  <si>
    <t>300C-10,H2Se(3): 300C-865C</t>
  </si>
  <si>
    <t>flakes with partial highly merged</t>
  </si>
  <si>
    <t>VABD10</t>
  </si>
  <si>
    <t>Coverage, repeat BD09</t>
  </si>
  <si>
    <t>flakes, low coverage</t>
  </si>
  <si>
    <t>VABD11</t>
  </si>
  <si>
    <t>Repeat BD06 as SH reinstall</t>
  </si>
  <si>
    <t>3g(new)</t>
  </si>
  <si>
    <t>Film with many bilayers and particles</t>
  </si>
  <si>
    <t>SH reinstall</t>
  </si>
  <si>
    <t>VABD12</t>
  </si>
  <si>
    <t>Repeat BD06 as SH reinstall again</t>
  </si>
  <si>
    <t>2.5g(new)</t>
  </si>
  <si>
    <t>Thick film</t>
  </si>
  <si>
    <t>VABD13</t>
  </si>
  <si>
    <t>VABD012</t>
  </si>
  <si>
    <t>Repeat BD12</t>
  </si>
  <si>
    <t>Not clean, large particle</t>
  </si>
  <si>
    <t>VABD14</t>
  </si>
  <si>
    <t>Quality; Stop O2 pretreat @700C</t>
  </si>
  <si>
    <t>2.5g</t>
  </si>
  <si>
    <r>
      <rPr>
        <sz val="11"/>
        <color rgb="FF000000"/>
        <rFont val="Calibri"/>
        <family val="2"/>
      </rPr>
      <t>300C-10,</t>
    </r>
    <r>
      <rPr>
        <b/>
        <sz val="11"/>
        <color rgb="FF000000"/>
        <rFont val="Calibri"/>
        <family val="2"/>
      </rPr>
      <t xml:space="preserve"> </t>
    </r>
    <r>
      <rPr>
        <b/>
        <sz val="11"/>
        <color rgb="FFFF0000"/>
        <rFont val="Calibri"/>
        <family val="2"/>
      </rPr>
      <t>O2(0.5): 300C-693C</t>
    </r>
    <r>
      <rPr>
        <sz val="11"/>
        <color rgb="FF000000"/>
        <rFont val="Calibri"/>
        <family val="2"/>
      </rPr>
      <t>, H2Se(3): 479C-865C</t>
    </r>
  </si>
  <si>
    <t>full coverage with small domain</t>
  </si>
  <si>
    <t>VABD15</t>
  </si>
  <si>
    <t>Repeat BD14</t>
  </si>
  <si>
    <r>
      <rPr>
        <sz val="11"/>
        <color rgb="FF000000"/>
        <rFont val="Calibri"/>
        <family val="2"/>
      </rPr>
      <t xml:space="preserve">300C-10, </t>
    </r>
    <r>
      <rPr>
        <b/>
        <sz val="11"/>
        <color rgb="FFFF0000"/>
        <rFont val="Calibri"/>
        <family val="2"/>
      </rPr>
      <t>O2(0.5): 300C-693C</t>
    </r>
    <r>
      <rPr>
        <sz val="11"/>
        <color rgb="FF000000"/>
        <rFont val="Calibri"/>
        <family val="2"/>
      </rPr>
      <t>, H2Se(3): 479C-865C</t>
    </r>
  </si>
  <si>
    <t>VABD16</t>
  </si>
  <si>
    <t>Pressure for less nucleation density</t>
  </si>
  <si>
    <t>VABD17</t>
  </si>
  <si>
    <t>Anneal for blue coating</t>
  </si>
  <si>
    <r>
      <rPr>
        <sz val="11"/>
        <color rgb="FF000000"/>
        <rFont val="Calibri"/>
        <family val="2"/>
      </rPr>
      <t xml:space="preserve">300C-10, </t>
    </r>
    <r>
      <rPr>
        <b/>
        <sz val="11"/>
        <color rgb="FFFF0000"/>
        <rFont val="Calibri"/>
        <family val="2"/>
      </rPr>
      <t>O2(0.5): 300C-693C</t>
    </r>
  </si>
  <si>
    <t>furnace anneal remove coating</t>
  </si>
  <si>
    <t>VABD18</t>
  </si>
  <si>
    <t>After anneal check; repeat VABA52</t>
  </si>
  <si>
    <t>300C-10, O2(0.5): 300C-890C, H2Se(3): 500C-850C</t>
  </si>
  <si>
    <t>domain size &gt; 7um; coverage &gt;90um</t>
  </si>
  <si>
    <t>VABD19</t>
  </si>
  <si>
    <t>Repeat VABD18</t>
  </si>
  <si>
    <r>
      <t>H2O introduce later (1min). Before growth, Ar (out) 50</t>
    </r>
    <r>
      <rPr>
        <b/>
        <sz val="11"/>
        <color rgb="FFFF0000"/>
        <rFont val="Calibri"/>
        <family val="2"/>
      </rPr>
      <t>, repeat</t>
    </r>
  </si>
  <si>
    <t>ring distribution, smaller domain</t>
  </si>
  <si>
    <t>VABD20</t>
  </si>
  <si>
    <t>Distance for uniformity</t>
  </si>
  <si>
    <t>H2O introduce later (1min). Before growth, Ar (out) 50</t>
  </si>
  <si>
    <t>ring distribution</t>
  </si>
  <si>
    <t>VABD21-2</t>
  </si>
  <si>
    <t>If not uniform: check inlet/outlet flow</t>
  </si>
  <si>
    <t>uniform distribution of flakes/highly merged</t>
  </si>
  <si>
    <t>VABD22-2</t>
  </si>
  <si>
    <t>VABD21</t>
  </si>
  <si>
    <t>If 21-2 uniform: repeat</t>
  </si>
  <si>
    <t>With distribution but still clean flakes</t>
  </si>
  <si>
    <t>VABD23</t>
  </si>
  <si>
    <t>Coverage &amp; quality: Temperature</t>
  </si>
  <si>
    <t>300C-10, O2(0.5): 300C-900C, H2Se(3): 500C-850C</t>
  </si>
  <si>
    <t>triangle flakes, thinner FWHM(~37nm)</t>
  </si>
  <si>
    <t>VABD24</t>
  </si>
  <si>
    <t>Coverage: O2 treat period</t>
  </si>
  <si>
    <t>600C-10, O2(0.5): 300C-900C, H2Se(3): 600C-850C</t>
  </si>
  <si>
    <t>thinner FWHM (~36nm), slightly lower coverage</t>
  </si>
  <si>
    <t>VABD25</t>
  </si>
  <si>
    <t>Coverage: Stage height</t>
  </si>
  <si>
    <t>star-shape, no improvement on coverage</t>
  </si>
  <si>
    <t>VABD26</t>
  </si>
  <si>
    <t>VABD27-2</t>
  </si>
  <si>
    <t>H2 for density</t>
  </si>
  <si>
    <t>highly merged with particles</t>
  </si>
  <si>
    <t>VABD28-2</t>
  </si>
  <si>
    <t>Coverage: time</t>
  </si>
  <si>
    <t>almost full with particles</t>
  </si>
  <si>
    <t>VABD29</t>
  </si>
  <si>
    <t>VABD28</t>
  </si>
  <si>
    <t>Repeat VABD28</t>
  </si>
  <si>
    <t>almost full</t>
  </si>
  <si>
    <t>VABD30-2</t>
  </si>
  <si>
    <t>If VABD29 not full: Coverage: time</t>
  </si>
  <si>
    <t>lower coverage</t>
  </si>
  <si>
    <t>VABD31-2</t>
  </si>
  <si>
    <t>Repeat VABD30-2</t>
  </si>
  <si>
    <t>VABD32</t>
  </si>
  <si>
    <t>Coverage: check coating or etching</t>
  </si>
  <si>
    <t>VABD33</t>
  </si>
  <si>
    <t>not full</t>
  </si>
  <si>
    <t>VABD34-3</t>
  </si>
  <si>
    <t>Coverage: whether coating consume O2</t>
  </si>
  <si>
    <r>
      <t xml:space="preserve">300C-10, </t>
    </r>
    <r>
      <rPr>
        <b/>
        <sz val="11"/>
        <color rgb="FFFF0000"/>
        <rFont val="Calibri"/>
        <family val="2"/>
      </rPr>
      <t>O2(0.6): 300C-910C</t>
    </r>
    <r>
      <rPr>
        <sz val="11"/>
        <rFont val="Calibri"/>
        <family val="2"/>
      </rPr>
      <t>, H2Se(3): 500C-850C</t>
    </r>
  </si>
  <si>
    <t>VABD35-4</t>
  </si>
  <si>
    <t>Coverage: whether coating consume H2</t>
  </si>
  <si>
    <t>little bee malfunction</t>
  </si>
  <si>
    <t>VABD36</t>
  </si>
  <si>
    <t>Coverage: new powder</t>
  </si>
  <si>
    <t>new 3g</t>
  </si>
  <si>
    <t>full, PL FWHM~37nm</t>
  </si>
  <si>
    <t>VABD37</t>
  </si>
  <si>
    <t>Repeat VABD36 with 2nd use powder</t>
  </si>
  <si>
    <t>3g</t>
  </si>
  <si>
    <t>VABD38</t>
  </si>
  <si>
    <t>Repeat VABD37 with not compacted powder</t>
  </si>
  <si>
    <t>break compacted powder, 3g</t>
  </si>
  <si>
    <t>full, good quality</t>
  </si>
  <si>
    <t>VABD39-1</t>
  </si>
  <si>
    <t>Repeat VABD38: only stir the surface</t>
  </si>
  <si>
    <t>full, normal quality</t>
  </si>
  <si>
    <t>VABD40-1</t>
  </si>
  <si>
    <t>VABD41</t>
  </si>
  <si>
    <t>Repeat VABD38: thoroughly stirred</t>
  </si>
  <si>
    <t>break compacted powder</t>
  </si>
  <si>
    <t>full, worse quality</t>
  </si>
  <si>
    <t>VABD42</t>
  </si>
  <si>
    <t>Layer uniformity: growth time</t>
  </si>
  <si>
    <t>break compated powder, 3g</t>
  </si>
  <si>
    <t>VABD43</t>
  </si>
  <si>
    <t>Quality: Coverage</t>
  </si>
  <si>
    <t>VABDTC</t>
  </si>
  <si>
    <t>Tube cleaning (with WO3, w/o H2Se)</t>
  </si>
  <si>
    <t>VABD44-1</t>
  </si>
  <si>
    <t>Repeat VABD43</t>
  </si>
  <si>
    <t>VABD45-1</t>
  </si>
  <si>
    <t>VABD46</t>
  </si>
  <si>
    <t>VABD47</t>
  </si>
  <si>
    <r>
      <t xml:space="preserve">H2O introduce later (1min). Before growth, Ar (out) 50, </t>
    </r>
    <r>
      <rPr>
        <b/>
        <sz val="11"/>
        <color rgb="FFFF0000"/>
        <rFont val="Calibri"/>
        <family val="2"/>
      </rPr>
      <t>before growth with tube cleaning+WO3</t>
    </r>
  </si>
  <si>
    <t>VABD48</t>
  </si>
  <si>
    <t>VABD49</t>
  </si>
  <si>
    <t>VABD50</t>
  </si>
  <si>
    <t>VABD51</t>
  </si>
  <si>
    <t>VABD52</t>
  </si>
  <si>
    <t>VABD53</t>
  </si>
  <si>
    <t>VABD54</t>
  </si>
  <si>
    <t>VABD55</t>
  </si>
  <si>
    <t>VABD56</t>
  </si>
  <si>
    <t>Quality: H2Se post-treat</t>
  </si>
  <si>
    <t>H2Se(0.4): 910C-600C, H2Se(1):600C-30</t>
  </si>
  <si>
    <r>
      <t xml:space="preserve">H2O introduce later (1min). Before growth, Ar (out) 50, </t>
    </r>
    <r>
      <rPr>
        <b/>
        <sz val="11"/>
        <color rgb="FFFF0000"/>
        <rFont val="Calibri"/>
        <family val="2"/>
      </rPr>
      <t>before growth with tube cleaning w/o H2+WO3</t>
    </r>
  </si>
  <si>
    <t>VABD57</t>
  </si>
  <si>
    <t>Tube cleaning without WO3, less post-treat for clean film</t>
  </si>
  <si>
    <t>H2Se(0.4): 910C-600C, H2Se(1):600C-20</t>
  </si>
  <si>
    <r>
      <t xml:space="preserve">H2O introduce later (1min). Before growth, Ar (out) 50, </t>
    </r>
    <r>
      <rPr>
        <b/>
        <sz val="11"/>
        <color rgb="FFFF0000"/>
        <rFont val="Calibri"/>
        <family val="2"/>
      </rPr>
      <t>before growth with tube cleaning w/o H2</t>
    </r>
  </si>
  <si>
    <t>VABD58</t>
  </si>
  <si>
    <t>repeat VABD56, cleaning without WO3</t>
  </si>
  <si>
    <t>H2Se(0.4): 910C-600C, H2Se(1):910-600C-30</t>
  </si>
  <si>
    <t>VABD59</t>
  </si>
  <si>
    <t>Layer uniformity: H2</t>
  </si>
  <si>
    <t>VABD60</t>
  </si>
  <si>
    <t>Repeat VABD59</t>
  </si>
  <si>
    <t>VABD61</t>
  </si>
  <si>
    <t>Keep H2 20 sccm during annealing</t>
  </si>
  <si>
    <r>
      <t xml:space="preserve">H2Se(1): 910C-600C, </t>
    </r>
    <r>
      <rPr>
        <b/>
        <sz val="11"/>
        <color rgb="FFFF0000"/>
        <rFont val="Calibri"/>
        <family val="2"/>
      </rPr>
      <t>H2(20):910C-600C</t>
    </r>
  </si>
  <si>
    <t>dirty, lots of particles</t>
  </si>
  <si>
    <t>VABD62</t>
  </si>
  <si>
    <t>Post annealing at 910 for 5 mins with H2Se 3 ccm</t>
  </si>
  <si>
    <t>H2Se(3): 910C for 5 mins, H2Se(1):910C-600C</t>
  </si>
  <si>
    <t>bilayer on top, bad quality</t>
  </si>
  <si>
    <t>VATC00</t>
  </si>
  <si>
    <t>repeat VATC00</t>
  </si>
  <si>
    <t>VABD63</t>
  </si>
  <si>
    <t>add 2sccm H2 during annealing</t>
  </si>
  <si>
    <r>
      <t xml:space="preserve">H2Se(1): 910C-600C, </t>
    </r>
    <r>
      <rPr>
        <sz val="11"/>
        <color rgb="FFFF0000"/>
        <rFont val="Calibri"/>
        <family val="2"/>
      </rPr>
      <t>H2(2):910C-600C</t>
    </r>
  </si>
  <si>
    <t>bad quality, bilayer?</t>
  </si>
  <si>
    <t>increase O2 from 0.1 to 1 sccm</t>
  </si>
  <si>
    <t>VABD64</t>
  </si>
  <si>
    <t>Repeat VABD58</t>
  </si>
  <si>
    <t>increase O2 from 1 to 5 sccm</t>
  </si>
  <si>
    <t>VABD65</t>
  </si>
  <si>
    <t>Repeat VABD58, found WO3 decrease to 2.36g, break compated powder and add to 2.5g</t>
  </si>
  <si>
    <t>break compacted powder, 2.36-&gt;2.5g</t>
  </si>
  <si>
    <t xml:space="preserve"> compacted powder, 2.5g</t>
  </si>
  <si>
    <t>VABD66</t>
  </si>
  <si>
    <t>VABD69</t>
  </si>
  <si>
    <t>VABD70</t>
  </si>
  <si>
    <t>VABD71</t>
  </si>
  <si>
    <t>VABD72</t>
  </si>
  <si>
    <t>Lower H2O</t>
  </si>
  <si>
    <t>VABD73</t>
  </si>
  <si>
    <t>VABD74</t>
  </si>
  <si>
    <t>ST</t>
  </si>
  <si>
    <t>VABD75</t>
  </si>
  <si>
    <t>repeatVABD72</t>
  </si>
  <si>
    <t>VABD76</t>
  </si>
  <si>
    <t>AY/ST</t>
  </si>
  <si>
    <t>repeat VABD72: purge H2O</t>
  </si>
  <si>
    <t>purged H2O for 1 min and then set/accumulate to 300 torr</t>
  </si>
  <si>
    <t>VABD77</t>
  </si>
  <si>
    <t>repeat VABD72</t>
  </si>
  <si>
    <t>VABD78</t>
  </si>
  <si>
    <t>VABD79</t>
  </si>
  <si>
    <t>VABD80</t>
  </si>
  <si>
    <t>VABD81</t>
  </si>
  <si>
    <t>VABD82</t>
  </si>
  <si>
    <t>VABD83</t>
  </si>
  <si>
    <t>VABD84</t>
  </si>
  <si>
    <t>VABD85</t>
  </si>
  <si>
    <t>VABD86</t>
  </si>
  <si>
    <t>purged H2O for 1 min and then set/accumulate to 300 torr,H2O container vent and purge</t>
  </si>
  <si>
    <t>VABD87</t>
  </si>
  <si>
    <t>VABD88</t>
  </si>
  <si>
    <t>VABD89</t>
  </si>
  <si>
    <t>Open all flow of 0.1sccm and purge H2O before growth</t>
  </si>
  <si>
    <t>VABD90</t>
  </si>
  <si>
    <t>VABD891</t>
  </si>
  <si>
    <t>VABD92</t>
  </si>
  <si>
    <t>VABD93</t>
  </si>
  <si>
    <t>VABE00</t>
  </si>
  <si>
    <t xml:space="preserve"> compacted powder, 5.0g, H2</t>
  </si>
  <si>
    <r>
      <rPr>
        <sz val="11"/>
        <color rgb="FF000000"/>
        <rFont val="Calibri"/>
        <family val="2"/>
      </rPr>
      <t xml:space="preserve">Open all flow of 0.1sccm and purge H2O before growth, </t>
    </r>
    <r>
      <rPr>
        <b/>
        <sz val="11"/>
        <color rgb="FFFF0000"/>
        <rFont val="Calibri"/>
        <family val="2"/>
      </rPr>
      <t xml:space="preserve">change new showerhead and WO3 powder holder </t>
    </r>
  </si>
  <si>
    <t>VABE01</t>
  </si>
  <si>
    <r>
      <rPr>
        <sz val="11"/>
        <color rgb="FF000000"/>
        <rFont val="Calibri"/>
        <family val="2"/>
      </rPr>
      <t xml:space="preserve">Open all flow of 0.1sccm and purge H2O before growth, </t>
    </r>
    <r>
      <rPr>
        <b/>
        <sz val="11"/>
        <color rgb="FFFF0000"/>
        <rFont val="Calibri"/>
        <family val="2"/>
      </rPr>
      <t>set the base pressure to 1.08E-3</t>
    </r>
  </si>
  <si>
    <t>2.5g, H2</t>
  </si>
  <si>
    <t>VABE02</t>
  </si>
  <si>
    <t>VABE03</t>
  </si>
  <si>
    <t>2.5g, H1</t>
  </si>
  <si>
    <t>VABE04</t>
  </si>
  <si>
    <t>5g, H2</t>
  </si>
  <si>
    <t>stand (4-9)</t>
  </si>
  <si>
    <r>
      <t xml:space="preserve">Open all flow of 0.1sccm and purge H2O before growth, </t>
    </r>
    <r>
      <rPr>
        <b/>
        <sz val="11"/>
        <color rgb="FFFF0000"/>
        <rFont val="Calibri"/>
        <family val="2"/>
      </rPr>
      <t>refil water</t>
    </r>
  </si>
  <si>
    <t>VABE05</t>
  </si>
  <si>
    <t>VABE06</t>
  </si>
  <si>
    <t>VABE07</t>
  </si>
  <si>
    <t>VABE08</t>
  </si>
  <si>
    <t>VABE09</t>
  </si>
  <si>
    <t xml:space="preserve"> 5.0g, H2, 1cm</t>
  </si>
  <si>
    <t>VABE10</t>
  </si>
  <si>
    <r>
      <t xml:space="preserve">Open all flow of 0.1sccm and purge H2O before growth; </t>
    </r>
    <r>
      <rPr>
        <b/>
        <sz val="11"/>
        <color rgb="FFFF0000"/>
        <rFont val="Calibri"/>
        <family val="2"/>
      </rPr>
      <t>Build pressure by out Ar first</t>
    </r>
  </si>
  <si>
    <t>VABE11</t>
  </si>
  <si>
    <t>VABE12</t>
  </si>
  <si>
    <t>VABE13</t>
  </si>
  <si>
    <t>VABE14</t>
  </si>
  <si>
    <t>VABE15</t>
  </si>
  <si>
    <t>repeat VABE14</t>
  </si>
  <si>
    <t>VABE16</t>
  </si>
  <si>
    <t>VABE17</t>
  </si>
  <si>
    <t>VABE18</t>
  </si>
  <si>
    <t>VABE19</t>
  </si>
  <si>
    <r>
      <rPr>
        <sz val="11"/>
        <color rgb="FF000000"/>
        <rFont val="Calibri"/>
        <family val="2"/>
      </rPr>
      <t xml:space="preserve"> </t>
    </r>
    <r>
      <rPr>
        <sz val="11"/>
        <color rgb="FFFF0000"/>
        <rFont val="Calibri"/>
        <family val="2"/>
      </rPr>
      <t>6.0g</t>
    </r>
    <r>
      <rPr>
        <sz val="11"/>
        <color rgb="FF000000"/>
        <rFont val="Calibri"/>
        <family val="2"/>
      </rPr>
      <t>, H2</t>
    </r>
  </si>
  <si>
    <t>VABE20</t>
  </si>
  <si>
    <r>
      <rPr>
        <sz val="11"/>
        <color rgb="FFFF0000"/>
        <rFont val="Calibri"/>
        <family val="2"/>
      </rPr>
      <t>6.0 g</t>
    </r>
    <r>
      <rPr>
        <sz val="11"/>
        <color rgb="FF000000"/>
        <rFont val="Calibri"/>
        <family val="2"/>
      </rPr>
      <t>, H2,2cm</t>
    </r>
  </si>
  <si>
    <r>
      <rPr>
        <sz val="11"/>
        <color rgb="FFFF0000"/>
        <rFont val="Calibri"/>
        <family val="2"/>
      </rPr>
      <t xml:space="preserve"> </t>
    </r>
    <r>
      <rPr>
        <sz val="11"/>
        <color rgb="FF000000"/>
        <rFont val="Calibri"/>
        <family val="2"/>
      </rPr>
      <t>6.0g, H2</t>
    </r>
  </si>
  <si>
    <t>QUAD Milestone</t>
  </si>
  <si>
    <t>Mo delivery Validation</t>
  </si>
  <si>
    <t>V2.5 with CS2 as gas phase</t>
  </si>
  <si>
    <r>
      <rPr>
        <b/>
        <sz val="12"/>
        <color rgb="FF0070C0"/>
        <rFont val="Aptos Display"/>
        <family val="2"/>
        <scheme val="major"/>
      </rPr>
      <t>CS2 Baseline confirmation</t>
    </r>
    <r>
      <rPr>
        <sz val="12"/>
        <color rgb="FF0070C0"/>
        <rFont val="Aptos Display"/>
        <family val="2"/>
        <scheme val="major"/>
      </rPr>
      <t xml:space="preserve">: 
</t>
    </r>
    <r>
      <rPr>
        <sz val="12"/>
        <color rgb="FF000000"/>
        <rFont val="Aptos Display"/>
        <family val="2"/>
        <scheme val="major"/>
      </rPr>
      <t>Find the proper range for the use of CS2 and O2.</t>
    </r>
  </si>
  <si>
    <t>Compare the use amount of H2S (15 sccm), CS2 usage tuning by carrier, pressure, and the temperature of container.</t>
  </si>
  <si>
    <t>Find a proper range for the delivery of CS2: 15-25 C with 500 torr and 200-250 sccm with Ar is the proper range for the use of CS2</t>
  </si>
  <si>
    <r>
      <rPr>
        <b/>
        <sz val="12"/>
        <color rgb="FF0070C0"/>
        <rFont val="Aptos Display"/>
        <family val="2"/>
        <scheme val="major"/>
      </rPr>
      <t>CS2 Handling and Fine-tuning</t>
    </r>
    <r>
      <rPr>
        <sz val="12"/>
        <color rgb="FF000000"/>
        <rFont val="Aptos Display"/>
        <family val="2"/>
        <scheme val="major"/>
      </rPr>
      <t>:
obtain micormeter scale flake.</t>
    </r>
  </si>
  <si>
    <t>Increase Mo and CS2 to minimize the O2 tolerance.</t>
  </si>
  <si>
    <r>
      <rPr>
        <sz val="12"/>
        <color rgb="FF000000"/>
        <rFont val="Aptos Narrow"/>
        <family val="2"/>
        <scheme val="minor"/>
      </rPr>
      <t xml:space="preserve">Obtain over </t>
    </r>
    <r>
      <rPr>
        <b/>
        <sz val="12"/>
        <color rgb="FF0070C0"/>
        <rFont val="Aptos Narrow"/>
        <family val="2"/>
        <scheme val="minor"/>
      </rPr>
      <t>5 um</t>
    </r>
    <r>
      <rPr>
        <sz val="12"/>
        <color rgb="FF000000"/>
        <rFont val="Aptos Narrow"/>
        <family val="2"/>
        <scheme val="minor"/>
      </rPr>
      <t xml:space="preserve"> with single-orientation alignment, but the quality remained poor.</t>
    </r>
  </si>
  <si>
    <t>side lamp easily down
(500W -&gt; 1500W)
add electrical buffer for protecting lamp overshoot</t>
  </si>
  <si>
    <t>Install SH V4</t>
  </si>
  <si>
    <t>Obtain micrometer-size MoS2 flake with H2S as chalcogen source.</t>
  </si>
  <si>
    <t>Plan to compare the O2 window with the use of CS2</t>
  </si>
  <si>
    <t>Verify SH V4 with H2S</t>
  </si>
  <si>
    <t>Sulfur Source Selection
H2S vs. CS2 comparison</t>
  </si>
  <si>
    <t># Tune Mo(CO)6 window at a fixed H2S
# Tune Pressure window at fixed Mo(CO)6 and H2S
# Tune O2 window at fixed other parameters
# H2S conclusion
# Switch to CS2 to tune the window
# CS2 conclusion</t>
  </si>
  <si>
    <t>Uniform 4" MoS2 Film</t>
  </si>
  <si>
    <t>5um Domain Size</t>
  </si>
  <si>
    <t>Single Crystal 10 um Domain Size</t>
  </si>
  <si>
    <t>#Increase the temperature of stage- with thick sapphire (1300 um)
#Pre-treatment of O2
#Pre-treatment of H2S</t>
  </si>
  <si>
    <t>SC, 10 um, Coverage 50%</t>
  </si>
  <si>
    <t># Uniformity increasing: Increase rotation speed. (0.5 --&gt; 5 rpm)
#2-step method to increase nucleation density.</t>
  </si>
  <si>
    <t>SC, 10 um, Coverage 80%</t>
  </si>
  <si>
    <t>#2-step method to increase nucleation density.</t>
  </si>
  <si>
    <t>Sample ID</t>
  </si>
  <si>
    <t>VA (P)</t>
  </si>
  <si>
    <t>HA (P)</t>
  </si>
  <si>
    <t>HM (N)</t>
  </si>
  <si>
    <t>QUAD (N)</t>
  </si>
  <si>
    <t>N012604004</t>
  </si>
  <si>
    <t>QUEB009-1,-2</t>
  </si>
  <si>
    <t>QUGA007-3, -4</t>
  </si>
  <si>
    <t>WSe2</t>
  </si>
  <si>
    <t xml:space="preserve">Customer </t>
  </si>
  <si>
    <t>Aug</t>
  </si>
  <si>
    <t>Sep</t>
  </si>
  <si>
    <t>Oct</t>
  </si>
  <si>
    <t>Nov</t>
  </si>
  <si>
    <t>Dec</t>
  </si>
  <si>
    <t>Total</t>
  </si>
  <si>
    <t>Avg Yield 10%</t>
  </si>
  <si>
    <t>TSMC</t>
  </si>
  <si>
    <t>IMEC</t>
  </si>
  <si>
    <t>Tool Owner</t>
  </si>
  <si>
    <t>Main-User</t>
  </si>
  <si>
    <t>Backup 1</t>
  </si>
  <si>
    <t>Backup 2</t>
  </si>
  <si>
    <t>Bilayer: Direct, LBL</t>
  </si>
  <si>
    <t>Monolayer --&gt; SC</t>
  </si>
  <si>
    <t>SC</t>
  </si>
  <si>
    <t>SM</t>
  </si>
  <si>
    <t>customer, research</t>
  </si>
  <si>
    <t>TC-2</t>
  </si>
  <si>
    <t>T-center</t>
  </si>
  <si>
    <t>Stage T</t>
  </si>
  <si>
    <t>Ar-1</t>
  </si>
  <si>
    <t>Mo(CO)6-1</t>
  </si>
  <si>
    <t>Ar-Top</t>
  </si>
  <si>
    <t>Ar-S</t>
  </si>
  <si>
    <t>CS2</t>
  </si>
  <si>
    <t>H2S (10%)</t>
  </si>
  <si>
    <t>H2S</t>
  </si>
  <si>
    <t>Ar wall</t>
  </si>
  <si>
    <t>Sapphire Laser Mark</t>
  </si>
  <si>
    <t>QUAA000</t>
  </si>
  <si>
    <t>13/3/2026</t>
  </si>
  <si>
    <t>Validate V4 H2S leakage by insert copper wire</t>
  </si>
  <si>
    <t>-</t>
  </si>
  <si>
    <t>0.1 mtorr/ 2min</t>
  </si>
  <si>
    <t>QUAA001</t>
  </si>
  <si>
    <t>18/3/2026</t>
  </si>
  <si>
    <t>Validate Mo Delivery on SH V4</t>
  </si>
  <si>
    <t>2.1 sccmO2</t>
  </si>
  <si>
    <t>20 sccmH2S</t>
  </si>
  <si>
    <t>Very light color and cannot take any raman signal from it.</t>
  </si>
  <si>
    <t>QUAA002</t>
  </si>
  <si>
    <t>19/3/2026</t>
  </si>
  <si>
    <t>Sapphire breaks while reaching 900C</t>
  </si>
  <si>
    <t>CW2594000225</t>
  </si>
  <si>
    <t>QUAA003</t>
  </si>
  <si>
    <t>Check Circular temperature is 217C</t>
  </si>
  <si>
    <t>MoS2 obtained, light color with PL peak intensity around 200 au at #9 with FWHM~25nm</t>
  </si>
  <si>
    <t>CW2594000224</t>
  </si>
  <si>
    <t>QUAA004</t>
  </si>
  <si>
    <t>Sapphire breaks again, very weak PL and raman</t>
  </si>
  <si>
    <t>CW2594000223</t>
  </si>
  <si>
    <t>QUAA005</t>
  </si>
  <si>
    <t>Pressure difference</t>
  </si>
  <si>
    <t>Found coaitngs on cooling SS body</t>
  </si>
  <si>
    <t>CW2594000222</t>
  </si>
  <si>
    <t>QUAA006</t>
  </si>
  <si>
    <t>20/3/2026</t>
  </si>
  <si>
    <t>Balance Ar to push Mo not going to the SS walll</t>
  </si>
  <si>
    <t>Color is even lighter than  005</t>
  </si>
  <si>
    <t>CW2594000221</t>
  </si>
  <si>
    <t>QUAA007</t>
  </si>
  <si>
    <t>CW2594000220</t>
  </si>
  <si>
    <t>QUAB001</t>
  </si>
  <si>
    <t>Switch to CS2 due to out-of H2S</t>
  </si>
  <si>
    <t>Breakage but the breakigng piece got growth</t>
  </si>
  <si>
    <t>CW2594000219</t>
  </si>
  <si>
    <t>QUAB002</t>
  </si>
  <si>
    <t>22/3/2026</t>
  </si>
  <si>
    <t>Centre was etched at #6 #7 got etched large grain &gt; 1um</t>
  </si>
  <si>
    <t>CW2594000217</t>
  </si>
  <si>
    <t>QUAB003</t>
  </si>
  <si>
    <t>Off light ot increase Mo</t>
  </si>
  <si>
    <t>Turn off the spiral lamp</t>
  </si>
  <si>
    <t>Looks like growth range larger</t>
  </si>
  <si>
    <t>CW2594000216</t>
  </si>
  <si>
    <t>QUAB004</t>
  </si>
  <si>
    <t>Decrease O2 to get less oxidation</t>
  </si>
  <si>
    <t>CW2594000215</t>
  </si>
  <si>
    <t>QUBA001</t>
  </si>
  <si>
    <t>23/3/2026</t>
  </si>
  <si>
    <t>Remove T-shaped Quartz and increase the Mo delivery</t>
  </si>
  <si>
    <t>Mo dramatically increase under the conditions, but still strongly oxidzed</t>
  </si>
  <si>
    <t>CW2594000214</t>
  </si>
  <si>
    <t>QUBA002</t>
  </si>
  <si>
    <t>Cleaning</t>
  </si>
  <si>
    <t>Fully-cleaned the holes condensation</t>
  </si>
  <si>
    <t>CW2594000213</t>
  </si>
  <si>
    <t>QUBA003</t>
  </si>
  <si>
    <t>24/3/2026</t>
  </si>
  <si>
    <t>Decrease Mo amount and try CS2 post-treament</t>
  </si>
  <si>
    <t>50 sccm CS2</t>
  </si>
  <si>
    <t>CS2 supplies tll the temoerature below 400 C</t>
  </si>
  <si>
    <t>CW2594000212</t>
  </si>
  <si>
    <t>QUBA004</t>
  </si>
  <si>
    <t>Decrease time to make sure less oxidation</t>
  </si>
  <si>
    <t>250 sccm Ar in CS2</t>
  </si>
  <si>
    <t>CW2594000211</t>
  </si>
  <si>
    <t>QUBB001</t>
  </si>
  <si>
    <t>26/3/2026</t>
  </si>
  <si>
    <t>Test the CS2 carrier flow increasing</t>
  </si>
  <si>
    <t>Ar is residue gases might influence the result</t>
  </si>
  <si>
    <t>The growth area is lesser than QUBA004; increasing Ar for CS2 is not helpful</t>
  </si>
  <si>
    <t>CW2594000210</t>
  </si>
  <si>
    <t>QUBB002</t>
  </si>
  <si>
    <t>27/3/2026</t>
  </si>
  <si>
    <t>Increase distance to get better uniformity</t>
  </si>
  <si>
    <t>Increasing distance causing the Mo delivery drops.</t>
  </si>
  <si>
    <t>CW2594000209</t>
  </si>
  <si>
    <t>QUBB003</t>
  </si>
  <si>
    <t>Make sure Mo is the uniformly distributed</t>
  </si>
  <si>
    <t>Nothing grown on substrate suppose that the temperature of stage is too high</t>
  </si>
  <si>
    <t>CW2594000208</t>
  </si>
  <si>
    <t>QUBB004</t>
  </si>
  <si>
    <t xml:space="preserve">Decrease stage temperature to maintain oxide on the stage </t>
  </si>
  <si>
    <t>CW2594000207</t>
  </si>
  <si>
    <t>QUBB005</t>
  </si>
  <si>
    <t>CW2594000206</t>
  </si>
  <si>
    <t>QUBC001</t>
  </si>
  <si>
    <t>30/3/2026</t>
  </si>
  <si>
    <t>H2S distributrion compare with CS2</t>
  </si>
  <si>
    <t>20 sccm H2S</t>
  </si>
  <si>
    <t>Forgot to adjust the supply Ar-S</t>
  </si>
  <si>
    <t xml:space="preserve">Astonishingly, the opposite </t>
  </si>
  <si>
    <t>CW2594000205</t>
  </si>
  <si>
    <t>QUBC002</t>
  </si>
  <si>
    <t>QUBB001/BC001</t>
  </si>
  <si>
    <t>CS2 &amp; H2S are introduced tgt.</t>
  </si>
  <si>
    <t>2.1 sccmO3</t>
  </si>
  <si>
    <t>I guess it's H2S dominated. Meanwhile, the result is darker maybe it's from the coatings remained from QUBC001</t>
  </si>
  <si>
    <t>CW2594000204</t>
  </si>
  <si>
    <t>QUBC003</t>
  </si>
  <si>
    <t>31/3/2026</t>
  </si>
  <si>
    <t>CW2594000203</t>
  </si>
  <si>
    <t>Rotation speed 10 rpm with 1300 um</t>
  </si>
  <si>
    <t>3 dark spots still remained on Sapphire, assuming 1 strong shot at the beginning</t>
  </si>
  <si>
    <t>CW25B0000077</t>
  </si>
  <si>
    <t>In order to understand the MoS2 formation at begining</t>
  </si>
  <si>
    <t>CS2 introduced 2 mins earlier than Mo-introduction</t>
  </si>
  <si>
    <t>3 dark spots still remained on Sapphire, but the coverage are super low ony at 3 spots</t>
  </si>
  <si>
    <t>CW25B0000076</t>
  </si>
  <si>
    <t>QUBC006</t>
  </si>
  <si>
    <t>Understand H2S required to growth</t>
  </si>
  <si>
    <t>Prove that H2S is over in QUBC001</t>
  </si>
  <si>
    <t>CW2594000202</t>
  </si>
  <si>
    <t>QUBC007</t>
  </si>
  <si>
    <t>QUBC001/006</t>
  </si>
  <si>
    <t>Increase coverage when sufficient H2S is supplied</t>
  </si>
  <si>
    <t>Slightly increase H2S from 20 to 30 sccm</t>
  </si>
  <si>
    <t>CW2594000201</t>
  </si>
  <si>
    <t>QUBC008</t>
  </si>
  <si>
    <t>QUBC009</t>
  </si>
  <si>
    <t>QUBC006/07</t>
  </si>
  <si>
    <t>Rotation to check the uniformity as a baseline with H2S</t>
  </si>
  <si>
    <t>CW25B0000105</t>
  </si>
  <si>
    <t>QUBC010</t>
  </si>
  <si>
    <t>Precleaning at 1.5 cm position to check reproducibility</t>
  </si>
  <si>
    <t>1.5 --&gt; 3</t>
  </si>
  <si>
    <t>7--&gt;2.1</t>
  </si>
  <si>
    <t>Too oxidized,</t>
  </si>
  <si>
    <t>QUCA001</t>
  </si>
  <si>
    <t>Dual H2S Baseline</t>
  </si>
  <si>
    <t>200/200</t>
  </si>
  <si>
    <t>20/20</t>
  </si>
  <si>
    <t>Two-way H2S</t>
  </si>
  <si>
    <t>QUCA002</t>
  </si>
  <si>
    <t>Increase the O2 to obtain relatively large grain</t>
  </si>
  <si>
    <t>150/150</t>
  </si>
  <si>
    <t>3.5 sccmO2</t>
  </si>
  <si>
    <t>Grain size larger and #1,5,9  show PL</t>
  </si>
  <si>
    <t>QUCA003</t>
  </si>
  <si>
    <t>Pre-cleaning+Spin+Late off Heating</t>
  </si>
  <si>
    <t>1.5--&gt;2</t>
  </si>
  <si>
    <t>closed Mo and O2 1 min, and off the Heating</t>
  </si>
  <si>
    <t>Sapphire breaks but remained on top, MoS2 1L is obtained shows strong PL (FWHM26.6)</t>
  </si>
  <si>
    <t>CW25B0000101</t>
  </si>
  <si>
    <t>QUCA004</t>
  </si>
  <si>
    <t>Add H2O to verify if the result similar</t>
  </si>
  <si>
    <t>Give up the method of moving stage for cleaning</t>
  </si>
  <si>
    <t>FWHM 28.8nm</t>
  </si>
  <si>
    <t>CW25B0000073</t>
  </si>
  <si>
    <t>QUCA005</t>
  </si>
  <si>
    <t>10 min precleaning</t>
  </si>
  <si>
    <t>Center area looks oxidzed more; meanwhile, The ring is darker and merged film (suspect from the SH coatings)</t>
  </si>
  <si>
    <t>CW25B0000074</t>
  </si>
  <si>
    <t>QUCA006</t>
  </si>
  <si>
    <t>CW2594000178</t>
  </si>
  <si>
    <t>QUCA007</t>
  </si>
  <si>
    <t>Repeat QUCA005</t>
  </si>
  <si>
    <t>CW25B0000075</t>
  </si>
  <si>
    <t>QUCA008</t>
  </si>
  <si>
    <t>Increase the grain size via increasing growth pressure</t>
  </si>
  <si>
    <t>QUCA009</t>
  </si>
  <si>
    <t>CW25B0000079</t>
  </si>
  <si>
    <t>QUCA010</t>
  </si>
  <si>
    <t>QUCA011</t>
  </si>
  <si>
    <t>The donut shape become more severe.</t>
  </si>
  <si>
    <t>CW25B0000080</t>
  </si>
  <si>
    <t>QUCA012</t>
  </si>
  <si>
    <t>Increase carrier for S to check the uniformity improvement (H2S squeeze to the center.</t>
  </si>
  <si>
    <t>QUCA013</t>
  </si>
  <si>
    <t>250/250</t>
  </si>
  <si>
    <t>Forgot to adjust the water carrier</t>
  </si>
  <si>
    <t xml:space="preserve">The uniformity increase a lot. All area is 1L film except center area is 1 um flakes coverage &gt; 90% </t>
  </si>
  <si>
    <t>CW25B0000088</t>
  </si>
  <si>
    <t>QUCA014</t>
  </si>
  <si>
    <t>QUCA015</t>
  </si>
  <si>
    <t>350/350</t>
  </si>
  <si>
    <t>Dilute too much and leads to non lateral growth.</t>
  </si>
  <si>
    <t>QUCA016</t>
  </si>
  <si>
    <t>Increase grain size via decreasing Mo supply</t>
  </si>
  <si>
    <t>QUCA017</t>
  </si>
  <si>
    <r>
      <rPr>
        <sz val="12"/>
        <color rgb="FF000000"/>
        <rFont val="Aptos Narrow"/>
        <family val="2"/>
      </rPr>
      <t xml:space="preserve">Saturated vapor for MoCO6 drops from </t>
    </r>
    <r>
      <rPr>
        <b/>
        <sz val="12"/>
        <color rgb="FF000000"/>
        <rFont val="Aptos Narrow"/>
        <family val="2"/>
      </rPr>
      <t>1.1</t>
    </r>
    <r>
      <rPr>
        <sz val="12"/>
        <color rgb="FF000000"/>
        <rFont val="Aptos Narrow"/>
        <family val="2"/>
      </rPr>
      <t xml:space="preserve"> torr to</t>
    </r>
    <r>
      <rPr>
        <b/>
        <sz val="12"/>
        <color rgb="FF000000"/>
        <rFont val="Aptos Narrow"/>
        <family val="2"/>
      </rPr>
      <t xml:space="preserve"> 0.75</t>
    </r>
    <r>
      <rPr>
        <sz val="12"/>
        <color rgb="FF000000"/>
        <rFont val="Aptos Narrow"/>
        <family val="2"/>
      </rPr>
      <t xml:space="preserve"> torr.  (One lamp fails and edge of SH drop from 510C to 497 C.)</t>
    </r>
  </si>
  <si>
    <t>Center is oxidized obviously; Based on what JK discovered H2O have a buffer for oxidation</t>
  </si>
  <si>
    <t>CW25B0000089</t>
  </si>
  <si>
    <t>QUCA018</t>
  </si>
  <si>
    <t>QUCA019</t>
  </si>
  <si>
    <t>Repeat QUCA013</t>
  </si>
  <si>
    <t>Test with QUCA015 to check the Mo delviery</t>
  </si>
  <si>
    <t>CW25B0000057</t>
  </si>
  <si>
    <t>QUCA020</t>
  </si>
  <si>
    <t>QUDA001</t>
  </si>
  <si>
    <t>Rate: 0.3mtorr/2mins, Repair the lamp and adjust the inlet direction of H2S</t>
  </si>
  <si>
    <t>The edge is more oxidzed and the grain size is 100-200 nm</t>
  </si>
  <si>
    <t>CW25B0000058</t>
  </si>
  <si>
    <t>QUDA002</t>
  </si>
  <si>
    <t>Water Tank breaks.</t>
  </si>
  <si>
    <t>QUDB001</t>
  </si>
  <si>
    <t>Increase H2O to check O2 tolerance</t>
  </si>
  <si>
    <t>Change to New Water tank</t>
  </si>
  <si>
    <t>The result is more oxidized. Looks like 1L film and 2L flake in some area.</t>
  </si>
  <si>
    <t>QUDB002</t>
  </si>
  <si>
    <t>QUDB003</t>
  </si>
  <si>
    <t>13/4/2026</t>
  </si>
  <si>
    <t>Increase O2 to see the oxidations difference</t>
  </si>
  <si>
    <t>4.5 sccmO2</t>
  </si>
  <si>
    <t>Current 65.3 A, SH edge  524 C</t>
  </si>
  <si>
    <t>The grain size enlarge but the result is much more oxidized.</t>
  </si>
  <si>
    <t>CW25B0000059</t>
  </si>
  <si>
    <t>QUDB004</t>
  </si>
  <si>
    <t>17/4/2026</t>
  </si>
  <si>
    <t>Increase Mo to check if we can minimize grain shrinkage, and less oxidation</t>
  </si>
  <si>
    <t>Mo increase to 100 sccm  but the result is more oxidized.</t>
  </si>
  <si>
    <t>QUEA001</t>
  </si>
  <si>
    <t>19/4/2026</t>
  </si>
  <si>
    <t>Solve O2 leakage and baseline rebuilt</t>
  </si>
  <si>
    <t>50/50</t>
  </si>
  <si>
    <t>Solve leakage point and add-on one Ar wall point at the opposite side.</t>
  </si>
  <si>
    <t>Mostly oxidized. With diluted Ar decrease 200 sccm, the film is too oxidized.</t>
  </si>
  <si>
    <t>QUEA002</t>
  </si>
  <si>
    <t>Increase H2S to get non-oxidized MoS2</t>
  </si>
  <si>
    <t>30/30</t>
  </si>
  <si>
    <t>Already looks like film but too oxidized.</t>
  </si>
  <si>
    <t>QUEA003</t>
  </si>
  <si>
    <t>Reduce oxygen to get less oxidation</t>
  </si>
  <si>
    <t>Some area shows non-merged hole (coverage&gt;95%)</t>
  </si>
  <si>
    <t>CW25B0000118</t>
  </si>
  <si>
    <t>QUEA004</t>
  </si>
  <si>
    <t>20/4/2026</t>
  </si>
  <si>
    <t>Reduce pressure to minimize oxidation</t>
  </si>
  <si>
    <t>Lealage: 0.4 mtorr/2min</t>
  </si>
  <si>
    <t>Still too oxidized, looks like one oxidation gradient from a side</t>
  </si>
  <si>
    <t>CW25B0000119</t>
  </si>
  <si>
    <t>QUEA005</t>
  </si>
  <si>
    <t>Still too oxidized.</t>
  </si>
  <si>
    <t>CW25B0000120</t>
  </si>
  <si>
    <t>QUEA006</t>
  </si>
  <si>
    <t>RepeatQUEA004 but no decrease H2S during cooling</t>
  </si>
  <si>
    <t>60 sccm H2S</t>
  </si>
  <si>
    <t>With higher post-treatment H2S, the results remain the same.</t>
  </si>
  <si>
    <t>QUEA007</t>
  </si>
  <si>
    <t>Decrease Mo amount</t>
  </si>
  <si>
    <t>With decreaing Mo(CO)6 supply, less oxidation but the grain size decrease.</t>
  </si>
  <si>
    <t>QUEA008</t>
  </si>
  <si>
    <t>21/4/2026</t>
  </si>
  <si>
    <t>Leakage: 0.2mtorr/2min</t>
  </si>
  <si>
    <t>QUEA009</t>
  </si>
  <si>
    <t>QUEA010</t>
  </si>
  <si>
    <t>Decrease Mo to decrease nucleation density and enlarge grain size</t>
  </si>
  <si>
    <t>With H2S-pretreatment, the grain size largely decreases</t>
  </si>
  <si>
    <t>&lt;500 nm</t>
  </si>
  <si>
    <t>QUEA011</t>
  </si>
  <si>
    <t>Increase Mo to confirm the trend</t>
  </si>
  <si>
    <t>QUEA012</t>
  </si>
  <si>
    <t>22/4/2026</t>
  </si>
  <si>
    <t>Check If it's under S-limtied reaction by increasing H2S</t>
  </si>
  <si>
    <t>40/40</t>
  </si>
  <si>
    <t>80 sccm H2S</t>
  </si>
  <si>
    <t>The result is still opposite, the grain size is even smaller</t>
  </si>
  <si>
    <t>QUEA013</t>
  </si>
  <si>
    <t>QUEA014</t>
  </si>
  <si>
    <t>Check If it's under S-limtied reaction by increasing H2S with O2-pretreatment</t>
  </si>
  <si>
    <t>The grain size remain super small.</t>
  </si>
  <si>
    <t>QUEA015</t>
  </si>
  <si>
    <t>Increase Stage temperature</t>
  </si>
  <si>
    <r>
      <rPr>
        <sz val="12"/>
        <color rgb="FF000000"/>
        <rFont val="Aptos Narrow"/>
        <family val="2"/>
      </rPr>
      <t xml:space="preserve">Blur large grain is shown. </t>
    </r>
    <r>
      <rPr>
        <b/>
        <sz val="12"/>
        <color rgb="FF000000"/>
        <rFont val="Aptos Narrow"/>
        <family val="2"/>
      </rPr>
      <t>As increasing temeprature, the sulfurization is better.</t>
    </r>
  </si>
  <si>
    <t>&lt;100 nm</t>
  </si>
  <si>
    <t>~35</t>
  </si>
  <si>
    <t>20-22</t>
  </si>
  <si>
    <t>QUEA016</t>
  </si>
  <si>
    <t>23/4/2026</t>
  </si>
  <si>
    <t>Recheck the result of QUEA015</t>
  </si>
  <si>
    <t>Repeating the result, the growth is similar, and sub-100 nm flakes are obtained.</t>
  </si>
  <si>
    <t>37-40</t>
  </si>
  <si>
    <t>20-21</t>
  </si>
  <si>
    <t>QUEA017</t>
  </si>
  <si>
    <t>Temperature increasing</t>
  </si>
  <si>
    <t>Domain size~2 um are obtained at #5.</t>
  </si>
  <si>
    <t>37-38</t>
  </si>
  <si>
    <t>QUEA018</t>
  </si>
  <si>
    <t>24/4/2026</t>
  </si>
  <si>
    <t>Test the 3 pin stage with 650um sapphire</t>
  </si>
  <si>
    <t>Test 650um-thick sapphire, the sapphire survives after the growth. Compared with the result to QUEA016, PL FWHM range from 35-45 nm, the temperature gradient seems large from outer (High T) to inner (Low T). </t>
  </si>
  <si>
    <t>35-45</t>
  </si>
  <si>
    <t>QUEA019</t>
  </si>
  <si>
    <t>26/4/2026</t>
  </si>
  <si>
    <t>30-38</t>
  </si>
  <si>
    <t>QUEB001</t>
  </si>
  <si>
    <t>27/4/2026</t>
  </si>
  <si>
    <t>Test with Original stage, and try temperature increment</t>
  </si>
  <si>
    <t>35-50</t>
  </si>
  <si>
    <t>QUEB002</t>
  </si>
  <si>
    <t>30.72+-2.44</t>
  </si>
  <si>
    <t>QUEB003</t>
  </si>
  <si>
    <t>Cannnot push the temeperature of stage to 990C</t>
  </si>
  <si>
    <t>Grain size larger and the quality maintain OK</t>
  </si>
  <si>
    <t>27-35</t>
  </si>
  <si>
    <t>QUEB004</t>
  </si>
  <si>
    <t>Increase Pressure to have large grain size</t>
  </si>
  <si>
    <t>28.90+-4.04</t>
  </si>
  <si>
    <t>QUEB005</t>
  </si>
  <si>
    <t>28/4/2026</t>
  </si>
  <si>
    <t>32.71+-2.04</t>
  </si>
  <si>
    <t>CW25B0000083</t>
  </si>
  <si>
    <t>QUEB006</t>
  </si>
  <si>
    <t>Mo intorduce 1min then introduce H2S/H2O  to have less Nucleation denisty and increase the grain size.</t>
  </si>
  <si>
    <t>35+-3.56</t>
  </si>
  <si>
    <t>QUEB007</t>
  </si>
  <si>
    <t>Decrease Mo to have smaller nucleation density</t>
  </si>
  <si>
    <t>28.76+-3.06</t>
  </si>
  <si>
    <t>QUEB008</t>
  </si>
  <si>
    <t>Off O2 supply during the gorwth process</t>
  </si>
  <si>
    <t>3.5--&gt;0</t>
  </si>
  <si>
    <t>The uniformity of quality is the best of all (Qaulity similar to 002), but the grain size seems even smaller.</t>
  </si>
  <si>
    <t>29.90+0-2.26</t>
  </si>
  <si>
    <t>QUEB009</t>
  </si>
  <si>
    <t>30/4/2026</t>
  </si>
  <si>
    <t>Increase O2 and H2S step-by-step</t>
  </si>
  <si>
    <t>4 sccmO2</t>
  </si>
  <si>
    <t>39.82+-3.06</t>
  </si>
  <si>
    <t>QUEB010</t>
  </si>
  <si>
    <t>35/35</t>
  </si>
  <si>
    <t>With Increasing H2S, The grain size decreases again,</t>
  </si>
  <si>
    <t>35.13+-6.0</t>
  </si>
  <si>
    <t>QUEB011</t>
  </si>
  <si>
    <t>Raise O2 to have over grain size</t>
  </si>
  <si>
    <t>7 sccmO2</t>
  </si>
  <si>
    <t>Super weak intensity of PL, and the grain size is small.</t>
  </si>
  <si>
    <t>QUEB012</t>
  </si>
  <si>
    <t>Raise Mo amount</t>
  </si>
  <si>
    <t>MoS2 grain size increase! FWHM decrease to 40 nm, It is confirmed that the growth is surface limited control.</t>
  </si>
  <si>
    <t>39.89+-7.01</t>
  </si>
  <si>
    <t>QUEB013</t>
  </si>
  <si>
    <t>Half of O2 and double the H2O</t>
  </si>
  <si>
    <t>QUEB014</t>
  </si>
  <si>
    <t>0.0576 sccm Mo(CO)6</t>
  </si>
  <si>
    <t>With H2S pre-trement the grain size is larger.</t>
  </si>
  <si>
    <t>35.59+-2.08</t>
  </si>
  <si>
    <t>QUEB015</t>
  </si>
  <si>
    <t>QUEC000</t>
  </si>
  <si>
    <t>Full output only push the temperature to 982 C</t>
  </si>
  <si>
    <t>QUEC001</t>
  </si>
  <si>
    <t>Check nucleation denisty baseline</t>
  </si>
  <si>
    <t>0.00256 sccm Mo(CO)6</t>
  </si>
  <si>
    <t>QUEC002</t>
  </si>
  <si>
    <t>0.00576 sccm Mo(CO)6</t>
  </si>
  <si>
    <t>All 10 nm grian size. Suppose to be nucleates after proccess done.</t>
  </si>
  <si>
    <t>QUEC003</t>
  </si>
  <si>
    <t>Repeat experiment but extend the flushing time of precursor</t>
  </si>
  <si>
    <t>Increase time for precursor flushing (1 min --&gt; 5 min)</t>
  </si>
  <si>
    <t>The nucleation denisty decreases, but the grain size still at &lt; 20 nm</t>
  </si>
  <si>
    <t>QUEC004</t>
  </si>
  <si>
    <t>5 mins keep holding temeperture</t>
  </si>
  <si>
    <t>Dummy run a 277-296 # um-2</t>
  </si>
  <si>
    <t>QUEC005</t>
  </si>
  <si>
    <t>Increase the time from 1 to 3 min for QUEC003</t>
  </si>
  <si>
    <t>Confrim the region is not in the supersaturation.</t>
  </si>
  <si>
    <t>QUEC006</t>
  </si>
  <si>
    <t>Increse the distance to see the trend.</t>
  </si>
  <si>
    <r>
      <rPr>
        <sz val="12"/>
        <color rgb="FF000000"/>
        <rFont val="Aptos Narrow"/>
        <family val="2"/>
        <scheme val="minor"/>
      </rPr>
      <t>SH Edge temperature at</t>
    </r>
    <r>
      <rPr>
        <b/>
        <sz val="12"/>
        <color rgb="FF000000"/>
        <rFont val="Aptos Narrow"/>
        <family val="2"/>
        <scheme val="minor"/>
      </rPr>
      <t xml:space="preserve"> 523C</t>
    </r>
  </si>
  <si>
    <t>The nucleation density remain the same level but the nucleates are bilayer.</t>
  </si>
  <si>
    <t>QUEC007</t>
  </si>
  <si>
    <t>Compare with the result from previous data and increase the distance</t>
  </si>
  <si>
    <t>The result is more oxidized, suspect that it is resulted from the degradation of lamp</t>
  </si>
  <si>
    <t>QUEC008</t>
  </si>
  <si>
    <t>Recheck the lamp degrading issue</t>
  </si>
  <si>
    <t>Baseline is similar to Mo precurosor.</t>
  </si>
  <si>
    <t>QUEC009</t>
  </si>
  <si>
    <t>Close to the SH, and force all the gases heated up.</t>
  </si>
  <si>
    <t>Quality improve, but grain size smaller.</t>
  </si>
  <si>
    <t>QUEC010</t>
  </si>
  <si>
    <t>Increas pressure, try to move the reaction toward diffusion control.</t>
  </si>
  <si>
    <t>~600</t>
  </si>
  <si>
    <t>QUEC011</t>
  </si>
  <si>
    <t>Decrease pressure</t>
  </si>
  <si>
    <t>Uncer low pressure, edge is at 582C.</t>
  </si>
  <si>
    <t>Quality improvement to &lt; 30 nm</t>
  </si>
  <si>
    <t>QUEC012</t>
  </si>
  <si>
    <t>Post-treatment to solve oxidation</t>
  </si>
  <si>
    <t>80 sccm H2S/ 5min</t>
  </si>
  <si>
    <t>QUEC013</t>
  </si>
  <si>
    <t xml:space="preserve">WIth 10 sccm MFC-Ar, the growth </t>
  </si>
  <si>
    <t>60 sccm H2S/ 5min</t>
  </si>
  <si>
    <t>QUEC014</t>
  </si>
  <si>
    <t>QUEC015</t>
  </si>
  <si>
    <t>QUEC016</t>
  </si>
  <si>
    <t>QUEC017</t>
  </si>
  <si>
    <t>Increase H2O amount</t>
  </si>
  <si>
    <t>QUEC018</t>
  </si>
  <si>
    <t>QUEC019</t>
  </si>
  <si>
    <t>Gradually increase O2 and H2S in the same ratio.</t>
  </si>
  <si>
    <t>Assume H2S+O2 forms H2O+ S2</t>
  </si>
  <si>
    <t>QUEC020</t>
  </si>
  <si>
    <t>Quality should be simliar while grain size enlarge compared to QUEC017 based on the assumption.</t>
  </si>
  <si>
    <t>QUFA001</t>
  </si>
  <si>
    <t>The edge of SH is at 580C (50C higher.)</t>
  </si>
  <si>
    <t>Strong back flow to the SH outlet.</t>
  </si>
  <si>
    <t>QUFA002</t>
  </si>
  <si>
    <t>0/0</t>
  </si>
  <si>
    <t>Too strong of flow flush the precursor to pass toward edge of SH.</t>
  </si>
  <si>
    <t>QUFA003</t>
  </si>
  <si>
    <t>75/75</t>
  </si>
  <si>
    <t>100/100</t>
  </si>
  <si>
    <t>QUFA004</t>
  </si>
  <si>
    <t>Still nothing grown on sapphire</t>
  </si>
  <si>
    <t>QUFA005</t>
  </si>
  <si>
    <t>100 sccm H2S/ 5min</t>
  </si>
  <si>
    <t>HIghly oxidized shown at edge,</t>
  </si>
  <si>
    <t>Nothing grown when the distance increase to 9.5 cm.</t>
  </si>
  <si>
    <t>QUED001</t>
  </si>
  <si>
    <t>60 sccm H2S 5min</t>
  </si>
  <si>
    <t>Leakage rate is low (0.2 mtorr/ 2min)</t>
  </si>
  <si>
    <t>Strongly oxidized...only shown at edge,  which is super weird.</t>
  </si>
  <si>
    <t>QUED002</t>
  </si>
  <si>
    <t>Recheck the run of QUEC017</t>
  </si>
  <si>
    <t>QUEE001</t>
  </si>
  <si>
    <t>Refill 5g of Mo(CO)6</t>
  </si>
  <si>
    <t>With changing MoCO6, the color is light red.</t>
  </si>
  <si>
    <t>QUEE002</t>
  </si>
  <si>
    <t>Move to 2cm to check growth</t>
  </si>
  <si>
    <t>Color darker, but the growth still highly oxidized.</t>
  </si>
  <si>
    <t>QUEE003</t>
  </si>
  <si>
    <t>Reduce O2 to get leass oxidation</t>
  </si>
  <si>
    <t>Looks like already grown on sapphire and then etched</t>
  </si>
  <si>
    <t>QUEF001</t>
  </si>
  <si>
    <t>Baseline Recheck</t>
  </si>
  <si>
    <t>Fresh Cable was set, and leakage solved.</t>
  </si>
  <si>
    <t>Fetch back the condition baseline which proves the leakage point causing leaks at high T.</t>
  </si>
  <si>
    <t>35-40</t>
  </si>
  <si>
    <t>QUEF002</t>
  </si>
  <si>
    <t>10.13 sccm H2O</t>
  </si>
  <si>
    <t>QUEF003</t>
  </si>
  <si>
    <t>Repeat to check coating contributions</t>
  </si>
  <si>
    <t>QUEF004</t>
  </si>
  <si>
    <t>Increase H2S and O2 to see the grain size increasing or decreasing</t>
  </si>
  <si>
    <t>QUEF005</t>
  </si>
  <si>
    <t>45/45</t>
  </si>
  <si>
    <t>Quality improves to FWHM 28 nm</t>
  </si>
  <si>
    <t>28-30</t>
  </si>
  <si>
    <t>QUEF006</t>
  </si>
  <si>
    <t>55/55</t>
  </si>
  <si>
    <t>5.5 sccmO2</t>
  </si>
  <si>
    <t>QUEF007</t>
  </si>
  <si>
    <t>90sccm H2S</t>
  </si>
  <si>
    <t>Coverage is lower and grain size even smaller (20 nm) PL intensity  is super weak.</t>
  </si>
  <si>
    <t>QUEF008</t>
  </si>
  <si>
    <t>Pulse with 1min growth/30s H2O interval</t>
  </si>
  <si>
    <t>The color is super light, and grain size smaller</t>
  </si>
  <si>
    <t>QUEF009</t>
  </si>
  <si>
    <t>Decrease Ar flow to decrease velocity/increase concentration</t>
  </si>
  <si>
    <t>Decrease in velociy from top will also decrease the total amount of Mo</t>
  </si>
  <si>
    <t>QUEF010</t>
  </si>
  <si>
    <t>Grain size enlarge</t>
  </si>
  <si>
    <t>QUEF011</t>
  </si>
  <si>
    <t>QUEF012</t>
  </si>
  <si>
    <t>QUEF013</t>
  </si>
  <si>
    <t>AHU Broken</t>
  </si>
  <si>
    <t>Not consistent, it was too oxidized</t>
  </si>
  <si>
    <t>QUEF014</t>
  </si>
  <si>
    <t>90 sccm H2S/ 5min</t>
  </si>
  <si>
    <t>Still too oxidzed, suspect Mositure amount increase too much</t>
  </si>
  <si>
    <t>QUEF015</t>
  </si>
  <si>
    <t>Decrease H2O to get less oxidation</t>
  </si>
  <si>
    <t>Temperature to 38C</t>
  </si>
  <si>
    <t>It works, but film is still slightly oxidized.</t>
  </si>
  <si>
    <t>QUEF016</t>
  </si>
  <si>
    <t>QUEF017</t>
  </si>
  <si>
    <t xml:space="preserve">Test with chilled water tank </t>
  </si>
  <si>
    <t>Install a water tank to maintain water tank temperature</t>
  </si>
  <si>
    <t>The coating is super strong, suspect that it is highly dominated the growth.</t>
  </si>
  <si>
    <t>QUEF018</t>
  </si>
  <si>
    <t>QUEG001</t>
  </si>
  <si>
    <t>Check heating stage contact.</t>
  </si>
  <si>
    <t>Color is light. (Suspect O2 leaking again...)</t>
  </si>
  <si>
    <t>QUEG002</t>
  </si>
  <si>
    <t>Leakage rate: 3 mtorr/ 2min</t>
  </si>
  <si>
    <t>One lamp fails.</t>
  </si>
  <si>
    <t>QUEG003</t>
  </si>
  <si>
    <t>Leakage rate: 0.2 mtorr/ 2min/ Water tank 37C--&gt;31C</t>
  </si>
  <si>
    <t>QUEG004</t>
  </si>
  <si>
    <t>SH Current:48A</t>
  </si>
  <si>
    <t>Changing the Stage to high power DC to increase temperature of stage (1198C with 4999 KW); Leakagfe rate: 0.2 mtorr/2min</t>
  </si>
  <si>
    <t>QUGA001</t>
  </si>
  <si>
    <t>7 min after, the Lamp  SCR trip</t>
  </si>
  <si>
    <t>Grain size is ~1um around edge. But no PL except #5.</t>
  </si>
  <si>
    <t>QUGA002</t>
  </si>
  <si>
    <t>Observing that Pessure od H2O containter raised from 393--&gt;399 torr during the growth.</t>
  </si>
  <si>
    <t>Survive over 10 mins by changing the ramping profile.</t>
  </si>
  <si>
    <t>QUGA003</t>
  </si>
  <si>
    <r>
      <rPr>
        <sz val="12"/>
        <color rgb="FF000000"/>
        <rFont val="Aptos Narrow"/>
        <family val="2"/>
        <scheme val="minor"/>
      </rPr>
      <t xml:space="preserve">Baseline Recheck, </t>
    </r>
    <r>
      <rPr>
        <sz val="12"/>
        <color rgb="FFFF0000"/>
        <rFont val="Aptos Narrow"/>
        <family val="2"/>
        <scheme val="minor"/>
      </rPr>
      <t>delay close O2 for 1 mins</t>
    </r>
  </si>
  <si>
    <t>delay close O2 for 1 min</t>
  </si>
  <si>
    <t>oxidized</t>
  </si>
  <si>
    <t>QUGA004</t>
  </si>
  <si>
    <t>QUGA005</t>
  </si>
  <si>
    <t>The oxidation is mostly surpressed.</t>
  </si>
  <si>
    <t>46-58</t>
  </si>
  <si>
    <t>QUGA006</t>
  </si>
  <si>
    <t>QUGA007</t>
  </si>
  <si>
    <t>2 inch check by orientation</t>
  </si>
  <si>
    <t>2-inch on stage, the quality is largely improved. but still poly grain from SHG</t>
  </si>
  <si>
    <t>35-38</t>
  </si>
  <si>
    <t>QUGA008</t>
  </si>
  <si>
    <t>QUGA009</t>
  </si>
  <si>
    <t>Repeat (Check AC influence)</t>
  </si>
  <si>
    <t>QUGA010</t>
  </si>
  <si>
    <t>Change the heating element and Nickel bridge of the system. C276 isolation layer/ Right side Au-Cu feedthrough.</t>
  </si>
  <si>
    <t>QUGB001</t>
  </si>
  <si>
    <t>Baseline Check</t>
  </si>
  <si>
    <t>Cooling rate: 970--&gt;800/ 10min</t>
  </si>
  <si>
    <t>Grain size reach 1-2 um, with orientation on 2 inch, but 4-inch shows 4 orientation. suspect it is due to the temperature is lower on 4-inch.</t>
  </si>
  <si>
    <t>QUGB002</t>
  </si>
  <si>
    <t>QUGB003</t>
  </si>
  <si>
    <t>Check rapid cooling</t>
  </si>
  <si>
    <t>Leakage rate: 2 mtorr/2min</t>
  </si>
  <si>
    <t>QUGB004</t>
  </si>
  <si>
    <t>QUGB005</t>
  </si>
  <si>
    <t>Place at the center and flow large flow</t>
  </si>
  <si>
    <t>The quality is much more oxidized after double the H2O flow.</t>
  </si>
  <si>
    <t>QUGB006</t>
  </si>
  <si>
    <t>QUGB007</t>
  </si>
  <si>
    <t>Minimize second layer</t>
  </si>
  <si>
    <t>Dismental the TC at SH.</t>
  </si>
  <si>
    <t>The film is oxidized to show 292, 462 cm-1</t>
  </si>
  <si>
    <t>QUGB008</t>
  </si>
  <si>
    <t>QUGB009</t>
  </si>
  <si>
    <t>Try to check precursor depletion time</t>
  </si>
  <si>
    <t>90 sccm H2S/ 2min</t>
  </si>
  <si>
    <t>The trend is  not consittent, large grain(2-3 um) more oxidized</t>
  </si>
  <si>
    <t>QUGB010</t>
  </si>
  <si>
    <t>QUGB011</t>
  </si>
  <si>
    <t>Check buyancy effect.</t>
  </si>
  <si>
    <t>Not Buoyancy dominates</t>
  </si>
  <si>
    <t>Still very oxidized and similar to 009, suspect a leakage occur at TC side. Nothing relates to the buoyancy effect. THe oxidation state is somehow larger.</t>
  </si>
  <si>
    <t>QUGB012</t>
  </si>
  <si>
    <t>Check Leakage, reseal the layer 2</t>
  </si>
  <si>
    <t>QUGB013</t>
  </si>
  <si>
    <t>Raise H2S and decrease O2 to have less oxidation</t>
  </si>
  <si>
    <t>Temperature of SH drops cuz 1 lamp down.</t>
  </si>
  <si>
    <t>The quality is much a lot improved. The orientations are 0/60. Mo-rich</t>
  </si>
  <si>
    <t>21-22</t>
  </si>
  <si>
    <t>QUGB014</t>
  </si>
  <si>
    <t>QUGB015</t>
  </si>
  <si>
    <t>Raise the temperature 1020 C to have better quality (Slow cooling)</t>
  </si>
  <si>
    <t>100 sccm H2S/ 5min (1020--&gt;900C)</t>
  </si>
  <si>
    <t>THe grain size enlarge but the quality is poorer. (The orientation is also much improved toward 30/90) From center to the outer, the distribution varies. The resutl is weird... Intuitively, it should show better quality</t>
  </si>
  <si>
    <t>QUGB016</t>
  </si>
  <si>
    <t>QUGB017</t>
  </si>
  <si>
    <t>Recheck the result at 1000C with rapid cooling(Increase Ar-S to have better uniformity.)</t>
  </si>
  <si>
    <t>QUGB018</t>
  </si>
  <si>
    <t>100 sccm H2S+Mo feeding/ 2min</t>
  </si>
  <si>
    <t>QUGB019</t>
  </si>
  <si>
    <t>Obtain film first with good quality</t>
  </si>
  <si>
    <t>late to close O2 for 1 mins</t>
  </si>
  <si>
    <t>Already get merged film but the quality is poor.</t>
  </si>
  <si>
    <t>QUGB020</t>
  </si>
  <si>
    <t>repeat QUGB19</t>
  </si>
  <si>
    <t>Close the O2 manual valve immediately.</t>
  </si>
  <si>
    <t>QUGB021</t>
  </si>
  <si>
    <t>Increase H2S to have a better quality film.</t>
  </si>
  <si>
    <t>110 sccm H2S/ 5min</t>
  </si>
  <si>
    <t>QUGB022</t>
  </si>
  <si>
    <t>Increase H2S and decrease O2 to have a better quality film.</t>
  </si>
  <si>
    <t>60/60</t>
  </si>
  <si>
    <t>3.5 sccm O2</t>
  </si>
  <si>
    <t>120 sccm H2S/ 5min</t>
  </si>
  <si>
    <t>QUGB023</t>
  </si>
  <si>
    <t>QUGB024</t>
  </si>
  <si>
    <t>Strong oxidation</t>
  </si>
  <si>
    <t>QUGB025</t>
  </si>
  <si>
    <t>Change the lamps and fixed the lamps on electrodes with graphite sealed; Re-polish the knife-edge on layer 2.</t>
  </si>
  <si>
    <t>QUGC001</t>
  </si>
  <si>
    <t>Leakage rate is smaller: 0.1 mtorr/ 2 min</t>
  </si>
  <si>
    <t>Less oxidation compare to QUGB024</t>
  </si>
  <si>
    <t>QUGC002</t>
  </si>
  <si>
    <t>QUGC003</t>
  </si>
  <si>
    <t>The quality is slightly worse and the gain shows less triangular (Suspect the absorbing moisture causing more oxidized)</t>
  </si>
  <si>
    <t>34-35</t>
  </si>
  <si>
    <t>QUGC004</t>
  </si>
  <si>
    <t>QUGC005</t>
  </si>
  <si>
    <t>Reproducibility Check</t>
  </si>
  <si>
    <t>Check Leakage rate: &lt;1e-3 mtorr/ 6 min</t>
  </si>
  <si>
    <t>The quality is similar and grain size grain orientation is comaprable.</t>
  </si>
  <si>
    <t>34-36</t>
  </si>
  <si>
    <t>QUGC006</t>
  </si>
  <si>
    <t>QUGC007</t>
  </si>
  <si>
    <t>Increase temperature to check quality and orientation control</t>
  </si>
  <si>
    <t>Quality is improved.</t>
  </si>
  <si>
    <t>QUGC008</t>
  </si>
  <si>
    <t>QUGC009</t>
  </si>
  <si>
    <t>Try ulitmiately high temp so far. Check the quality change and orientation control.</t>
  </si>
  <si>
    <t>90 sccm H2S/ 5min(1050--&gt;900C)</t>
  </si>
  <si>
    <t>The quality decays with slow cooling</t>
  </si>
  <si>
    <t>38-43</t>
  </si>
  <si>
    <t>QUGC010</t>
  </si>
  <si>
    <t>QUGC011</t>
  </si>
  <si>
    <t>Increase growth time to check grain coalescence</t>
  </si>
  <si>
    <t>Merged film is obtained. The orientation is up-down the most (Mo-rich) from the 2nd layer. Some region at the outer ring is oxidized. But center PL FWHM is 30 nm.</t>
  </si>
  <si>
    <t>QUGC012</t>
  </si>
  <si>
    <t>QUGC013</t>
  </si>
  <si>
    <t>Check the MoS2 diffusion situation</t>
  </si>
  <si>
    <t>90 sccm H2S/ 10min (From 950 to 1000 C)</t>
  </si>
  <si>
    <t>QUGC014</t>
  </si>
  <si>
    <t>QUGC015</t>
  </si>
  <si>
    <t>Obtain clean film with decreasing Mo</t>
  </si>
  <si>
    <t>The film is clean but the oxidized region is larger than QUGC011</t>
  </si>
  <si>
    <t>40 @#5</t>
  </si>
  <si>
    <t>QUGC016</t>
  </si>
  <si>
    <t>QUGC017</t>
  </si>
  <si>
    <t>Check slow cooling influence (1050 C--&gt;900C 5min)</t>
  </si>
  <si>
    <t>Quality is imporved by adding post-treatment.</t>
  </si>
  <si>
    <t>33-40</t>
  </si>
  <si>
    <t>QUGC018</t>
  </si>
  <si>
    <t>QUGC019</t>
  </si>
  <si>
    <t>Check slow cooling influence (1050 C--&gt;750C 5min)</t>
  </si>
  <si>
    <t>Quality is improved by quick cooling.</t>
  </si>
  <si>
    <t>31-33</t>
  </si>
  <si>
    <t>QUGC020</t>
  </si>
  <si>
    <t>QUGC021</t>
  </si>
  <si>
    <t>H2S pretreat but prolong the growth time to 10 min</t>
  </si>
  <si>
    <t>Forgot to open the H2S earlier, H2S only pretreat for 2 min before reaching 1000C.</t>
  </si>
  <si>
    <t>The idea proves that increasing time H2S also provide comparable quality and</t>
  </si>
  <si>
    <t>QUGC022</t>
  </si>
  <si>
    <t>QUGC023</t>
  </si>
  <si>
    <t>QUGC024</t>
  </si>
  <si>
    <t>QUGC025</t>
  </si>
  <si>
    <t>Check Distance influence orientations</t>
  </si>
  <si>
    <t>90 sccm H2S/ 5min + 1050--&gt;750 5 min</t>
  </si>
  <si>
    <t>The orientation is improved by adding  moisture.</t>
  </si>
  <si>
    <t>QUGC026</t>
  </si>
  <si>
    <t>QUGC027</t>
  </si>
  <si>
    <t>QUGC028</t>
  </si>
  <si>
    <t>QUGC029</t>
  </si>
  <si>
    <t>~45 (38-55)</t>
  </si>
  <si>
    <t>QUGC030</t>
  </si>
  <si>
    <t>QUGC031</t>
  </si>
  <si>
    <t>Recheck the condition at 4 cm</t>
  </si>
  <si>
    <t>The growth distance is the best. (Quality &amp; coverage)</t>
  </si>
  <si>
    <t>34-38</t>
  </si>
  <si>
    <t>QUGC032</t>
  </si>
  <si>
    <t>QUGC033</t>
  </si>
  <si>
    <t>Moisture increasing to see the trend of orientation control</t>
  </si>
  <si>
    <t>41-44</t>
  </si>
  <si>
    <t>QUGC034</t>
  </si>
  <si>
    <t>QUGC035</t>
  </si>
  <si>
    <t>33-35</t>
  </si>
  <si>
    <t>QUGC036</t>
  </si>
  <si>
    <t>QUGC037</t>
  </si>
  <si>
    <t>Reduce Moisture to check the moisture contribution</t>
  </si>
  <si>
    <t>Late open O2 for 5 min (only introduced O2 for 5 min)</t>
  </si>
  <si>
    <t>QUGC038</t>
  </si>
  <si>
    <t>Change the stage contact ceramic screw/ Flat stage</t>
  </si>
  <si>
    <t>QUGD001</t>
  </si>
  <si>
    <t>Decrease O2 to check if 30/90 shows</t>
  </si>
  <si>
    <t>~40</t>
  </si>
  <si>
    <t>QUGD002</t>
  </si>
  <si>
    <t>QUGD003</t>
  </si>
  <si>
    <t>35-44</t>
  </si>
  <si>
    <t>QUGD004</t>
  </si>
  <si>
    <t>QUGD005</t>
  </si>
  <si>
    <t>Decrease the temperature to have a better coverage</t>
  </si>
  <si>
    <t>90 sccm H2S/ 5min + 1000--&gt;750 5 min</t>
  </si>
  <si>
    <t>Film was obtained</t>
  </si>
  <si>
    <t>30-37</t>
  </si>
  <si>
    <t>QUGD006</t>
  </si>
  <si>
    <t>QUGD007</t>
  </si>
  <si>
    <t>Slightly decrease growth time to have clean merged film</t>
  </si>
  <si>
    <t>90 sccm H2S/ 7min + 1000--&gt;750 5 min</t>
  </si>
  <si>
    <t>Forgot to change water carrier</t>
  </si>
  <si>
    <t>Mostly merged film. Largest grain size~200 nm.</t>
  </si>
  <si>
    <t>32-37</t>
  </si>
  <si>
    <t>QUGD008</t>
  </si>
  <si>
    <t>QUGD009</t>
  </si>
  <si>
    <r>
      <rPr>
        <sz val="12"/>
        <color rgb="FF000000"/>
        <rFont val="Aptos Narrow"/>
        <family val="2"/>
        <scheme val="minor"/>
      </rPr>
      <t>Still not merged</t>
    </r>
    <r>
      <rPr>
        <b/>
        <sz val="12"/>
        <color rgb="FF000000"/>
        <rFont val="Aptos Narrow"/>
        <family val="2"/>
        <scheme val="minor"/>
      </rPr>
      <t xml:space="preserve"> BUT very very close.</t>
    </r>
  </si>
  <si>
    <t>29-37</t>
  </si>
  <si>
    <t>QUGD010</t>
  </si>
  <si>
    <t>QUGD011</t>
  </si>
  <si>
    <t>Increase the growth time to 9 min to obtain clean merged film</t>
  </si>
  <si>
    <t>90 sccm H2S/ 6min + 1000--&gt;750 5 min</t>
  </si>
  <si>
    <t>Almost merged film but the second layer is obvious.</t>
  </si>
  <si>
    <t>30-32</t>
  </si>
  <si>
    <t>QUGD012</t>
  </si>
  <si>
    <t>QUGD013</t>
  </si>
  <si>
    <t>Increase the flow of H2S referenced by QUGD007</t>
  </si>
  <si>
    <t>30-44</t>
  </si>
  <si>
    <t>QUGD014</t>
  </si>
  <si>
    <t>QUGE000</t>
  </si>
  <si>
    <t>QUGE001</t>
  </si>
  <si>
    <t>Check the pure H2S parameter</t>
  </si>
  <si>
    <t>120 sccm H2S/ 5min + 1000--&gt;750 5 min</t>
  </si>
  <si>
    <t>QUGE002</t>
  </si>
  <si>
    <t>QUGE003</t>
  </si>
  <si>
    <t>Lamp fial and quatz cylinder tempersture decrease to 640C (Previous ~664 C)</t>
  </si>
  <si>
    <t>SiC 10 cm</t>
  </si>
  <si>
    <t>Place a pillar of SiC into SH as structure of HA</t>
  </si>
  <si>
    <t>QUHA000</t>
  </si>
  <si>
    <t>QUHA001</t>
  </si>
  <si>
    <t>Check carbide increase temperature</t>
  </si>
  <si>
    <t>Forgot to close the Mo source and O2</t>
  </si>
  <si>
    <t>QUHA002</t>
  </si>
  <si>
    <t>QUHA003</t>
  </si>
  <si>
    <t>Repeat QUHA001</t>
  </si>
  <si>
    <t>Still too oxidized, nothing grown on top.</t>
  </si>
  <si>
    <t>QUHA004</t>
  </si>
  <si>
    <t>QUHA005</t>
  </si>
  <si>
    <t>Increase Mo and decrease O2</t>
  </si>
  <si>
    <t>Still nothing grown</t>
  </si>
  <si>
    <t>Recheck Leakage at layer 2, sealed with AB glue</t>
  </si>
  <si>
    <t>QUHA006</t>
  </si>
  <si>
    <t xml:space="preserve">Remove SiC and resealed the layer 2. The leakage is minimized and check the leakage not severe (Especially, the </t>
  </si>
  <si>
    <t>QUIA000</t>
  </si>
  <si>
    <t>Testing run.</t>
  </si>
  <si>
    <t>QUIA001</t>
  </si>
  <si>
    <t>Test with foil.</t>
  </si>
  <si>
    <t>1.214 g Mo foil was placed with nature oxide.--&gt; after growth, the foil is 1.220 g.</t>
  </si>
  <si>
    <t>The temp is too low and cannot lead to high Mo Conc.</t>
  </si>
  <si>
    <t>QUGF001</t>
  </si>
  <si>
    <t>The center is oxided but the diameter is only1-2 cm, the rest PL FHWM is 28 nm.</t>
  </si>
  <si>
    <t>QUGF002</t>
  </si>
  <si>
    <t>QUGF003</t>
  </si>
  <si>
    <t>check increase pressure and  increase Mo conc in the same time.</t>
  </si>
  <si>
    <t xml:space="preserve">The result is less growth, let make the transport of Mo </t>
  </si>
  <si>
    <t>Check with IR-absrobed quartz cylinder</t>
  </si>
  <si>
    <t>QUJA001</t>
  </si>
  <si>
    <t>Very light color of MoS2 deposition, not sure if ot's the gaseous T lower or leakage causes such case.</t>
  </si>
  <si>
    <t>QUJA002</t>
  </si>
  <si>
    <t>Check the temperature with a inner tube.</t>
  </si>
  <si>
    <t>30 degree C different for inner gases at TC location with 28.5cm long inner tube.</t>
  </si>
  <si>
    <t>QUJA003</t>
  </si>
  <si>
    <t>Compare the SH temperature to recheck QUGF001 condition</t>
  </si>
  <si>
    <t>The result is close to QUGF001.</t>
  </si>
  <si>
    <t>25-32</t>
  </si>
  <si>
    <t>QUJA004</t>
  </si>
  <si>
    <t>QUJA005</t>
  </si>
  <si>
    <t>BL exp: add one Sapphire as gas blocker. Need to redesign the exp</t>
  </si>
  <si>
    <t>dalay process for 5 mins, post-annealing at cooling process</t>
  </si>
  <si>
    <t>The blocker is oxidzed, the wafer is MoS2 but grain size is similar. The blocked region is less domain but size seems not increased.</t>
  </si>
  <si>
    <t>QUJA006</t>
  </si>
  <si>
    <t>QUJA007</t>
  </si>
  <si>
    <t>grow</t>
  </si>
  <si>
    <t>QUJA008</t>
  </si>
  <si>
    <t>QUJA009</t>
  </si>
  <si>
    <t>QUJA010</t>
  </si>
  <si>
    <t>QUJA011</t>
  </si>
  <si>
    <t>QUJA012</t>
  </si>
  <si>
    <t>QUJA013</t>
  </si>
  <si>
    <t>QUJA014</t>
  </si>
  <si>
    <t>QUJA015</t>
  </si>
  <si>
    <t>QUJA016</t>
  </si>
  <si>
    <t>QUJA017</t>
  </si>
  <si>
    <t>QUJA018</t>
  </si>
  <si>
    <t>QUJA019</t>
  </si>
  <si>
    <t>Dummy run, make sure no coating contributions</t>
  </si>
  <si>
    <t>The dummy run shows no coating distribute to the wafer.</t>
  </si>
  <si>
    <t>QUJA020</t>
  </si>
  <si>
    <t>Still shows growth on sapphire and the grain size is hundreds nm.</t>
  </si>
  <si>
    <t>QUJA021</t>
  </si>
  <si>
    <t>QUJA022</t>
  </si>
  <si>
    <t>Withdraw H2O to verify MoO2OH2 or MoO3 difference</t>
  </si>
  <si>
    <t>Still grown on sapphire, but the grain seems a bit smaller and shows a large range distribution.</t>
  </si>
  <si>
    <t>QUJA023</t>
  </si>
  <si>
    <t>QUJA024</t>
  </si>
  <si>
    <t>100--&gt;0</t>
  </si>
  <si>
    <t>Mo is largely decreased.</t>
  </si>
  <si>
    <t>QUJB001</t>
  </si>
  <si>
    <t>QUJB002</t>
  </si>
  <si>
    <t>Circular precursor introduction of Mo sources</t>
  </si>
  <si>
    <t>Gases marked in red is the circular introduction.</t>
  </si>
  <si>
    <t>QUJB003</t>
  </si>
  <si>
    <t>QUJB004</t>
  </si>
  <si>
    <t>QUJB005</t>
  </si>
  <si>
    <t>QUJB006</t>
  </si>
  <si>
    <t>QUKA001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</si>
</sst>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409]d\-mmm;@"/>
    <numFmt numFmtId="166" formatCode="[$-409]d\-mmm\-yyyy;@"/>
  </numFmts>
  <fonts count="64">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charset val="136"/>
      <scheme val="minor"/>
    </font>
    <font>
      <sz val="11"/>
      <color theme="1"/>
      <name val="Aptos Narrow"/>
      <family val="2"/>
      <charset val="136"/>
      <scheme val="minor"/>
    </font>
    <font>
      <sz val="12"/>
      <color theme="1"/>
      <name val="Aptos Display"/>
      <family val="2"/>
      <scheme val="major"/>
    </font>
    <font>
      <b/>
      <sz val="12"/>
      <color theme="0"/>
      <name val="Aptos Display"/>
      <family val="2"/>
      <scheme val="major"/>
    </font>
    <font>
      <b/>
      <sz val="12"/>
      <color theme="1"/>
      <name val="Aptos Display"/>
      <family val="2"/>
      <scheme val="major"/>
    </font>
    <font>
      <sz val="12"/>
      <color rgb="FF000000"/>
      <name val="Aptos Display"/>
      <family val="2"/>
      <scheme val="major"/>
    </font>
    <font>
      <sz val="14"/>
      <color theme="1"/>
      <name val="Aptos Display"/>
      <family val="2"/>
      <scheme val="major"/>
    </font>
    <font>
      <b/>
      <sz val="14"/>
      <color theme="0"/>
      <name val="Aptos Display"/>
      <family val="2"/>
      <scheme val="major"/>
    </font>
    <font>
      <sz val="14"/>
      <color theme="1"/>
      <name val="Aptos Narrow"/>
      <family val="2"/>
      <scheme val="minor"/>
    </font>
    <font>
      <b/>
      <sz val="12"/>
      <color rgb="FF0070C0"/>
      <name val="Aptos Display"/>
      <family val="2"/>
      <scheme val="major"/>
    </font>
    <font>
      <sz val="12"/>
      <color rgb="FF000000"/>
      <name val="Aptos Narrow"/>
      <family val="2"/>
      <scheme val="minor"/>
    </font>
    <font>
      <b/>
      <sz val="12"/>
      <color rgb="FF000000"/>
      <name val="Aptos Narrow"/>
      <family val="2"/>
      <scheme val="minor"/>
    </font>
    <font>
      <sz val="12"/>
      <color theme="1"/>
      <name val="Aptos Narrow"/>
      <family val="2"/>
      <scheme val="minor"/>
    </font>
    <font>
      <b/>
      <sz val="12"/>
      <color rgb="FFFF0000"/>
      <name val="Aptos Narrow"/>
      <family val="2"/>
      <scheme val="minor"/>
    </font>
    <font>
      <sz val="11"/>
      <color theme="1"/>
      <name val="Calibri"/>
      <family val="2"/>
    </font>
    <font>
      <b/>
      <sz val="12"/>
      <color theme="1"/>
      <name val="Aptos Narrow"/>
      <family val="2"/>
      <scheme val="minor"/>
    </font>
    <font>
      <b/>
      <sz val="12"/>
      <color rgb="FF0070C0"/>
      <name val="Aptos Narrow"/>
      <family val="2"/>
      <scheme val="minor"/>
    </font>
    <font>
      <b/>
      <sz val="14"/>
      <color theme="1"/>
      <name val="Calibri"/>
      <family val="2"/>
    </font>
    <font>
      <b/>
      <sz val="11"/>
      <color theme="1"/>
      <name val="Calibri"/>
      <family val="2"/>
    </font>
    <font>
      <b/>
      <sz val="11"/>
      <color rgb="FFFF0000"/>
      <name val="Calibri"/>
      <family val="2"/>
    </font>
    <font>
      <sz val="11"/>
      <name val="Calibri"/>
      <family val="2"/>
    </font>
    <font>
      <sz val="11"/>
      <color theme="2" tint="-0.499984740745262"/>
      <name val="Calibri"/>
      <family val="2"/>
    </font>
    <font>
      <sz val="11"/>
      <color rgb="FFFF0000"/>
      <name val="Calibri"/>
      <family val="2"/>
    </font>
    <font>
      <b/>
      <sz val="11"/>
      <color theme="1"/>
      <name val="Aptos Narrow"/>
      <family val="2"/>
    </font>
    <font>
      <sz val="8"/>
      <name val="Aptos Narrow"/>
      <family val="2"/>
      <scheme val="minor"/>
    </font>
    <font>
      <sz val="12"/>
      <color rgb="FF0070C0"/>
      <name val="Aptos Display"/>
      <family val="2"/>
      <scheme val="major"/>
    </font>
    <font>
      <sz val="11"/>
      <color rgb="FFFF0000"/>
      <name val="Aptos Narrow"/>
      <family val="2"/>
      <scheme val="minor"/>
    </font>
    <font>
      <sz val="12"/>
      <color rgb="FFFF0000"/>
      <name val="Aptos Narrow"/>
      <family val="2"/>
      <scheme val="minor"/>
    </font>
    <font>
      <b/>
      <sz val="11"/>
      <name val="Calibri"/>
      <family val="2"/>
    </font>
    <font>
      <b/>
      <sz val="14"/>
      <color theme="1"/>
      <name val="Aptos Narrow"/>
      <family val="2"/>
      <scheme val="minor"/>
    </font>
    <font>
      <sz val="11"/>
      <name val="Aptos Narrow"/>
      <family val="2"/>
      <scheme val="minor"/>
    </font>
    <font>
      <sz val="12"/>
      <color rgb="FF000000"/>
      <name val="Aptos Display"/>
      <family val="2"/>
    </font>
    <font>
      <sz val="11"/>
      <color theme="0" tint="-0.499984740745262"/>
      <name val="Calibri"/>
      <family val="2"/>
    </font>
    <font>
      <u/>
      <sz val="11"/>
      <color theme="1"/>
      <name val="Calibri"/>
      <family val="2"/>
    </font>
    <font>
      <sz val="11"/>
      <color rgb="FF000000"/>
      <name val="Calibri"/>
      <family val="2"/>
    </font>
    <font>
      <b/>
      <sz val="11"/>
      <color rgb="FFFF0000"/>
      <name val="Aptos Narrow"/>
      <family val="2"/>
      <scheme val="minor"/>
    </font>
    <font>
      <sz val="11"/>
      <color theme="1"/>
      <name val="Calibri"/>
      <family val="2"/>
    </font>
    <font>
      <sz val="11"/>
      <name val="Arial"/>
      <family val="2"/>
    </font>
    <font>
      <b/>
      <sz val="16"/>
      <color theme="1"/>
      <name val="Aptos Narrow"/>
      <family val="2"/>
      <scheme val="minor"/>
    </font>
    <font>
      <sz val="12"/>
      <color theme="7" tint="0.79998168889431442"/>
      <name val="Aptos Narrow"/>
      <family val="2"/>
      <scheme val="minor"/>
    </font>
    <font>
      <sz val="12"/>
      <color rgb="FF660874"/>
      <name val="Aptos Narrow"/>
      <family val="2"/>
      <scheme val="minor"/>
    </font>
    <font>
      <b/>
      <sz val="11"/>
      <color theme="0"/>
      <name val="Aptos Display"/>
      <family val="2"/>
      <scheme val="major"/>
    </font>
    <font>
      <sz val="11"/>
      <color rgb="FF000000"/>
      <name val="Aptos Narrow"/>
      <family val="2"/>
      <scheme val="minor"/>
    </font>
    <font>
      <sz val="12"/>
      <color rgb="FF000000"/>
      <name val="Aptos Narrow"/>
      <family val="2"/>
    </font>
    <font>
      <b/>
      <sz val="12"/>
      <color rgb="FF000000"/>
      <name val="Aptos Narrow"/>
      <family val="2"/>
    </font>
    <font>
      <sz val="12"/>
      <color theme="9" tint="0.79998168889431442"/>
      <name val="Aptos Narrow"/>
      <family val="2"/>
      <scheme val="minor"/>
    </font>
    <font>
      <sz val="12"/>
      <color theme="4" tint="0.79998168889431442"/>
      <name val="Aptos Display"/>
      <family val="2"/>
      <scheme val="major"/>
    </font>
    <font>
      <sz val="12"/>
      <color rgb="FFD86DCD"/>
      <name val="Aptos Narrow"/>
      <family val="2"/>
      <scheme val="minor"/>
    </font>
    <font>
      <b/>
      <i/>
      <sz val="12"/>
      <color theme="1"/>
      <name val="Aptos Narrow"/>
      <family val="2"/>
      <scheme val="minor"/>
    </font>
    <font>
      <sz val="9"/>
      <name val="Aptos Narrow"/>
      <family val="3"/>
      <charset val="134"/>
      <scheme val="minor"/>
    </font>
    <font>
      <sz val="12"/>
      <color rgb="FFC00000"/>
      <name val="Aptos Narrow"/>
      <family val="2"/>
      <scheme val="minor"/>
    </font>
    <font>
      <sz val="12"/>
      <color rgb="FF808080"/>
      <name val="Aptos Narrow"/>
      <family val="2"/>
      <scheme val="minor"/>
    </font>
    <font>
      <sz val="12"/>
      <color rgb="FF808080"/>
      <name val="Aptos Display"/>
      <family val="2"/>
      <scheme val="major"/>
    </font>
    <font>
      <b/>
      <sz val="11"/>
      <color theme="1"/>
      <name val="Aptos Narrow"/>
      <family val="2"/>
      <scheme val="minor"/>
    </font>
    <font>
      <b/>
      <sz val="11"/>
      <color rgb="FF000000"/>
      <name val="Calibri"/>
      <family val="2"/>
    </font>
    <font>
      <sz val="11"/>
      <color theme="1"/>
      <name val="Times New Roman"/>
      <family val="1"/>
    </font>
    <font>
      <sz val="12"/>
      <color theme="1"/>
      <name val="Calibri"/>
      <family val="2"/>
    </font>
    <font>
      <sz val="11"/>
      <color theme="1"/>
      <name val="Calibri"/>
    </font>
    <font>
      <sz val="11"/>
      <name val="Calibri"/>
    </font>
    <font>
      <b/>
      <sz val="11"/>
      <color rgb="FFFF0000"/>
      <name val="Calibri"/>
    </font>
    <font>
      <sz val="11"/>
      <color rgb="FF000000"/>
      <name val="Calibri"/>
    </font>
  </fonts>
  <fills count="54">
    <fill>
      <patternFill patternType="none"/>
    </fill>
    <fill>
      <patternFill patternType="gray125"/>
    </fill>
    <fill>
      <patternFill patternType="solid">
        <fgColor theme="3" tint="9.9978637043366805E-2"/>
        <bgColor indexed="64"/>
      </patternFill>
    </fill>
    <fill>
      <patternFill patternType="solid">
        <fgColor theme="4" tint="-0.249977111117893"/>
        <bgColor indexed="64"/>
      </patternFill>
    </fill>
    <fill>
      <patternFill patternType="solid">
        <fgColor rgb="FF00B050"/>
        <bgColor indexed="64"/>
      </patternFill>
    </fill>
    <fill>
      <patternFill patternType="solid">
        <fgColor theme="5"/>
        <bgColor indexed="64"/>
      </patternFill>
    </fill>
    <fill>
      <patternFill patternType="solid">
        <fgColor rgb="FF7030A0"/>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rgb="FFFFE781"/>
        <bgColor indexed="64"/>
      </patternFill>
    </fill>
    <fill>
      <patternFill patternType="solid">
        <fgColor theme="3" tint="0.749992370372631"/>
        <bgColor indexed="64"/>
      </patternFill>
    </fill>
    <fill>
      <patternFill patternType="solid">
        <fgColor rgb="FFFFABAB"/>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FEFAB"/>
        <bgColor indexed="64"/>
      </patternFill>
    </fill>
    <fill>
      <patternFill patternType="solid">
        <fgColor rgb="FFDAE9F8"/>
        <bgColor indexed="64"/>
      </patternFill>
    </fill>
    <fill>
      <patternFill patternType="solid">
        <fgColor rgb="FFFFC9C9"/>
        <bgColor indexed="64"/>
      </patternFill>
    </fill>
    <fill>
      <patternFill patternType="solid">
        <fgColor theme="5" tint="0.59999389629810485"/>
        <bgColor indexed="65"/>
      </patternFill>
    </fill>
    <fill>
      <patternFill patternType="solid">
        <fgColor theme="5" tint="0.39997558519241921"/>
        <bgColor indexed="65"/>
      </patternFill>
    </fill>
    <fill>
      <patternFill patternType="solid">
        <fgColor theme="7" tint="0.39997558519241921"/>
        <bgColor indexed="65"/>
      </patternFill>
    </fill>
    <fill>
      <patternFill patternType="solid">
        <fgColor rgb="FFF9E881"/>
        <bgColor indexed="64"/>
      </patternFill>
    </fill>
    <fill>
      <patternFill patternType="solid">
        <fgColor rgb="FFEFC7AD"/>
        <bgColor indexed="64"/>
      </patternFill>
    </fill>
    <fill>
      <patternFill patternType="solid">
        <fgColor theme="4" tint="0.79998168889431442"/>
        <bgColor indexed="64"/>
      </patternFill>
    </fill>
    <fill>
      <patternFill patternType="solid">
        <fgColor rgb="FFC0E6F5"/>
        <bgColor indexed="64"/>
      </patternFill>
    </fill>
    <fill>
      <patternFill patternType="solid">
        <fgColor rgb="FFDAF2D0"/>
        <bgColor indexed="64"/>
      </patternFill>
    </fill>
    <fill>
      <patternFill patternType="solid">
        <fgColor rgb="FF153D64"/>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FF9933"/>
        <bgColor indexed="64"/>
      </patternFill>
    </fill>
    <fill>
      <patternFill patternType="solid">
        <fgColor rgb="FFFFC00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2"/>
        <bgColor indexed="64"/>
      </patternFill>
    </fill>
    <fill>
      <patternFill patternType="solid">
        <fgColor theme="2" tint="-0.499984740745262"/>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6"/>
        <bgColor indexed="64"/>
      </patternFill>
    </fill>
    <fill>
      <patternFill patternType="solid">
        <fgColor rgb="FFFFD9D9"/>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A1A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1" tint="0.499984740745262"/>
        <bgColor indexed="64"/>
      </patternFill>
    </fill>
  </fills>
  <borders count="113">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indexed="64"/>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right/>
      <top/>
      <bottom style="medium">
        <color rgb="FF000000"/>
      </bottom>
      <diagonal/>
    </border>
    <border>
      <left style="thin">
        <color rgb="FF000000"/>
      </left>
      <right/>
      <top style="thin">
        <color rgb="FF000000"/>
      </top>
      <bottom style="thick">
        <color rgb="FFC00000"/>
      </bottom>
      <diagonal/>
    </border>
    <border>
      <left/>
      <right style="thin">
        <color rgb="FF000000"/>
      </right>
      <top style="thin">
        <color rgb="FF000000"/>
      </top>
      <bottom style="thick">
        <color rgb="FFC00000"/>
      </bottom>
      <diagonal/>
    </border>
    <border>
      <left/>
      <right/>
      <top style="thin">
        <color indexed="64"/>
      </top>
      <bottom style="thin">
        <color indexed="64"/>
      </bottom>
      <diagonal/>
    </border>
    <border>
      <left style="medium">
        <color rgb="FF000000"/>
      </left>
      <right/>
      <top style="medium">
        <color rgb="FF000000"/>
      </top>
      <bottom/>
      <diagonal/>
    </border>
    <border>
      <left style="medium">
        <color rgb="FF000000"/>
      </left>
      <right/>
      <top/>
      <bottom style="medium">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medium">
        <color indexed="64"/>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rgb="FF000000"/>
      </left>
      <right/>
      <top/>
      <bottom/>
      <diagonal/>
    </border>
    <border>
      <left style="thin">
        <color theme="2"/>
      </left>
      <right style="thin">
        <color theme="2"/>
      </right>
      <top style="thin">
        <color theme="2"/>
      </top>
      <bottom style="thin">
        <color theme="2"/>
      </bottom>
      <diagonal/>
    </border>
    <border>
      <left style="medium">
        <color indexed="64"/>
      </left>
      <right style="thin">
        <color theme="2"/>
      </right>
      <top/>
      <bottom style="thin">
        <color theme="2"/>
      </bottom>
      <diagonal/>
    </border>
    <border>
      <left style="thin">
        <color theme="2"/>
      </left>
      <right style="thin">
        <color theme="2"/>
      </right>
      <top/>
      <bottom style="thin">
        <color theme="2"/>
      </bottom>
      <diagonal/>
    </border>
    <border>
      <left style="thin">
        <color theme="2"/>
      </left>
      <right style="medium">
        <color indexed="64"/>
      </right>
      <top/>
      <bottom style="thin">
        <color theme="2"/>
      </bottom>
      <diagonal/>
    </border>
    <border>
      <left style="medium">
        <color indexed="64"/>
      </left>
      <right style="thin">
        <color theme="2"/>
      </right>
      <top style="thin">
        <color theme="2"/>
      </top>
      <bottom style="thin">
        <color theme="2"/>
      </bottom>
      <diagonal/>
    </border>
    <border>
      <left style="thin">
        <color theme="2"/>
      </left>
      <right style="medium">
        <color indexed="64"/>
      </right>
      <top style="thin">
        <color theme="2"/>
      </top>
      <bottom style="thin">
        <color theme="2"/>
      </bottom>
      <diagonal/>
    </border>
    <border>
      <left style="medium">
        <color indexed="64"/>
      </left>
      <right style="thin">
        <color theme="2"/>
      </right>
      <top style="thin">
        <color theme="2"/>
      </top>
      <bottom style="medium">
        <color indexed="64"/>
      </bottom>
      <diagonal/>
    </border>
    <border>
      <left style="thin">
        <color theme="2"/>
      </left>
      <right style="thin">
        <color theme="2"/>
      </right>
      <top style="thin">
        <color theme="2"/>
      </top>
      <bottom style="medium">
        <color indexed="64"/>
      </bottom>
      <diagonal/>
    </border>
    <border>
      <left style="thin">
        <color theme="2"/>
      </left>
      <right style="medium">
        <color indexed="64"/>
      </right>
      <top style="thin">
        <color theme="2"/>
      </top>
      <bottom style="medium">
        <color indexed="64"/>
      </bottom>
      <diagonal/>
    </border>
    <border>
      <left/>
      <right style="thin">
        <color theme="2"/>
      </right>
      <top/>
      <bottom style="thin">
        <color theme="2"/>
      </bottom>
      <diagonal/>
    </border>
    <border>
      <left/>
      <right style="thin">
        <color theme="2"/>
      </right>
      <top style="thin">
        <color theme="2"/>
      </top>
      <bottom style="thin">
        <color theme="2"/>
      </bottom>
      <diagonal/>
    </border>
    <border>
      <left/>
      <right style="thin">
        <color theme="2"/>
      </right>
      <top style="thin">
        <color theme="2"/>
      </top>
      <bottom style="medium">
        <color indexed="64"/>
      </bottom>
      <diagonal/>
    </border>
    <border>
      <left/>
      <right/>
      <top/>
      <bottom style="double">
        <color rgb="FF000000"/>
      </bottom>
      <diagonal/>
    </border>
    <border>
      <left style="medium">
        <color rgb="FF000000"/>
      </left>
      <right style="thin">
        <color theme="2"/>
      </right>
      <top style="thin">
        <color theme="2"/>
      </top>
      <bottom style="thin">
        <color theme="2"/>
      </bottom>
      <diagonal/>
    </border>
    <border>
      <left style="thin">
        <color theme="2"/>
      </left>
      <right style="medium">
        <color rgb="FF000000"/>
      </right>
      <top style="thin">
        <color theme="2"/>
      </top>
      <bottom style="thin">
        <color theme="2"/>
      </bottom>
      <diagonal/>
    </border>
    <border>
      <left style="medium">
        <color rgb="FF000000"/>
      </left>
      <right style="thin">
        <color theme="2"/>
      </right>
      <top style="thin">
        <color theme="2"/>
      </top>
      <bottom style="medium">
        <color rgb="FF000000"/>
      </bottom>
      <diagonal/>
    </border>
    <border>
      <left style="thin">
        <color theme="2"/>
      </left>
      <right style="medium">
        <color rgb="FF000000"/>
      </right>
      <top style="thin">
        <color theme="2"/>
      </top>
      <bottom style="medium">
        <color rgb="FF00000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2"/>
      </left>
      <right/>
      <top/>
      <bottom style="thin">
        <color theme="2"/>
      </bottom>
      <diagonal/>
    </border>
    <border>
      <left style="thin">
        <color theme="2"/>
      </left>
      <right/>
      <top style="thin">
        <color theme="2"/>
      </top>
      <bottom style="thin">
        <color theme="2"/>
      </bottom>
      <diagonal/>
    </border>
    <border>
      <left style="thin">
        <color theme="2"/>
      </left>
      <right/>
      <top style="thin">
        <color theme="2"/>
      </top>
      <bottom style="medium">
        <color indexed="64"/>
      </bottom>
      <diagonal/>
    </border>
    <border>
      <left style="medium">
        <color rgb="FF000000"/>
      </left>
      <right style="thin">
        <color rgb="FF000000"/>
      </right>
      <top style="thin">
        <color rgb="FF000000"/>
      </top>
      <bottom/>
      <diagonal/>
    </border>
    <border>
      <left style="medium">
        <color rgb="FF000000"/>
      </left>
      <right style="thin">
        <color theme="0" tint="-4.9989318521683403E-2"/>
      </right>
      <top style="medium">
        <color rgb="FF000000"/>
      </top>
      <bottom style="thin">
        <color theme="0" tint="-4.9989318521683403E-2"/>
      </bottom>
      <diagonal/>
    </border>
    <border>
      <left style="thin">
        <color theme="0" tint="-4.9989318521683403E-2"/>
      </left>
      <right style="thin">
        <color theme="0" tint="-4.9989318521683403E-2"/>
      </right>
      <top style="medium">
        <color rgb="FF000000"/>
      </top>
      <bottom style="thin">
        <color theme="0" tint="-4.9989318521683403E-2"/>
      </bottom>
      <diagonal/>
    </border>
    <border>
      <left style="thin">
        <color theme="0" tint="-4.9989318521683403E-2"/>
      </left>
      <right style="medium">
        <color rgb="FF000000"/>
      </right>
      <top style="medium">
        <color rgb="FF000000"/>
      </top>
      <bottom style="thin">
        <color theme="0" tint="-4.9989318521683403E-2"/>
      </bottom>
      <diagonal/>
    </border>
    <border>
      <left style="medium">
        <color rgb="FF000000"/>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rgb="FF000000"/>
      </right>
      <top style="thin">
        <color theme="0" tint="-4.9989318521683403E-2"/>
      </top>
      <bottom style="thin">
        <color theme="0" tint="-4.9989318521683403E-2"/>
      </bottom>
      <diagonal/>
    </border>
    <border>
      <left style="medium">
        <color rgb="FF000000"/>
      </left>
      <right style="thin">
        <color theme="0" tint="-4.9989318521683403E-2"/>
      </right>
      <top style="thin">
        <color theme="0" tint="-4.9989318521683403E-2"/>
      </top>
      <bottom style="medium">
        <color rgb="FF000000"/>
      </bottom>
      <diagonal/>
    </border>
    <border>
      <left style="thin">
        <color theme="0" tint="-4.9989318521683403E-2"/>
      </left>
      <right style="thin">
        <color theme="0" tint="-4.9989318521683403E-2"/>
      </right>
      <top style="thin">
        <color theme="0" tint="-4.9989318521683403E-2"/>
      </top>
      <bottom style="medium">
        <color rgb="FF000000"/>
      </bottom>
      <diagonal/>
    </border>
    <border>
      <left style="thin">
        <color theme="0" tint="-4.9989318521683403E-2"/>
      </left>
      <right style="medium">
        <color rgb="FF000000"/>
      </right>
      <top style="thin">
        <color theme="0" tint="-4.9989318521683403E-2"/>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2"/>
      </left>
      <right/>
      <top style="thin">
        <color theme="2"/>
      </top>
      <bottom style="medium">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theme="2"/>
      </right>
      <top/>
      <bottom style="thin">
        <color theme="2"/>
      </bottom>
      <diagonal/>
    </border>
    <border>
      <left style="thin">
        <color theme="2"/>
      </left>
      <right style="medium">
        <color rgb="FF000000"/>
      </right>
      <top/>
      <bottom style="thin">
        <color theme="2"/>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rgb="FF000000"/>
      </top>
      <bottom style="double">
        <color rgb="FF000000"/>
      </bottom>
      <diagonal/>
    </border>
    <border>
      <left style="thin">
        <color theme="2"/>
      </left>
      <right style="thin">
        <color theme="2"/>
      </right>
      <top/>
      <bottom/>
      <diagonal/>
    </border>
    <border>
      <left style="thin">
        <color theme="0" tint="-4.9989318521683403E-2"/>
      </left>
      <right style="thin">
        <color theme="0" tint="-4.9989318521683403E-2"/>
      </right>
      <top style="medium">
        <color rgb="FF000000"/>
      </top>
      <bottom/>
      <diagonal/>
    </border>
    <border>
      <left style="thin">
        <color theme="2"/>
      </left>
      <right style="thin">
        <color theme="2"/>
      </right>
      <top/>
      <bottom style="medium">
        <color indexed="64"/>
      </bottom>
      <diagonal/>
    </border>
    <border>
      <left style="thin">
        <color theme="1"/>
      </left>
      <right style="thin">
        <color theme="1"/>
      </right>
      <top style="thin">
        <color theme="1"/>
      </top>
      <bottom style="thin">
        <color theme="1"/>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2"/>
      </left>
      <right/>
      <top/>
      <bottom style="medium">
        <color rgb="FF000000"/>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bottom/>
      <diagonal/>
    </border>
    <border>
      <left/>
      <right style="thin">
        <color rgb="FF000000"/>
      </right>
      <top/>
      <bottom/>
      <diagonal/>
    </border>
  </borders>
  <cellStyleXfs count="8">
    <xf numFmtId="0" fontId="0" fillId="0" borderId="0"/>
    <xf numFmtId="0" fontId="4" fillId="0" borderId="0"/>
    <xf numFmtId="0" fontId="3" fillId="0" borderId="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0" borderId="0"/>
    <xf numFmtId="0" fontId="3" fillId="0" borderId="0"/>
  </cellStyleXfs>
  <cellXfs count="890">
    <xf numFmtId="0" fontId="0" fillId="0" borderId="0" xfId="0"/>
    <xf numFmtId="0" fontId="5" fillId="0" borderId="3" xfId="0" applyFont="1" applyBorder="1"/>
    <xf numFmtId="0" fontId="5" fillId="0" borderId="2" xfId="0" applyFont="1" applyBorder="1"/>
    <xf numFmtId="0" fontId="7" fillId="7" borderId="3" xfId="0" applyFont="1" applyFill="1" applyBorder="1" applyAlignment="1">
      <alignment horizontal="center" vertical="center" wrapText="1"/>
    </xf>
    <xf numFmtId="0" fontId="5" fillId="0" borderId="0" xfId="0" applyFont="1" applyAlignment="1">
      <alignment horizontal="center" vertical="center"/>
    </xf>
    <xf numFmtId="0" fontId="9" fillId="0" borderId="3" xfId="0" applyFont="1" applyBorder="1" applyAlignment="1">
      <alignment horizontal="center" vertical="center"/>
    </xf>
    <xf numFmtId="0" fontId="5" fillId="0" borderId="0" xfId="0" applyFont="1"/>
    <xf numFmtId="0" fontId="0" fillId="0" borderId="8" xfId="0" applyBorder="1"/>
    <xf numFmtId="0" fontId="9" fillId="0" borderId="4" xfId="0" applyFont="1" applyBorder="1" applyAlignment="1">
      <alignment horizontal="center" vertical="center"/>
    </xf>
    <xf numFmtId="0" fontId="5" fillId="0" borderId="8" xfId="0" applyFont="1" applyBorder="1" applyAlignment="1">
      <alignment horizontal="center" vertical="center"/>
    </xf>
    <xf numFmtId="0" fontId="6" fillId="2" borderId="1" xfId="0" applyFont="1" applyFill="1" applyBorder="1" applyAlignment="1">
      <alignment horizontal="center" vertical="center"/>
    </xf>
    <xf numFmtId="0" fontId="9" fillId="0" borderId="0" xfId="0" applyFont="1" applyAlignment="1">
      <alignment horizontal="center" vertical="center"/>
    </xf>
    <xf numFmtId="0" fontId="11" fillId="0" borderId="0" xfId="0" applyFont="1" applyAlignment="1">
      <alignment horizontal="center" vertical="center"/>
    </xf>
    <xf numFmtId="0" fontId="5" fillId="0" borderId="4" xfId="0" applyFont="1" applyBorder="1"/>
    <xf numFmtId="0" fontId="5" fillId="0" borderId="7" xfId="0" applyFont="1" applyBorder="1"/>
    <xf numFmtId="0" fontId="5" fillId="0" borderId="4" xfId="0" applyFont="1" applyBorder="1" applyAlignment="1">
      <alignment vertical="center"/>
    </xf>
    <xf numFmtId="0" fontId="5" fillId="0" borderId="1" xfId="0" applyFont="1" applyBorder="1"/>
    <xf numFmtId="0" fontId="6" fillId="2" borderId="8" xfId="0" applyFont="1" applyFill="1" applyBorder="1" applyAlignment="1">
      <alignment horizontal="center" vertical="center"/>
    </xf>
    <xf numFmtId="0" fontId="0" fillId="0" borderId="11" xfId="0" applyBorder="1" applyAlignment="1">
      <alignment wrapText="1"/>
    </xf>
    <xf numFmtId="0" fontId="0" fillId="0" borderId="0" xfId="0" applyAlignment="1">
      <alignment horizontal="center"/>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0" fillId="0" borderId="9" xfId="0" applyBorder="1" applyAlignment="1">
      <alignment vertical="center" wrapText="1"/>
    </xf>
    <xf numFmtId="0" fontId="0" fillId="0" borderId="14" xfId="0" applyBorder="1"/>
    <xf numFmtId="0" fontId="0" fillId="0" borderId="14" xfId="0" applyBorder="1" applyAlignment="1">
      <alignment vertical="center"/>
    </xf>
    <xf numFmtId="0" fontId="0" fillId="0" borderId="3" xfId="0" applyBorder="1"/>
    <xf numFmtId="0" fontId="17" fillId="0" borderId="0" xfId="1" applyFont="1" applyAlignment="1">
      <alignment horizontal="center" vertical="center" wrapText="1"/>
    </xf>
    <xf numFmtId="0" fontId="17" fillId="20" borderId="0" xfId="1" applyFont="1" applyFill="1" applyAlignment="1">
      <alignment horizontal="center" vertical="center" wrapText="1"/>
    </xf>
    <xf numFmtId="0" fontId="23" fillId="21" borderId="0" xfId="1" applyFont="1" applyFill="1" applyAlignment="1">
      <alignment horizontal="center" vertical="center" wrapText="1"/>
    </xf>
    <xf numFmtId="0" fontId="17" fillId="13" borderId="0" xfId="1" applyFont="1" applyFill="1" applyAlignment="1">
      <alignment horizontal="center" vertical="center" wrapText="1"/>
    </xf>
    <xf numFmtId="0" fontId="17" fillId="11" borderId="0" xfId="1" applyFont="1" applyFill="1" applyAlignment="1">
      <alignment horizontal="center" vertical="center" wrapText="1"/>
    </xf>
    <xf numFmtId="0" fontId="17" fillId="19" borderId="0" xfId="1" applyFont="1" applyFill="1" applyAlignment="1">
      <alignment horizontal="center" vertical="center" wrapText="1"/>
    </xf>
    <xf numFmtId="0" fontId="17" fillId="20" borderId="18" xfId="1" applyFont="1" applyFill="1" applyBorder="1" applyAlignment="1">
      <alignment horizontal="center" vertical="center" wrapText="1"/>
    </xf>
    <xf numFmtId="0" fontId="17" fillId="13" borderId="18" xfId="1" applyFont="1" applyFill="1" applyBorder="1" applyAlignment="1">
      <alignment horizontal="center" vertical="center" wrapText="1"/>
    </xf>
    <xf numFmtId="0" fontId="17" fillId="11" borderId="18" xfId="1" applyFont="1" applyFill="1" applyBorder="1" applyAlignment="1">
      <alignment horizontal="center" vertical="center" wrapText="1"/>
    </xf>
    <xf numFmtId="0" fontId="17" fillId="19" borderId="18" xfId="1" applyFont="1" applyFill="1" applyBorder="1" applyAlignment="1">
      <alignment horizontal="center" vertical="center" wrapText="1"/>
    </xf>
    <xf numFmtId="0" fontId="22" fillId="21" borderId="0" xfId="1" applyFont="1" applyFill="1" applyAlignment="1">
      <alignment horizontal="center" vertical="center" wrapText="1"/>
    </xf>
    <xf numFmtId="0" fontId="22" fillId="21" borderId="18" xfId="1" applyFont="1" applyFill="1" applyBorder="1" applyAlignment="1">
      <alignment horizontal="center" vertical="center" wrapText="1"/>
    </xf>
    <xf numFmtId="0" fontId="17" fillId="21" borderId="0" xfId="1" applyFont="1" applyFill="1" applyAlignment="1">
      <alignment horizontal="center" vertical="center" wrapText="1"/>
    </xf>
    <xf numFmtId="0" fontId="17" fillId="21" borderId="18" xfId="1" applyFont="1" applyFill="1" applyBorder="1" applyAlignment="1">
      <alignment horizontal="center" vertical="center" wrapText="1"/>
    </xf>
    <xf numFmtId="0" fontId="17" fillId="0" borderId="0" xfId="2" applyFont="1" applyAlignment="1">
      <alignment horizontal="center"/>
    </xf>
    <xf numFmtId="0" fontId="17" fillId="0" borderId="0" xfId="2" applyFont="1" applyAlignment="1">
      <alignment horizontal="left"/>
    </xf>
    <xf numFmtId="0" fontId="17" fillId="19" borderId="0" xfId="2" applyFont="1" applyFill="1" applyAlignment="1">
      <alignment horizontal="center" vertical="center"/>
    </xf>
    <xf numFmtId="0" fontId="17" fillId="0" borderId="0" xfId="2" applyFont="1" applyAlignment="1">
      <alignment horizontal="center" vertical="center"/>
    </xf>
    <xf numFmtId="0" fontId="17" fillId="11" borderId="0" xfId="2" applyFont="1" applyFill="1" applyAlignment="1">
      <alignment horizontal="center" vertical="center"/>
    </xf>
    <xf numFmtId="0" fontId="17" fillId="22" borderId="0" xfId="2" applyFont="1" applyFill="1" applyAlignment="1">
      <alignment horizontal="center" vertical="center"/>
    </xf>
    <xf numFmtId="0" fontId="17" fillId="13" borderId="0" xfId="2" applyFont="1" applyFill="1" applyAlignment="1">
      <alignment horizontal="center" vertical="center"/>
    </xf>
    <xf numFmtId="0" fontId="17" fillId="20" borderId="0" xfId="2" applyFont="1" applyFill="1" applyAlignment="1">
      <alignment horizontal="center" vertical="center"/>
    </xf>
    <xf numFmtId="164" fontId="17" fillId="0" borderId="0" xfId="2" applyNumberFormat="1" applyFont="1" applyAlignment="1">
      <alignment horizontal="center" vertical="center"/>
    </xf>
    <xf numFmtId="49" fontId="17" fillId="0" borderId="0" xfId="2" applyNumberFormat="1" applyFont="1" applyAlignment="1">
      <alignment horizontal="center" vertical="center"/>
    </xf>
    <xf numFmtId="0" fontId="17" fillId="0" borderId="0" xfId="2" applyFont="1"/>
    <xf numFmtId="0" fontId="17" fillId="0" borderId="15" xfId="2" applyFont="1" applyBorder="1" applyAlignment="1">
      <alignment horizontal="center"/>
    </xf>
    <xf numFmtId="0" fontId="17" fillId="0" borderId="15" xfId="2" applyFont="1" applyBorder="1" applyAlignment="1">
      <alignment horizontal="center" vertical="center"/>
    </xf>
    <xf numFmtId="0" fontId="17" fillId="19" borderId="15" xfId="2" applyFont="1" applyFill="1" applyBorder="1" applyAlignment="1">
      <alignment horizontal="center" vertical="center"/>
    </xf>
    <xf numFmtId="0" fontId="17" fillId="17" borderId="15" xfId="2" applyFont="1" applyFill="1" applyBorder="1" applyAlignment="1">
      <alignment horizontal="center" vertical="center"/>
    </xf>
    <xf numFmtId="0" fontId="17" fillId="16" borderId="15" xfId="2" applyFont="1" applyFill="1" applyBorder="1" applyAlignment="1">
      <alignment horizontal="center" vertical="center"/>
    </xf>
    <xf numFmtId="0" fontId="17" fillId="15" borderId="15" xfId="2" applyFont="1" applyFill="1" applyBorder="1" applyAlignment="1">
      <alignment horizontal="center" vertical="center"/>
    </xf>
    <xf numFmtId="0" fontId="17" fillId="14" borderId="15" xfId="2" applyFont="1" applyFill="1" applyBorder="1" applyAlignment="1">
      <alignment horizontal="center" vertical="center"/>
    </xf>
    <xf numFmtId="164" fontId="17" fillId="0" borderId="15" xfId="2" applyNumberFormat="1" applyFont="1" applyBorder="1" applyAlignment="1">
      <alignment horizontal="center" vertical="center"/>
    </xf>
    <xf numFmtId="49" fontId="17" fillId="0" borderId="15" xfId="2" applyNumberFormat="1" applyFont="1" applyBorder="1" applyAlignment="1">
      <alignment horizontal="center" vertical="center"/>
    </xf>
    <xf numFmtId="0" fontId="20" fillId="0" borderId="0" xfId="2" applyFont="1" applyAlignment="1">
      <alignment horizontal="center" vertical="center"/>
    </xf>
    <xf numFmtId="0" fontId="20" fillId="18" borderId="0" xfId="2" applyFont="1" applyFill="1" applyAlignment="1">
      <alignment horizontal="center" vertical="center"/>
    </xf>
    <xf numFmtId="0" fontId="20" fillId="0" borderId="0" xfId="2" applyFont="1" applyAlignment="1">
      <alignment horizontal="center" vertical="center"/>
      <extLst>
        <ext xmlns:xfpb="http://schemas.microsoft.com/office/spreadsheetml/2022/featurepropertybag" uri="{C7286773-470A-42A8-94C5-96B5CB345126}">
          <xfpb:xfComplement i="0"/>
        </ext>
      </extLst>
    </xf>
    <xf numFmtId="0" fontId="20" fillId="17" borderId="0" xfId="2" applyFont="1" applyFill="1" applyAlignment="1">
      <alignment horizontal="center" vertical="center"/>
    </xf>
    <xf numFmtId="0" fontId="20" fillId="16" borderId="0" xfId="2" applyFont="1" applyFill="1" applyAlignment="1">
      <alignment horizontal="center" vertical="center"/>
    </xf>
    <xf numFmtId="0" fontId="20" fillId="15" borderId="0" xfId="2" applyFont="1" applyFill="1" applyAlignment="1">
      <alignment horizontal="center" vertical="center"/>
    </xf>
    <xf numFmtId="0" fontId="20" fillId="14" borderId="0" xfId="2" applyFont="1" applyFill="1" applyAlignment="1">
      <alignment horizontal="center" vertical="center"/>
    </xf>
    <xf numFmtId="164" fontId="20" fillId="0" borderId="0" xfId="2" applyNumberFormat="1" applyFont="1" applyAlignment="1">
      <alignment horizontal="center" vertical="center"/>
    </xf>
    <xf numFmtId="49" fontId="20" fillId="0" borderId="0" xfId="2" applyNumberFormat="1" applyFont="1" applyAlignment="1">
      <alignment horizontal="center" vertical="center"/>
    </xf>
    <xf numFmtId="49" fontId="17" fillId="0" borderId="0" xfId="2" applyNumberFormat="1" applyFont="1" applyAlignment="1">
      <alignment horizontal="center" vertical="center" wrapText="1"/>
    </xf>
    <xf numFmtId="0" fontId="17" fillId="0" borderId="0" xfId="2" applyFont="1" applyAlignment="1">
      <alignment wrapText="1"/>
    </xf>
    <xf numFmtId="0" fontId="17" fillId="0" borderId="0" xfId="2" applyFont="1" applyAlignment="1">
      <alignment horizontal="center" vertical="center" wrapText="1"/>
    </xf>
    <xf numFmtId="0" fontId="17" fillId="20" borderId="0" xfId="2" applyFont="1" applyFill="1" applyAlignment="1">
      <alignment horizontal="center" vertical="center" wrapText="1"/>
    </xf>
    <xf numFmtId="0" fontId="17" fillId="13" borderId="0" xfId="2" applyFont="1" applyFill="1" applyAlignment="1">
      <alignment horizontal="center" vertical="center" wrapText="1"/>
    </xf>
    <xf numFmtId="0" fontId="17" fillId="19" borderId="0" xfId="2" applyFont="1" applyFill="1" applyAlignment="1">
      <alignment horizontal="center" vertical="center" wrapText="1"/>
    </xf>
    <xf numFmtId="0" fontId="16" fillId="0" borderId="14" xfId="0" applyFont="1" applyBorder="1" applyAlignment="1">
      <alignment horizontal="center" vertical="center" wrapText="1"/>
    </xf>
    <xf numFmtId="0" fontId="25" fillId="0" borderId="0" xfId="2" applyFont="1" applyAlignment="1">
      <alignment horizontal="center" vertical="center"/>
    </xf>
    <xf numFmtId="0" fontId="25" fillId="0" borderId="0" xfId="1" applyFont="1" applyAlignment="1">
      <alignment horizontal="center" vertical="center" wrapText="1"/>
    </xf>
    <xf numFmtId="0" fontId="24" fillId="0" borderId="0" xfId="1" applyFont="1" applyAlignment="1">
      <alignment vertical="center" wrapText="1"/>
    </xf>
    <xf numFmtId="0" fontId="23" fillId="0" borderId="0" xfId="1" applyFont="1" applyAlignment="1">
      <alignment horizontal="center" vertical="center" wrapText="1"/>
    </xf>
    <xf numFmtId="0" fontId="25" fillId="0" borderId="0" xfId="1" applyFont="1" applyAlignment="1">
      <alignment vertical="center" wrapText="1"/>
    </xf>
    <xf numFmtId="0" fontId="25" fillId="20" borderId="0" xfId="2" applyFont="1" applyFill="1" applyAlignment="1">
      <alignment horizontal="center" vertical="center"/>
    </xf>
    <xf numFmtId="0" fontId="25" fillId="19" borderId="0" xfId="2" applyFont="1" applyFill="1" applyAlignment="1">
      <alignment horizontal="center" vertical="center"/>
    </xf>
    <xf numFmtId="0" fontId="17" fillId="0" borderId="0" xfId="1" applyFont="1" applyAlignment="1">
      <alignment vertical="center" wrapText="1"/>
    </xf>
    <xf numFmtId="165" fontId="17" fillId="0" borderId="0" xfId="2" applyNumberFormat="1" applyFont="1" applyAlignment="1">
      <alignment horizontal="center" vertical="center"/>
    </xf>
    <xf numFmtId="0" fontId="0" fillId="0" borderId="0" xfId="0" applyAlignment="1">
      <alignment wrapText="1"/>
    </xf>
    <xf numFmtId="0" fontId="23" fillId="0" borderId="0" xfId="1" applyFont="1" applyAlignment="1">
      <alignment wrapText="1"/>
    </xf>
    <xf numFmtId="0" fontId="23" fillId="0" borderId="0" xfId="2" applyFont="1" applyAlignment="1">
      <alignment wrapText="1"/>
    </xf>
    <xf numFmtId="0" fontId="23" fillId="0" borderId="0" xfId="2" applyFont="1"/>
    <xf numFmtId="0" fontId="21" fillId="0" borderId="0" xfId="1" applyFont="1" applyAlignment="1">
      <alignment vertical="center" wrapText="1"/>
    </xf>
    <xf numFmtId="0" fontId="2" fillId="25" borderId="0" xfId="5" applyAlignment="1">
      <alignment horizontal="center" vertical="center"/>
    </xf>
    <xf numFmtId="0" fontId="2" fillId="25" borderId="15" xfId="5" applyBorder="1" applyAlignment="1">
      <alignment horizontal="center" vertical="center"/>
    </xf>
    <xf numFmtId="0" fontId="2" fillId="24" borderId="0" xfId="4" applyAlignment="1">
      <alignment horizontal="center" vertical="center"/>
    </xf>
    <xf numFmtId="0" fontId="2" fillId="24" borderId="0" xfId="4" applyAlignment="1">
      <alignment horizontal="center" vertical="center" wrapText="1"/>
    </xf>
    <xf numFmtId="0" fontId="29" fillId="25" borderId="0" xfId="5" applyFont="1" applyAlignment="1">
      <alignment horizontal="center" vertical="center"/>
    </xf>
    <xf numFmtId="0" fontId="20" fillId="25" borderId="0" xfId="5" applyFont="1" applyAlignment="1">
      <alignment horizontal="center" vertical="center"/>
    </xf>
    <xf numFmtId="0" fontId="20" fillId="24" borderId="0" xfId="4" applyFont="1" applyAlignment="1">
      <alignment horizontal="center" vertical="center"/>
    </xf>
    <xf numFmtId="0" fontId="2" fillId="23" borderId="0" xfId="3" applyAlignment="1">
      <alignment horizontal="center" vertical="center"/>
    </xf>
    <xf numFmtId="0" fontId="2" fillId="23" borderId="0" xfId="3" applyAlignment="1">
      <alignment horizontal="center" vertical="center" wrapText="1"/>
    </xf>
    <xf numFmtId="0" fontId="20" fillId="23" borderId="0" xfId="3" applyFont="1" applyAlignment="1">
      <alignment horizontal="center" vertical="center"/>
    </xf>
    <xf numFmtId="0" fontId="17" fillId="0" borderId="0" xfId="7" applyFont="1" applyAlignment="1">
      <alignment horizontal="center"/>
    </xf>
    <xf numFmtId="0" fontId="20" fillId="0" borderId="0" xfId="7" applyFont="1" applyAlignment="1">
      <alignment horizontal="center" vertical="center"/>
    </xf>
    <xf numFmtId="0" fontId="17" fillId="0" borderId="15" xfId="7" applyFont="1" applyBorder="1" applyAlignment="1">
      <alignment horizontal="center"/>
    </xf>
    <xf numFmtId="0" fontId="17" fillId="0" borderId="0" xfId="7" applyFont="1"/>
    <xf numFmtId="0" fontId="17" fillId="0" borderId="18" xfId="7" applyFont="1" applyBorder="1"/>
    <xf numFmtId="0" fontId="17" fillId="0" borderId="0" xfId="7" applyFont="1" applyAlignment="1">
      <alignment horizontal="left"/>
    </xf>
    <xf numFmtId="49" fontId="17" fillId="0" borderId="0" xfId="7" applyNumberFormat="1" applyFont="1" applyAlignment="1">
      <alignment horizontal="center" vertical="center"/>
    </xf>
    <xf numFmtId="164" fontId="17" fillId="0" borderId="0" xfId="7" applyNumberFormat="1" applyFont="1" applyAlignment="1">
      <alignment horizontal="center" vertical="center"/>
    </xf>
    <xf numFmtId="0" fontId="17" fillId="0" borderId="0" xfId="7" applyFont="1" applyAlignment="1">
      <alignment horizontal="center" vertical="center"/>
    </xf>
    <xf numFmtId="0" fontId="17" fillId="20" borderId="0" xfId="7" applyFont="1" applyFill="1" applyAlignment="1">
      <alignment horizontal="center" vertical="center"/>
    </xf>
    <xf numFmtId="0" fontId="17" fillId="13" borderId="0" xfId="7" applyFont="1" applyFill="1" applyAlignment="1">
      <alignment horizontal="center" vertical="center"/>
    </xf>
    <xf numFmtId="0" fontId="17" fillId="22" borderId="0" xfId="7" applyFont="1" applyFill="1" applyAlignment="1">
      <alignment horizontal="center" vertical="center"/>
    </xf>
    <xf numFmtId="0" fontId="17" fillId="11" borderId="0" xfId="7" applyFont="1" applyFill="1" applyAlignment="1">
      <alignment horizontal="center" vertical="center"/>
    </xf>
    <xf numFmtId="0" fontId="17" fillId="19" borderId="0" xfId="7" applyFont="1" applyFill="1" applyAlignment="1">
      <alignment horizontal="center" vertical="center"/>
    </xf>
    <xf numFmtId="49" fontId="20" fillId="0" borderId="0" xfId="7" applyNumberFormat="1" applyFont="1" applyAlignment="1">
      <alignment horizontal="center" vertical="center"/>
    </xf>
    <xf numFmtId="164" fontId="20" fillId="0" borderId="0" xfId="7" applyNumberFormat="1" applyFont="1" applyAlignment="1">
      <alignment horizontal="center" vertical="center"/>
    </xf>
    <xf numFmtId="0" fontId="20" fillId="14" borderId="0" xfId="7" applyFont="1" applyFill="1" applyAlignment="1">
      <alignment horizontal="center" vertical="center"/>
    </xf>
    <xf numFmtId="0" fontId="20" fillId="15" borderId="0" xfId="7" applyFont="1" applyFill="1" applyAlignment="1">
      <alignment horizontal="center" vertical="center"/>
    </xf>
    <xf numFmtId="0" fontId="20" fillId="16" borderId="0" xfId="7" applyFont="1" applyFill="1" applyAlignment="1">
      <alignment horizontal="center" vertical="center"/>
    </xf>
    <xf numFmtId="0" fontId="20" fillId="17" borderId="0" xfId="7" applyFont="1" applyFill="1" applyAlignment="1">
      <alignment horizontal="center" vertical="center"/>
    </xf>
    <xf numFmtId="0" fontId="20" fillId="18" borderId="0" xfId="7" applyFont="1" applyFill="1" applyAlignment="1">
      <alignment horizontal="center" vertical="center"/>
    </xf>
    <xf numFmtId="0" fontId="20" fillId="0" borderId="0" xfId="7" applyFont="1" applyAlignment="1">
      <alignment horizontal="center" vertical="center"/>
      <extLst>
        <ext xmlns:xfpb="http://schemas.microsoft.com/office/spreadsheetml/2022/featurepropertybag" uri="{C7286773-470A-42A8-94C5-96B5CB345126}">
          <xfpb:xfComplement i="0"/>
        </ext>
      </extLst>
    </xf>
    <xf numFmtId="49" fontId="17" fillId="0" borderId="15" xfId="7" applyNumberFormat="1" applyFont="1" applyBorder="1" applyAlignment="1">
      <alignment horizontal="center" vertical="center"/>
    </xf>
    <xf numFmtId="164" fontId="17" fillId="0" borderId="15" xfId="7" applyNumberFormat="1" applyFont="1" applyBorder="1" applyAlignment="1">
      <alignment horizontal="center" vertical="center"/>
    </xf>
    <xf numFmtId="0" fontId="17" fillId="0" borderId="15" xfId="7" applyFont="1" applyBorder="1" applyAlignment="1">
      <alignment horizontal="center" vertical="center"/>
    </xf>
    <xf numFmtId="0" fontId="17" fillId="14" borderId="15" xfId="7" applyFont="1" applyFill="1" applyBorder="1" applyAlignment="1">
      <alignment horizontal="center" vertical="center"/>
    </xf>
    <xf numFmtId="0" fontId="17" fillId="15" borderId="15" xfId="7" applyFont="1" applyFill="1" applyBorder="1" applyAlignment="1">
      <alignment horizontal="center" vertical="center"/>
    </xf>
    <xf numFmtId="0" fontId="17" fillId="16" borderId="15" xfId="7" applyFont="1" applyFill="1" applyBorder="1" applyAlignment="1">
      <alignment horizontal="center" vertical="center"/>
    </xf>
    <xf numFmtId="0" fontId="17" fillId="17" borderId="15" xfId="7" applyFont="1" applyFill="1" applyBorder="1" applyAlignment="1">
      <alignment horizontal="center" vertical="center"/>
    </xf>
    <xf numFmtId="0" fontId="17" fillId="19" borderId="15" xfId="7" applyFont="1" applyFill="1" applyBorder="1" applyAlignment="1">
      <alignment horizontal="center" vertical="center"/>
    </xf>
    <xf numFmtId="0" fontId="17" fillId="18" borderId="15" xfId="7" applyFont="1" applyFill="1" applyBorder="1" applyAlignment="1">
      <alignment horizontal="center" vertical="center"/>
    </xf>
    <xf numFmtId="0" fontId="22" fillId="0" borderId="0" xfId="7" applyFont="1"/>
    <xf numFmtId="49" fontId="17" fillId="0" borderId="18" xfId="7" applyNumberFormat="1" applyFont="1" applyBorder="1" applyAlignment="1">
      <alignment horizontal="center" vertical="center"/>
    </xf>
    <xf numFmtId="164" fontId="17" fillId="0" borderId="18" xfId="7" applyNumberFormat="1" applyFont="1" applyBorder="1" applyAlignment="1">
      <alignment horizontal="center" vertical="center"/>
    </xf>
    <xf numFmtId="0" fontId="17" fillId="0" borderId="18" xfId="7" applyFont="1" applyBorder="1" applyAlignment="1">
      <alignment horizontal="center" vertical="center"/>
    </xf>
    <xf numFmtId="0" fontId="17" fillId="20" borderId="18" xfId="7" applyFont="1" applyFill="1" applyBorder="1" applyAlignment="1">
      <alignment horizontal="center" vertical="center"/>
    </xf>
    <xf numFmtId="0" fontId="17" fillId="13" borderId="18" xfId="7" applyFont="1" applyFill="1" applyBorder="1" applyAlignment="1">
      <alignment horizontal="center" vertical="center"/>
    </xf>
    <xf numFmtId="0" fontId="17" fillId="22" borderId="18" xfId="7" applyFont="1" applyFill="1" applyBorder="1" applyAlignment="1">
      <alignment horizontal="center" vertical="center"/>
    </xf>
    <xf numFmtId="0" fontId="17" fillId="11" borderId="18" xfId="7" applyFont="1" applyFill="1" applyBorder="1" applyAlignment="1">
      <alignment horizontal="center" vertical="center"/>
    </xf>
    <xf numFmtId="0" fontId="17" fillId="19" borderId="18" xfId="7" applyFont="1" applyFill="1" applyBorder="1" applyAlignment="1">
      <alignment horizontal="center" vertical="center"/>
    </xf>
    <xf numFmtId="0" fontId="21" fillId="0" borderId="0" xfId="7" applyFont="1"/>
    <xf numFmtId="0" fontId="21" fillId="0" borderId="18" xfId="7" applyFont="1" applyBorder="1"/>
    <xf numFmtId="0" fontId="17" fillId="0" borderId="18" xfId="7" applyFont="1" applyBorder="1" applyAlignment="1">
      <alignment horizontal="left"/>
    </xf>
    <xf numFmtId="0" fontId="17" fillId="0" borderId="0" xfId="0" applyFont="1" applyAlignment="1">
      <alignment horizontal="center" vertical="center" wrapText="1"/>
    </xf>
    <xf numFmtId="0" fontId="23" fillId="20" borderId="0" xfId="0" applyFont="1" applyFill="1" applyAlignment="1">
      <alignment horizontal="center" vertical="center" wrapText="1"/>
    </xf>
    <xf numFmtId="0" fontId="17" fillId="20" borderId="0" xfId="0" applyFont="1" applyFill="1" applyAlignment="1">
      <alignment horizontal="center" vertical="center" wrapText="1"/>
    </xf>
    <xf numFmtId="0" fontId="17" fillId="21" borderId="0" xfId="0" applyFont="1" applyFill="1" applyAlignment="1">
      <alignment horizontal="center" vertical="center" wrapText="1"/>
    </xf>
    <xf numFmtId="0" fontId="17" fillId="13" borderId="0" xfId="0" applyFont="1" applyFill="1" applyAlignment="1">
      <alignment horizontal="center" vertical="center" wrapText="1"/>
    </xf>
    <xf numFmtId="0" fontId="17" fillId="22" borderId="0" xfId="0" applyFont="1" applyFill="1" applyAlignment="1">
      <alignment horizontal="center" vertical="center" wrapText="1"/>
    </xf>
    <xf numFmtId="0" fontId="17" fillId="11" borderId="0" xfId="0" applyFont="1" applyFill="1" applyAlignment="1">
      <alignment horizontal="center" vertical="center" wrapText="1"/>
    </xf>
    <xf numFmtId="0" fontId="22" fillId="19" borderId="0" xfId="0" applyFont="1" applyFill="1" applyAlignment="1">
      <alignment horizontal="center" vertical="center" wrapText="1"/>
    </xf>
    <xf numFmtId="0" fontId="17" fillId="19" borderId="0" xfId="0" applyFont="1" applyFill="1" applyAlignment="1">
      <alignment horizontal="center" vertical="center" wrapText="1"/>
    </xf>
    <xf numFmtId="0" fontId="17" fillId="0" borderId="18" xfId="0" applyFont="1" applyBorder="1" applyAlignment="1">
      <alignment horizontal="center" vertical="center" wrapText="1"/>
    </xf>
    <xf numFmtId="0" fontId="23" fillId="20" borderId="18" xfId="0" applyFont="1" applyFill="1" applyBorder="1" applyAlignment="1">
      <alignment horizontal="center" vertical="center" wrapText="1"/>
    </xf>
    <xf numFmtId="0" fontId="17" fillId="20" borderId="18" xfId="0" applyFont="1" applyFill="1" applyBorder="1" applyAlignment="1">
      <alignment horizontal="center" vertical="center" wrapText="1"/>
    </xf>
    <xf numFmtId="0" fontId="17" fillId="21" borderId="18" xfId="0" applyFont="1" applyFill="1" applyBorder="1" applyAlignment="1">
      <alignment horizontal="center" vertical="center" wrapText="1"/>
    </xf>
    <xf numFmtId="0" fontId="17" fillId="13" borderId="18" xfId="0" applyFont="1" applyFill="1" applyBorder="1" applyAlignment="1">
      <alignment horizontal="center" vertical="center" wrapText="1"/>
    </xf>
    <xf numFmtId="0" fontId="17" fillId="22" borderId="18" xfId="0" applyFont="1" applyFill="1" applyBorder="1" applyAlignment="1">
      <alignment horizontal="center" vertical="center" wrapText="1"/>
    </xf>
    <xf numFmtId="0" fontId="17" fillId="11" borderId="18" xfId="0" applyFont="1" applyFill="1" applyBorder="1" applyAlignment="1">
      <alignment horizontal="center" vertical="center" wrapText="1"/>
    </xf>
    <xf numFmtId="0" fontId="22" fillId="19" borderId="18" xfId="0" applyFont="1" applyFill="1" applyBorder="1" applyAlignment="1">
      <alignment horizontal="center" vertical="center" wrapText="1"/>
    </xf>
    <xf numFmtId="0" fontId="17" fillId="19" borderId="18" xfId="0" applyFont="1" applyFill="1" applyBorder="1" applyAlignment="1">
      <alignment horizontal="center" vertical="center" wrapText="1"/>
    </xf>
    <xf numFmtId="0" fontId="23" fillId="19" borderId="0" xfId="0" applyFont="1" applyFill="1" applyAlignment="1">
      <alignment horizontal="center" vertical="center" wrapText="1"/>
    </xf>
    <xf numFmtId="0" fontId="17" fillId="0" borderId="0" xfId="0" applyFont="1" applyAlignment="1">
      <alignment wrapText="1"/>
    </xf>
    <xf numFmtId="0" fontId="23" fillId="19" borderId="18" xfId="0" applyFont="1" applyFill="1" applyBorder="1" applyAlignment="1">
      <alignment horizontal="center" vertical="center" wrapText="1"/>
    </xf>
    <xf numFmtId="0" fontId="17" fillId="0" borderId="18" xfId="0" applyFont="1" applyBorder="1" applyAlignment="1">
      <alignment wrapText="1"/>
    </xf>
    <xf numFmtId="0" fontId="29" fillId="23" borderId="0" xfId="3" applyFont="1" applyAlignment="1">
      <alignment horizontal="center" vertical="center"/>
    </xf>
    <xf numFmtId="0" fontId="0" fillId="26" borderId="0" xfId="0" applyFill="1"/>
    <xf numFmtId="0" fontId="0" fillId="0" borderId="21" xfId="0" applyBorder="1" applyAlignment="1">
      <alignment horizontal="center" vertical="center"/>
    </xf>
    <xf numFmtId="0" fontId="32" fillId="0" borderId="0" xfId="0" applyFont="1" applyAlignment="1">
      <alignment horizontal="center" vertical="center"/>
    </xf>
    <xf numFmtId="0" fontId="29" fillId="24" borderId="0" xfId="4" applyFont="1" applyAlignment="1">
      <alignment horizontal="center" vertical="center"/>
    </xf>
    <xf numFmtId="0" fontId="33" fillId="24" borderId="0" xfId="4" applyFont="1" applyAlignment="1">
      <alignment horizontal="center" vertical="center"/>
    </xf>
    <xf numFmtId="0" fontId="22" fillId="0" borderId="0" xfId="0" applyFont="1" applyAlignment="1">
      <alignment horizontal="center" vertical="center" wrapText="1"/>
    </xf>
    <xf numFmtId="0" fontId="22" fillId="0" borderId="18" xfId="0" applyFont="1" applyBorder="1" applyAlignment="1">
      <alignment horizontal="center" vertical="center" wrapText="1"/>
    </xf>
    <xf numFmtId="0" fontId="22" fillId="19" borderId="18" xfId="7" applyFont="1" applyFill="1" applyBorder="1" applyAlignment="1">
      <alignment horizontal="center" vertical="center"/>
    </xf>
    <xf numFmtId="0" fontId="33" fillId="23" borderId="0" xfId="3" applyFont="1" applyAlignment="1">
      <alignment horizontal="center" vertical="center"/>
    </xf>
    <xf numFmtId="0" fontId="23" fillId="0" borderId="0" xfId="0" applyFont="1" applyAlignment="1">
      <alignment horizontal="center" vertical="center" wrapText="1"/>
    </xf>
    <xf numFmtId="0" fontId="24" fillId="0" borderId="0" xfId="0" applyFont="1" applyAlignment="1">
      <alignment wrapText="1"/>
    </xf>
    <xf numFmtId="0" fontId="7" fillId="7" borderId="2" xfId="0" applyFont="1" applyFill="1" applyBorder="1" applyAlignment="1">
      <alignment horizontal="center" vertical="center"/>
    </xf>
    <xf numFmtId="0" fontId="24" fillId="0" borderId="18" xfId="0" applyFont="1" applyBorder="1" applyAlignment="1">
      <alignment wrapText="1"/>
    </xf>
    <xf numFmtId="0" fontId="17" fillId="0" borderId="18" xfId="2" applyFont="1" applyBorder="1" applyAlignment="1">
      <alignment horizontal="center" vertical="center" wrapText="1"/>
    </xf>
    <xf numFmtId="0" fontId="23" fillId="0" borderId="18" xfId="0" applyFont="1" applyBorder="1" applyAlignment="1">
      <alignment horizontal="center" vertical="center" wrapText="1"/>
    </xf>
    <xf numFmtId="0" fontId="0" fillId="0" borderId="7" xfId="0" applyBorder="1"/>
    <xf numFmtId="0" fontId="5" fillId="12" borderId="3" xfId="0" applyFont="1" applyFill="1" applyBorder="1" applyAlignment="1">
      <alignment vertical="center" wrapText="1"/>
    </xf>
    <xf numFmtId="0" fontId="0" fillId="0" borderId="5" xfId="0" applyBorder="1"/>
    <xf numFmtId="0" fontId="5" fillId="0" borderId="3" xfId="0" applyFont="1" applyBorder="1" applyAlignment="1">
      <alignment horizontal="center" vertical="center"/>
    </xf>
    <xf numFmtId="0" fontId="0" fillId="0" borderId="2" xfId="0" applyBorder="1"/>
    <xf numFmtId="0" fontId="0" fillId="0" borderId="4" xfId="0" applyBorder="1"/>
    <xf numFmtId="0" fontId="0" fillId="0" borderId="20" xfId="0" applyBorder="1"/>
    <xf numFmtId="0" fontId="5" fillId="0" borderId="22" xfId="0" applyFont="1" applyBorder="1"/>
    <xf numFmtId="0" fontId="0" fillId="0" borderId="23" xfId="0" applyBorder="1"/>
    <xf numFmtId="0" fontId="8" fillId="13" borderId="6" xfId="0" applyFont="1" applyFill="1" applyBorder="1" applyAlignment="1">
      <alignment horizontal="left" vertical="center" wrapText="1"/>
    </xf>
    <xf numFmtId="0" fontId="5" fillId="13" borderId="4" xfId="0" applyFont="1" applyFill="1" applyBorder="1" applyAlignment="1">
      <alignment horizontal="center" vertical="center"/>
    </xf>
    <xf numFmtId="0" fontId="5" fillId="13" borderId="9" xfId="0" applyFont="1" applyFill="1" applyBorder="1" applyAlignment="1">
      <alignment horizontal="left" vertical="center" wrapText="1"/>
    </xf>
    <xf numFmtId="0" fontId="7" fillId="0" borderId="22" xfId="0" applyFont="1" applyBorder="1" applyAlignment="1">
      <alignment horizontal="center" vertical="center"/>
    </xf>
    <xf numFmtId="0" fontId="8" fillId="28" borderId="6" xfId="0" applyFont="1" applyFill="1" applyBorder="1" applyAlignment="1">
      <alignment horizontal="left" vertical="center" wrapText="1"/>
    </xf>
    <xf numFmtId="0" fontId="5" fillId="28" borderId="9" xfId="0" applyFont="1" applyFill="1" applyBorder="1" applyAlignment="1">
      <alignment horizontal="left" vertical="center" wrapText="1"/>
    </xf>
    <xf numFmtId="0" fontId="5" fillId="28" borderId="5" xfId="0" applyFont="1" applyFill="1" applyBorder="1" applyAlignment="1">
      <alignment vertical="center" wrapText="1"/>
    </xf>
    <xf numFmtId="0" fontId="5" fillId="28" borderId="11" xfId="0" applyFont="1" applyFill="1" applyBorder="1" applyAlignment="1">
      <alignment vertical="center" wrapText="1"/>
    </xf>
    <xf numFmtId="0" fontId="0" fillId="0" borderId="10" xfId="0" applyBorder="1"/>
    <xf numFmtId="0" fontId="5" fillId="28" borderId="3" xfId="0" applyFont="1" applyFill="1" applyBorder="1" applyAlignment="1">
      <alignment horizontal="left" vertical="center" wrapText="1"/>
    </xf>
    <xf numFmtId="0" fontId="21" fillId="0" borderId="18" xfId="0" applyFont="1" applyBorder="1" applyAlignment="1">
      <alignment horizontal="center" vertical="center" wrapText="1"/>
    </xf>
    <xf numFmtId="0" fontId="35" fillId="0" borderId="18" xfId="2" applyFont="1" applyBorder="1"/>
    <xf numFmtId="0" fontId="17" fillId="0" borderId="18" xfId="2" applyFont="1" applyBorder="1"/>
    <xf numFmtId="0" fontId="36" fillId="0" borderId="18" xfId="7" applyFont="1" applyBorder="1"/>
    <xf numFmtId="0" fontId="0" fillId="0" borderId="3" xfId="0" applyBorder="1" applyAlignment="1">
      <alignment wrapText="1"/>
    </xf>
    <xf numFmtId="0" fontId="18" fillId="0" borderId="0" xfId="0" applyFont="1"/>
    <xf numFmtId="0" fontId="21" fillId="20" borderId="0" xfId="0" applyFont="1" applyFill="1" applyAlignment="1">
      <alignment horizontal="center" vertical="center" wrapText="1"/>
    </xf>
    <xf numFmtId="0" fontId="21" fillId="11" borderId="0" xfId="0" applyFont="1" applyFill="1" applyAlignment="1">
      <alignment horizontal="center" vertical="center" wrapText="1"/>
    </xf>
    <xf numFmtId="0" fontId="21" fillId="11" borderId="18"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37" fillId="0" borderId="0" xfId="2" applyFont="1" applyAlignment="1">
      <alignment horizontal="center" vertical="center"/>
    </xf>
    <xf numFmtId="0" fontId="22" fillId="22" borderId="0" xfId="2" applyFont="1" applyFill="1" applyAlignment="1">
      <alignment horizontal="center" vertical="center"/>
    </xf>
    <xf numFmtId="0" fontId="38" fillId="24" borderId="0" xfId="4" applyFont="1" applyAlignment="1">
      <alignment horizontal="center" vertical="center"/>
    </xf>
    <xf numFmtId="0" fontId="22" fillId="0" borderId="0" xfId="1" applyFont="1" applyAlignment="1">
      <alignment horizontal="center" vertical="center" wrapText="1"/>
    </xf>
    <xf numFmtId="164" fontId="17" fillId="0" borderId="0" xfId="2" applyNumberFormat="1" applyFont="1" applyAlignment="1">
      <alignment horizontal="left" vertical="center"/>
    </xf>
    <xf numFmtId="0" fontId="0" fillId="32" borderId="0" xfId="0" applyFill="1" applyAlignment="1">
      <alignment vertical="center"/>
    </xf>
    <xf numFmtId="0" fontId="0" fillId="11" borderId="0" xfId="0" applyFill="1" applyAlignment="1">
      <alignment vertical="center"/>
    </xf>
    <xf numFmtId="0" fontId="21" fillId="0" borderId="0" xfId="0" applyFont="1" applyAlignment="1">
      <alignment horizontal="center" vertical="center" wrapText="1"/>
    </xf>
    <xf numFmtId="0" fontId="22" fillId="11" borderId="0" xfId="0" applyFont="1" applyFill="1" applyAlignment="1">
      <alignment horizontal="center" vertical="center" wrapText="1"/>
    </xf>
    <xf numFmtId="0" fontId="22" fillId="20" borderId="0" xfId="0" applyFont="1" applyFill="1" applyAlignment="1">
      <alignment horizontal="center" vertical="center" wrapText="1"/>
    </xf>
    <xf numFmtId="0" fontId="30" fillId="0" borderId="0" xfId="0" applyFont="1"/>
    <xf numFmtId="0" fontId="25" fillId="0" borderId="0" xfId="2" applyFont="1"/>
    <xf numFmtId="0" fontId="0" fillId="19" borderId="0" xfId="0" applyFill="1" applyAlignment="1">
      <alignment vertical="center"/>
    </xf>
    <xf numFmtId="0" fontId="22" fillId="20" borderId="18" xfId="0" applyFont="1" applyFill="1" applyBorder="1" applyAlignment="1">
      <alignment horizontal="center" vertical="center" wrapText="1"/>
    </xf>
    <xf numFmtId="0" fontId="22" fillId="11" borderId="18" xfId="0" applyFont="1" applyFill="1" applyBorder="1" applyAlignment="1">
      <alignment horizontal="center" vertical="center" wrapText="1"/>
    </xf>
    <xf numFmtId="0" fontId="40" fillId="0" borderId="0" xfId="0" applyFont="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35" fillId="0" borderId="0" xfId="0" applyFont="1" applyAlignment="1">
      <alignment wrapText="1"/>
    </xf>
    <xf numFmtId="0" fontId="37" fillId="22" borderId="0" xfId="2" applyFont="1" applyFill="1" applyAlignment="1">
      <alignment horizontal="center" vertical="center"/>
    </xf>
    <xf numFmtId="49" fontId="17" fillId="0" borderId="24" xfId="7" applyNumberFormat="1" applyFont="1" applyBorder="1" applyAlignment="1">
      <alignment horizontal="center" vertical="center"/>
    </xf>
    <xf numFmtId="164" fontId="17" fillId="0" borderId="24" xfId="7" applyNumberFormat="1" applyFont="1" applyBorder="1" applyAlignment="1">
      <alignment horizontal="center" vertical="center"/>
    </xf>
    <xf numFmtId="0" fontId="17" fillId="0" borderId="24" xfId="0" applyFont="1" applyBorder="1" applyAlignment="1">
      <alignment horizontal="center" vertical="center" wrapText="1"/>
    </xf>
    <xf numFmtId="0" fontId="17" fillId="20" borderId="24" xfId="0" applyFont="1" applyFill="1" applyBorder="1" applyAlignment="1">
      <alignment horizontal="center" vertical="center" wrapText="1"/>
    </xf>
    <xf numFmtId="0" fontId="17" fillId="21" borderId="24" xfId="0" applyFont="1" applyFill="1" applyBorder="1" applyAlignment="1">
      <alignment horizontal="center" vertical="center" wrapText="1"/>
    </xf>
    <xf numFmtId="0" fontId="17" fillId="13" borderId="24" xfId="0" applyFont="1" applyFill="1" applyBorder="1" applyAlignment="1">
      <alignment horizontal="center" vertical="center" wrapText="1"/>
    </xf>
    <xf numFmtId="0" fontId="17" fillId="22" borderId="24" xfId="0" applyFont="1" applyFill="1" applyBorder="1" applyAlignment="1">
      <alignment horizontal="center" vertical="center" wrapText="1"/>
    </xf>
    <xf numFmtId="0" fontId="17" fillId="11" borderId="24" xfId="0" applyFont="1" applyFill="1" applyBorder="1" applyAlignment="1">
      <alignment horizontal="center" vertical="center" wrapText="1"/>
    </xf>
    <xf numFmtId="0" fontId="23" fillId="19" borderId="24" xfId="0" applyFont="1" applyFill="1" applyBorder="1" applyAlignment="1">
      <alignment horizontal="center" vertical="center" wrapText="1"/>
    </xf>
    <xf numFmtId="0" fontId="22" fillId="0" borderId="24" xfId="0" applyFont="1" applyBorder="1" applyAlignment="1">
      <alignment horizontal="center" vertical="center" wrapText="1"/>
    </xf>
    <xf numFmtId="0" fontId="17" fillId="19" borderId="24" xfId="0" applyFont="1" applyFill="1" applyBorder="1" applyAlignment="1">
      <alignment horizontal="center" vertical="center" wrapText="1"/>
    </xf>
    <xf numFmtId="0" fontId="17" fillId="0" borderId="24" xfId="0" applyFont="1" applyBorder="1" applyAlignment="1">
      <alignment wrapText="1"/>
    </xf>
    <xf numFmtId="0" fontId="17" fillId="0" borderId="24" xfId="7" applyFont="1" applyBorder="1"/>
    <xf numFmtId="0" fontId="21" fillId="21" borderId="0" xfId="0" applyFont="1" applyFill="1" applyAlignment="1">
      <alignment horizontal="center" vertical="center" wrapText="1"/>
    </xf>
    <xf numFmtId="0" fontId="0" fillId="28" borderId="0" xfId="0" applyFill="1"/>
    <xf numFmtId="0" fontId="23" fillId="21" borderId="0" xfId="0" applyFont="1" applyFill="1" applyAlignment="1">
      <alignment horizontal="center" vertical="center" wrapText="1"/>
    </xf>
    <xf numFmtId="0" fontId="23" fillId="21" borderId="18" xfId="0" applyFont="1" applyFill="1" applyBorder="1" applyAlignment="1">
      <alignment horizontal="center" vertical="center" wrapText="1"/>
    </xf>
    <xf numFmtId="0" fontId="17" fillId="0" borderId="24" xfId="2" applyFont="1" applyBorder="1"/>
    <xf numFmtId="0" fontId="22" fillId="22" borderId="0" xfId="0" applyFont="1" applyFill="1" applyAlignment="1">
      <alignment horizontal="center" vertical="center" wrapText="1"/>
    </xf>
    <xf numFmtId="164" fontId="25" fillId="0" borderId="0" xfId="2" applyNumberFormat="1" applyFont="1" applyAlignment="1">
      <alignment horizontal="left" vertical="center"/>
    </xf>
    <xf numFmtId="0" fontId="0" fillId="0" borderId="26" xfId="0" applyBorder="1" applyAlignment="1">
      <alignment horizontal="center" vertical="center"/>
    </xf>
    <xf numFmtId="0" fontId="0" fillId="17" borderId="0" xfId="0" applyFill="1" applyAlignment="1">
      <alignment horizontal="center" vertical="center"/>
    </xf>
    <xf numFmtId="0" fontId="0" fillId="33" borderId="0" xfId="0" applyFill="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25" xfId="0" applyBorder="1" applyAlignment="1">
      <alignment horizontal="center" vertical="center"/>
    </xf>
    <xf numFmtId="0" fontId="0" fillId="20" borderId="0" xfId="0" applyFill="1" applyAlignment="1">
      <alignment horizontal="center" vertical="center"/>
    </xf>
    <xf numFmtId="0" fontId="42" fillId="9" borderId="0" xfId="0" applyFont="1" applyFill="1" applyAlignment="1">
      <alignment horizontal="center" vertical="center"/>
    </xf>
    <xf numFmtId="0" fontId="0" fillId="34" borderId="0" xfId="0" applyFill="1" applyAlignment="1">
      <alignment horizontal="center" vertical="center"/>
    </xf>
    <xf numFmtId="0" fontId="0" fillId="35" borderId="0" xfId="0" applyFill="1" applyAlignment="1">
      <alignment horizontal="center" vertical="center"/>
    </xf>
    <xf numFmtId="0" fontId="25" fillId="20" borderId="0" xfId="0" applyFont="1" applyFill="1" applyAlignment="1">
      <alignment horizontal="center" vertical="center" wrapText="1"/>
    </xf>
    <xf numFmtId="0" fontId="0" fillId="7" borderId="0" xfId="0" applyFill="1"/>
    <xf numFmtId="0" fontId="17" fillId="0" borderId="20" xfId="1" applyFont="1" applyBorder="1" applyAlignment="1">
      <alignment horizontal="center" vertical="center" wrapText="1"/>
    </xf>
    <xf numFmtId="0" fontId="23" fillId="22" borderId="0" xfId="2" applyFont="1" applyFill="1" applyAlignment="1">
      <alignment horizontal="center" vertical="center"/>
    </xf>
    <xf numFmtId="49" fontId="17" fillId="36" borderId="0" xfId="7" applyNumberFormat="1" applyFont="1" applyFill="1" applyAlignment="1">
      <alignment horizontal="center" vertical="center"/>
    </xf>
    <xf numFmtId="49" fontId="17" fillId="32" borderId="0" xfId="7" applyNumberFormat="1" applyFont="1" applyFill="1" applyAlignment="1">
      <alignment horizontal="center" vertical="center"/>
    </xf>
    <xf numFmtId="0" fontId="23" fillId="19" borderId="0" xfId="2" applyFont="1" applyFill="1" applyAlignment="1">
      <alignment horizontal="center" vertical="center"/>
    </xf>
    <xf numFmtId="49" fontId="17" fillId="18" borderId="0" xfId="7" applyNumberFormat="1" applyFont="1" applyFill="1" applyAlignment="1">
      <alignment horizontal="center" vertical="center"/>
    </xf>
    <xf numFmtId="0" fontId="33" fillId="25" borderId="0" xfId="5" applyFont="1" applyAlignment="1">
      <alignment horizontal="center" vertical="center"/>
    </xf>
    <xf numFmtId="0" fontId="21" fillId="0" borderId="0" xfId="2" applyFont="1" applyAlignment="1">
      <alignment horizontal="center" vertical="center" wrapText="1"/>
    </xf>
    <xf numFmtId="0" fontId="22" fillId="0" borderId="0" xfId="2" applyFont="1" applyAlignment="1">
      <alignment horizontal="center" vertical="center" wrapText="1"/>
    </xf>
    <xf numFmtId="0" fontId="31" fillId="21" borderId="0" xfId="0" applyFont="1" applyFill="1" applyAlignment="1">
      <alignment horizontal="center" vertical="center" wrapText="1"/>
    </xf>
    <xf numFmtId="0" fontId="22" fillId="19" borderId="0" xfId="2" applyFont="1" applyFill="1" applyAlignment="1">
      <alignment horizontal="center" vertical="center"/>
    </xf>
    <xf numFmtId="0" fontId="38" fillId="25" borderId="0" xfId="5" applyFont="1" applyAlignment="1">
      <alignment horizontal="center" vertical="center"/>
    </xf>
    <xf numFmtId="0" fontId="25" fillId="20" borderId="0" xfId="2" applyFont="1" applyFill="1" applyAlignment="1">
      <alignment horizontal="center" vertical="center" wrapText="1"/>
    </xf>
    <xf numFmtId="0" fontId="23" fillId="20" borderId="0" xfId="2" applyFont="1" applyFill="1" applyAlignment="1">
      <alignment horizontal="center" vertical="center" wrapText="1"/>
    </xf>
    <xf numFmtId="0" fontId="23" fillId="0" borderId="0" xfId="2" applyFont="1" applyAlignment="1">
      <alignment horizontal="center" vertical="center"/>
    </xf>
    <xf numFmtId="164" fontId="17" fillId="0" borderId="0" xfId="2" applyNumberFormat="1" applyFont="1" applyAlignment="1">
      <alignment vertical="center" wrapText="1"/>
    </xf>
    <xf numFmtId="0" fontId="24" fillId="0" borderId="16" xfId="0" applyFont="1" applyBorder="1" applyAlignment="1">
      <alignment wrapText="1"/>
    </xf>
    <xf numFmtId="0" fontId="17" fillId="26" borderId="15" xfId="2" applyFont="1" applyFill="1" applyBorder="1" applyAlignment="1">
      <alignment horizontal="center" vertical="center"/>
    </xf>
    <xf numFmtId="0" fontId="17" fillId="27" borderId="15" xfId="2" applyFont="1" applyFill="1" applyBorder="1" applyAlignment="1">
      <alignment horizontal="center" vertical="center"/>
    </xf>
    <xf numFmtId="0" fontId="6" fillId="8" borderId="2" xfId="0" applyFont="1" applyFill="1" applyBorder="1" applyAlignment="1">
      <alignment horizontal="center" vertical="center" wrapText="1"/>
    </xf>
    <xf numFmtId="0" fontId="7" fillId="0" borderId="3" xfId="0" applyFont="1" applyBorder="1" applyAlignment="1">
      <alignment horizontal="center" vertical="center"/>
    </xf>
    <xf numFmtId="0" fontId="0" fillId="0" borderId="14" xfId="0"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top" wrapText="1"/>
    </xf>
    <xf numFmtId="0" fontId="0" fillId="0" borderId="13" xfId="0" applyBorder="1" applyAlignment="1">
      <alignment horizontal="left" vertical="center" wrapText="1"/>
    </xf>
    <xf numFmtId="0" fontId="0" fillId="0" borderId="13" xfId="0" applyBorder="1" applyAlignment="1">
      <alignment horizontal="left" vertical="top" wrapText="1"/>
    </xf>
    <xf numFmtId="0" fontId="39" fillId="11" borderId="0" xfId="2" applyFont="1" applyFill="1" applyAlignment="1">
      <alignment horizontal="center" vertical="center"/>
    </xf>
    <xf numFmtId="49" fontId="17" fillId="37" borderId="0" xfId="2" applyNumberFormat="1" applyFont="1" applyFill="1" applyAlignment="1">
      <alignment horizontal="center" vertical="center"/>
    </xf>
    <xf numFmtId="49" fontId="17" fillId="38" borderId="0" xfId="2" applyNumberFormat="1" applyFont="1" applyFill="1" applyAlignment="1">
      <alignment horizontal="center" vertical="center"/>
    </xf>
    <xf numFmtId="49" fontId="17" fillId="32" borderId="0" xfId="2" applyNumberFormat="1" applyFont="1" applyFill="1" applyAlignment="1">
      <alignment horizontal="center" vertical="center"/>
    </xf>
    <xf numFmtId="0" fontId="21" fillId="0" borderId="18" xfId="2" applyFont="1" applyBorder="1" applyAlignment="1">
      <alignment horizontal="center" vertical="center" wrapText="1"/>
    </xf>
    <xf numFmtId="0" fontId="24" fillId="0" borderId="0" xfId="0" applyFont="1" applyAlignment="1">
      <alignment vertical="center" wrapText="1"/>
    </xf>
    <xf numFmtId="0" fontId="17" fillId="0" borderId="0" xfId="7" applyFont="1" applyAlignment="1">
      <alignment vertical="center"/>
    </xf>
    <xf numFmtId="164" fontId="17" fillId="0" borderId="0" xfId="7" applyNumberFormat="1" applyFont="1" applyAlignment="1">
      <alignment horizontal="center" vertical="center" wrapText="1"/>
    </xf>
    <xf numFmtId="164" fontId="17" fillId="0" borderId="0" xfId="7" applyNumberFormat="1" applyFont="1" applyAlignment="1">
      <alignment horizontal="left" vertical="center" wrapText="1"/>
    </xf>
    <xf numFmtId="164" fontId="17" fillId="0" borderId="18" xfId="7" applyNumberFormat="1" applyFont="1" applyBorder="1" applyAlignment="1">
      <alignment horizontal="left" vertical="center" wrapText="1"/>
    </xf>
    <xf numFmtId="0" fontId="6" fillId="8" borderId="4" xfId="0" applyFont="1" applyFill="1" applyBorder="1" applyAlignment="1">
      <alignment horizontal="center" vertical="center" wrapText="1"/>
    </xf>
    <xf numFmtId="0" fontId="6" fillId="31"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8" fillId="26" borderId="0" xfId="0" applyFont="1" applyFill="1"/>
    <xf numFmtId="49" fontId="17" fillId="42" borderId="0" xfId="2" applyNumberFormat="1" applyFont="1" applyFill="1" applyAlignment="1">
      <alignment horizontal="center" vertical="center"/>
    </xf>
    <xf numFmtId="0" fontId="0" fillId="0" borderId="40" xfId="0" applyBorder="1"/>
    <xf numFmtId="0" fontId="44" fillId="43" borderId="45" xfId="0" applyFont="1" applyFill="1" applyBorder="1" applyAlignment="1">
      <alignment horizontal="center" vertical="center"/>
    </xf>
    <xf numFmtId="0" fontId="0" fillId="0" borderId="46" xfId="0" applyBorder="1"/>
    <xf numFmtId="0" fontId="44" fillId="43" borderId="47" xfId="0" applyFont="1" applyFill="1" applyBorder="1" applyAlignment="1">
      <alignment horizontal="center" vertical="center"/>
    </xf>
    <xf numFmtId="0" fontId="0" fillId="0" borderId="48" xfId="0" applyBorder="1"/>
    <xf numFmtId="0" fontId="0" fillId="0" borderId="49" xfId="0" applyBorder="1"/>
    <xf numFmtId="0" fontId="0" fillId="45" borderId="0" xfId="0" applyFill="1"/>
    <xf numFmtId="164" fontId="17" fillId="0" borderId="0" xfId="2" applyNumberFormat="1" applyFont="1" applyAlignment="1">
      <alignment vertical="center"/>
    </xf>
    <xf numFmtId="164" fontId="25" fillId="0" borderId="0" xfId="2" applyNumberFormat="1" applyFont="1" applyAlignment="1">
      <alignment vertical="center"/>
    </xf>
    <xf numFmtId="165" fontId="17" fillId="0" borderId="20" xfId="2" applyNumberFormat="1" applyFont="1" applyBorder="1" applyAlignment="1">
      <alignment horizontal="center" vertical="center"/>
    </xf>
    <xf numFmtId="165" fontId="17" fillId="0" borderId="50" xfId="2" applyNumberFormat="1" applyFont="1" applyBorder="1" applyAlignment="1">
      <alignment horizontal="center" vertical="center"/>
    </xf>
    <xf numFmtId="165" fontId="17" fillId="0" borderId="40" xfId="2" applyNumberFormat="1" applyFont="1" applyBorder="1" applyAlignment="1">
      <alignment horizontal="center" vertical="center"/>
    </xf>
    <xf numFmtId="0" fontId="17" fillId="0" borderId="18" xfId="7" applyFont="1" applyBorder="1" applyAlignment="1">
      <alignment vertical="center"/>
    </xf>
    <xf numFmtId="0" fontId="24" fillId="0" borderId="18" xfId="0" applyFont="1" applyBorder="1" applyAlignment="1">
      <alignment vertical="center" wrapText="1"/>
    </xf>
    <xf numFmtId="164" fontId="17" fillId="0" borderId="24" xfId="7" applyNumberFormat="1" applyFont="1" applyBorder="1" applyAlignment="1">
      <alignment horizontal="left" vertical="center" wrapText="1"/>
    </xf>
    <xf numFmtId="0" fontId="23" fillId="0" borderId="24" xfId="0" applyFont="1" applyBorder="1" applyAlignment="1">
      <alignment horizontal="center" vertical="center" wrapText="1"/>
    </xf>
    <xf numFmtId="0" fontId="21" fillId="21" borderId="24" xfId="0" applyFont="1" applyFill="1" applyBorder="1" applyAlignment="1">
      <alignment horizontal="center" vertical="center" wrapText="1"/>
    </xf>
    <xf numFmtId="49" fontId="17" fillId="46" borderId="24" xfId="7" applyNumberFormat="1" applyFont="1" applyFill="1" applyBorder="1" applyAlignment="1">
      <alignment horizontal="center" vertical="center"/>
    </xf>
    <xf numFmtId="0" fontId="45" fillId="25" borderId="0" xfId="5" applyFont="1" applyAlignment="1">
      <alignment horizontal="center" vertical="center"/>
    </xf>
    <xf numFmtId="49" fontId="17" fillId="0" borderId="0" xfId="2" applyNumberFormat="1" applyFont="1" applyAlignment="1">
      <alignment horizontal="left" vertical="center"/>
    </xf>
    <xf numFmtId="0" fontId="25" fillId="22" borderId="0" xfId="2" applyFont="1" applyFill="1" applyAlignment="1">
      <alignment horizontal="center" vertical="center"/>
    </xf>
    <xf numFmtId="164" fontId="17" fillId="0" borderId="51" xfId="2" applyNumberFormat="1" applyFont="1" applyBorder="1" applyAlignment="1">
      <alignment horizontal="center" vertical="center"/>
    </xf>
    <xf numFmtId="0" fontId="46" fillId="0" borderId="0" xfId="0" applyFont="1"/>
    <xf numFmtId="0" fontId="13" fillId="0" borderId="5" xfId="0" applyFont="1" applyBorder="1" applyAlignment="1">
      <alignment wrapText="1"/>
    </xf>
    <xf numFmtId="165" fontId="17" fillId="0" borderId="14" xfId="2" applyNumberFormat="1" applyFont="1" applyBorder="1" applyAlignment="1">
      <alignment horizontal="center" vertical="center"/>
    </xf>
    <xf numFmtId="49" fontId="17" fillId="46" borderId="0" xfId="7" applyNumberFormat="1" applyFont="1" applyFill="1" applyAlignment="1">
      <alignment horizontal="center" vertical="center"/>
    </xf>
    <xf numFmtId="0" fontId="37" fillId="0" borderId="0" xfId="0" applyFont="1" applyAlignment="1">
      <alignment horizontal="center" vertical="center" wrapText="1"/>
    </xf>
    <xf numFmtId="0" fontId="6" fillId="2" borderId="4" xfId="0" applyFont="1" applyFill="1" applyBorder="1" applyAlignment="1">
      <alignment horizontal="center" vertical="center" wrapText="1"/>
    </xf>
    <xf numFmtId="0" fontId="23" fillId="0" borderId="0" xfId="2" applyFont="1" applyAlignment="1">
      <alignment horizontal="center" vertical="center" wrapText="1"/>
    </xf>
    <xf numFmtId="0" fontId="22" fillId="13" borderId="0" xfId="0" applyFont="1" applyFill="1" applyAlignment="1">
      <alignment horizontal="center" vertical="center" wrapText="1"/>
    </xf>
    <xf numFmtId="0" fontId="17" fillId="21" borderId="16" xfId="0" applyFont="1" applyFill="1" applyBorder="1" applyAlignment="1">
      <alignment horizontal="center" vertical="center" wrapText="1"/>
    </xf>
    <xf numFmtId="0" fontId="0" fillId="32" borderId="0" xfId="0" applyFill="1"/>
    <xf numFmtId="0" fontId="23" fillId="13" borderId="0" xfId="0" applyFont="1" applyFill="1" applyAlignment="1">
      <alignment horizontal="center" vertical="center" wrapText="1"/>
    </xf>
    <xf numFmtId="49" fontId="17" fillId="40" borderId="0" xfId="2" applyNumberFormat="1" applyFont="1" applyFill="1" applyAlignment="1">
      <alignment horizontal="center" vertical="center"/>
    </xf>
    <xf numFmtId="0" fontId="0" fillId="9" borderId="0" xfId="0" applyFill="1"/>
    <xf numFmtId="49" fontId="25" fillId="0" borderId="0" xfId="2" applyNumberFormat="1" applyFont="1" applyAlignment="1">
      <alignment horizontal="center" vertical="center"/>
    </xf>
    <xf numFmtId="0" fontId="0" fillId="36" borderId="0" xfId="0" applyFill="1"/>
    <xf numFmtId="0" fontId="25" fillId="11" borderId="0" xfId="2" applyFont="1" applyFill="1" applyAlignment="1">
      <alignment horizontal="center" vertical="center"/>
    </xf>
    <xf numFmtId="0" fontId="0" fillId="47" borderId="0" xfId="0" applyFill="1"/>
    <xf numFmtId="0" fontId="18" fillId="0" borderId="0" xfId="0" applyFont="1" applyAlignment="1">
      <alignment horizontal="center"/>
    </xf>
    <xf numFmtId="49" fontId="17" fillId="10" borderId="0" xfId="7" applyNumberFormat="1" applyFont="1" applyFill="1" applyAlignment="1">
      <alignment horizontal="center" vertical="center"/>
    </xf>
    <xf numFmtId="0" fontId="0" fillId="0" borderId="2" xfId="0" applyBorder="1" applyAlignment="1">
      <alignment horizontal="center" vertical="center"/>
    </xf>
    <xf numFmtId="0" fontId="0" fillId="48" borderId="0" xfId="0" applyFill="1"/>
    <xf numFmtId="0" fontId="22" fillId="0" borderId="0" xfId="0" applyFont="1" applyAlignment="1">
      <alignment horizontal="center" vertical="center"/>
    </xf>
    <xf numFmtId="0" fontId="22" fillId="0" borderId="0" xfId="2" applyFont="1"/>
    <xf numFmtId="0" fontId="23" fillId="0" borderId="0" xfId="0" applyFont="1" applyAlignment="1">
      <alignment horizontal="center" vertical="center"/>
    </xf>
    <xf numFmtId="164" fontId="17" fillId="0" borderId="51" xfId="2" applyNumberFormat="1" applyFont="1" applyBorder="1" applyAlignment="1">
      <alignment vertical="center"/>
    </xf>
    <xf numFmtId="0" fontId="23" fillId="22" borderId="0" xfId="0" applyFont="1" applyFill="1" applyAlignment="1">
      <alignment horizontal="center" vertical="center" wrapText="1"/>
    </xf>
    <xf numFmtId="0" fontId="22" fillId="20" borderId="0" xfId="2" applyFont="1" applyFill="1" applyAlignment="1">
      <alignment horizontal="center" vertical="center"/>
    </xf>
    <xf numFmtId="0" fontId="17" fillId="20" borderId="16" xfId="0" applyFont="1" applyFill="1" applyBorder="1" applyAlignment="1">
      <alignment horizontal="center" vertical="center" wrapText="1"/>
    </xf>
    <xf numFmtId="164" fontId="23" fillId="0" borderId="0" xfId="7" applyNumberFormat="1" applyFont="1" applyAlignment="1">
      <alignment horizontal="left" vertical="center" wrapText="1"/>
    </xf>
    <xf numFmtId="0" fontId="23" fillId="20" borderId="0" xfId="2" applyFont="1" applyFill="1" applyAlignment="1">
      <alignment horizontal="center" vertical="center"/>
    </xf>
    <xf numFmtId="49" fontId="17" fillId="49" borderId="0" xfId="2" applyNumberFormat="1" applyFont="1" applyFill="1" applyAlignment="1">
      <alignment horizontal="center" vertical="center"/>
    </xf>
    <xf numFmtId="164" fontId="25" fillId="0" borderId="0" xfId="2" applyNumberFormat="1" applyFont="1" applyAlignment="1">
      <alignment horizontal="center" vertical="center"/>
    </xf>
    <xf numFmtId="0" fontId="23" fillId="11" borderId="0" xfId="2" applyFont="1" applyFill="1" applyAlignment="1">
      <alignment horizontal="center" vertical="center"/>
    </xf>
    <xf numFmtId="0" fontId="25" fillId="13" borderId="0" xfId="2" applyFont="1" applyFill="1" applyAlignment="1">
      <alignment horizontal="center" vertical="center"/>
    </xf>
    <xf numFmtId="0" fontId="22" fillId="19" borderId="0" xfId="7" applyFont="1" applyFill="1" applyAlignment="1">
      <alignment horizontal="center" vertical="center"/>
    </xf>
    <xf numFmtId="0" fontId="51" fillId="26" borderId="0" xfId="0" applyFont="1" applyFill="1"/>
    <xf numFmtId="0" fontId="13" fillId="0" borderId="0" xfId="0" applyFont="1"/>
    <xf numFmtId="0" fontId="22" fillId="0" borderId="0" xfId="7" applyFont="1" applyAlignment="1">
      <alignment horizontal="center" vertical="center"/>
    </xf>
    <xf numFmtId="0" fontId="37" fillId="0" borderId="0" xfId="7" applyFont="1" applyAlignment="1">
      <alignment horizontal="center" vertical="center"/>
    </xf>
    <xf numFmtId="0" fontId="37" fillId="19" borderId="0" xfId="7" applyFont="1" applyFill="1" applyAlignment="1">
      <alignment horizontal="center" vertical="center"/>
    </xf>
    <xf numFmtId="0" fontId="22" fillId="22" borderId="0" xfId="7" applyFont="1" applyFill="1" applyAlignment="1">
      <alignment horizontal="center" vertical="center"/>
    </xf>
    <xf numFmtId="0" fontId="23" fillId="22" borderId="0" xfId="7" applyFont="1" applyFill="1" applyAlignment="1">
      <alignment horizontal="center" vertical="center"/>
    </xf>
    <xf numFmtId="0" fontId="0" fillId="19" borderId="0" xfId="0" applyFill="1"/>
    <xf numFmtId="0" fontId="0" fillId="0" borderId="52" xfId="0" applyBorder="1" applyAlignment="1">
      <alignment horizontal="center" vertical="center"/>
    </xf>
    <xf numFmtId="0" fontId="0" fillId="0" borderId="11" xfId="0" applyBorder="1" applyAlignment="1">
      <alignment horizontal="center" vertical="center"/>
    </xf>
    <xf numFmtId="0" fontId="0" fillId="12" borderId="55" xfId="0" applyFill="1" applyBorder="1" applyAlignment="1">
      <alignment horizontal="center" vertical="center"/>
    </xf>
    <xf numFmtId="0" fontId="0" fillId="12" borderId="56" xfId="0" applyFill="1" applyBorder="1" applyAlignment="1">
      <alignment horizontal="center" vertical="center"/>
    </xf>
    <xf numFmtId="0" fontId="0" fillId="12" borderId="53" xfId="0" applyFill="1" applyBorder="1" applyAlignment="1">
      <alignment horizontal="center" vertical="center"/>
    </xf>
    <xf numFmtId="0" fontId="0" fillId="12" borderId="58" xfId="0" applyFill="1" applyBorder="1" applyAlignment="1">
      <alignment horizontal="center" vertical="center"/>
    </xf>
    <xf numFmtId="0" fontId="0" fillId="12" borderId="60" xfId="0" applyFill="1" applyBorder="1" applyAlignment="1">
      <alignment horizontal="center" vertical="center"/>
    </xf>
    <xf numFmtId="0" fontId="0" fillId="12" borderId="61" xfId="0" applyFill="1" applyBorder="1" applyAlignment="1">
      <alignment horizontal="center" vertical="center"/>
    </xf>
    <xf numFmtId="0" fontId="0" fillId="12" borderId="62" xfId="0" applyFill="1" applyBorder="1"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166" fontId="20" fillId="0" borderId="0" xfId="2" applyNumberFormat="1" applyFont="1" applyAlignment="1">
      <alignment horizontal="center" vertical="center"/>
    </xf>
    <xf numFmtId="166" fontId="17" fillId="0" borderId="15" xfId="2" applyNumberFormat="1" applyFont="1" applyBorder="1" applyAlignment="1">
      <alignment horizontal="center" vertical="center"/>
    </xf>
    <xf numFmtId="166" fontId="0" fillId="0" borderId="0" xfId="0" applyNumberFormat="1"/>
    <xf numFmtId="166" fontId="0" fillId="28" borderId="0" xfId="0" applyNumberFormat="1" applyFill="1"/>
    <xf numFmtId="0" fontId="0" fillId="13" borderId="0" xfId="0" applyFill="1"/>
    <xf numFmtId="0" fontId="23" fillId="0" borderId="0" xfId="7" applyFont="1" applyAlignment="1">
      <alignment horizontal="center" vertical="center"/>
    </xf>
    <xf numFmtId="0" fontId="23" fillId="19" borderId="0" xfId="7" applyFont="1" applyFill="1" applyAlignment="1">
      <alignment horizontal="center" vertical="center"/>
    </xf>
    <xf numFmtId="49" fontId="17" fillId="45" borderId="0" xfId="7" applyNumberFormat="1" applyFont="1" applyFill="1" applyAlignment="1">
      <alignment horizontal="center" vertical="center"/>
    </xf>
    <xf numFmtId="164" fontId="17" fillId="45" borderId="0" xfId="7" applyNumberFormat="1" applyFont="1" applyFill="1" applyAlignment="1">
      <alignment horizontal="center" vertical="center"/>
    </xf>
    <xf numFmtId="0" fontId="0" fillId="11" borderId="0" xfId="0" applyFill="1"/>
    <xf numFmtId="0" fontId="0" fillId="20" borderId="0" xfId="0" applyFill="1"/>
    <xf numFmtId="0" fontId="22" fillId="0" borderId="0" xfId="0" applyFont="1"/>
    <xf numFmtId="0" fontId="17" fillId="32" borderId="0" xfId="2" applyFont="1" applyFill="1" applyAlignment="1">
      <alignment horizontal="center"/>
    </xf>
    <xf numFmtId="0" fontId="0" fillId="49" borderId="0" xfId="0" applyFill="1"/>
    <xf numFmtId="49" fontId="17" fillId="5" borderId="0" xfId="7" applyNumberFormat="1" applyFont="1" applyFill="1" applyAlignment="1">
      <alignment horizontal="center" vertical="center"/>
    </xf>
    <xf numFmtId="49" fontId="17" fillId="37" borderId="0" xfId="7" applyNumberFormat="1" applyFont="1" applyFill="1" applyAlignment="1">
      <alignment horizontal="center" vertical="center"/>
    </xf>
    <xf numFmtId="49" fontId="17" fillId="42" borderId="0" xfId="7" applyNumberFormat="1" applyFont="1" applyFill="1" applyAlignment="1">
      <alignment horizontal="center" vertical="center"/>
    </xf>
    <xf numFmtId="0" fontId="17" fillId="42" borderId="0" xfId="2" applyFont="1" applyFill="1" applyAlignment="1">
      <alignment horizontal="center"/>
    </xf>
    <xf numFmtId="49" fontId="17" fillId="33" borderId="0" xfId="2" applyNumberFormat="1" applyFont="1" applyFill="1" applyAlignment="1">
      <alignment horizontal="center" vertical="center"/>
    </xf>
    <xf numFmtId="49" fontId="17" fillId="41" borderId="0" xfId="7" applyNumberFormat="1" applyFont="1" applyFill="1" applyAlignment="1">
      <alignment horizontal="center" vertical="center"/>
    </xf>
    <xf numFmtId="164" fontId="17" fillId="20" borderId="0" xfId="2" applyNumberFormat="1" applyFont="1" applyFill="1" applyAlignment="1">
      <alignment horizontal="center" vertical="center"/>
    </xf>
    <xf numFmtId="164" fontId="25" fillId="0" borderId="0" xfId="2" applyNumberFormat="1" applyFont="1" applyAlignment="1">
      <alignment horizontal="center" vertical="center" wrapText="1"/>
    </xf>
    <xf numFmtId="0" fontId="0" fillId="0" borderId="65" xfId="0" applyBorder="1"/>
    <xf numFmtId="166" fontId="0" fillId="0" borderId="65" xfId="0" applyNumberFormat="1" applyBorder="1"/>
    <xf numFmtId="0" fontId="0" fillId="0" borderId="65" xfId="0" applyBorder="1" applyAlignment="1">
      <alignment horizontal="center"/>
    </xf>
    <xf numFmtId="0" fontId="18" fillId="0" borderId="65" xfId="0" applyFont="1" applyBorder="1" applyAlignment="1">
      <alignment horizontal="center"/>
    </xf>
    <xf numFmtId="0" fontId="0" fillId="26" borderId="65" xfId="0" applyFill="1" applyBorder="1"/>
    <xf numFmtId="0" fontId="18" fillId="0" borderId="65" xfId="0" applyFont="1" applyBorder="1"/>
    <xf numFmtId="0" fontId="17" fillId="0" borderId="0" xfId="7" applyFont="1" applyAlignment="1">
      <alignment horizontal="center" wrapText="1"/>
    </xf>
    <xf numFmtId="0" fontId="0" fillId="50" borderId="0" xfId="0" applyFill="1"/>
    <xf numFmtId="0" fontId="6" fillId="8" borderId="1" xfId="0" applyFont="1" applyFill="1" applyBorder="1" applyAlignment="1">
      <alignment horizontal="center" vertical="center" wrapText="1"/>
    </xf>
    <xf numFmtId="0" fontId="0" fillId="19" borderId="0" xfId="0" applyFill="1" applyAlignment="1">
      <alignment horizontal="center" vertical="center"/>
    </xf>
    <xf numFmtId="0" fontId="5" fillId="0" borderId="14" xfId="0" applyFont="1" applyBorder="1"/>
    <xf numFmtId="0" fontId="8" fillId="29" borderId="14" xfId="0" applyFont="1" applyFill="1" applyBorder="1" applyAlignment="1">
      <alignment vertical="center" wrapText="1"/>
    </xf>
    <xf numFmtId="0" fontId="5" fillId="29" borderId="14" xfId="0" applyFont="1" applyFill="1" applyBorder="1" applyAlignment="1">
      <alignment vertical="center" wrapText="1"/>
    </xf>
    <xf numFmtId="0" fontId="0" fillId="9" borderId="14" xfId="0" applyFill="1" applyBorder="1"/>
    <xf numFmtId="0" fontId="5" fillId="11" borderId="14" xfId="0" applyFont="1" applyFill="1" applyBorder="1" applyAlignment="1">
      <alignment vertical="center" wrapText="1"/>
    </xf>
    <xf numFmtId="0" fontId="5" fillId="11" borderId="14" xfId="0" applyFont="1" applyFill="1" applyBorder="1" applyAlignment="1">
      <alignment horizontal="center" vertical="center" wrapText="1"/>
    </xf>
    <xf numFmtId="0" fontId="5" fillId="28" borderId="14" xfId="0" applyFont="1" applyFill="1" applyBorder="1" applyAlignment="1">
      <alignment vertical="center" wrapText="1"/>
    </xf>
    <xf numFmtId="0" fontId="5" fillId="0" borderId="14" xfId="0" applyFont="1" applyBorder="1" applyAlignment="1">
      <alignment vertical="center"/>
    </xf>
    <xf numFmtId="0" fontId="5" fillId="30" borderId="14" xfId="0" applyFont="1" applyFill="1" applyBorder="1" applyAlignment="1">
      <alignment vertical="center" wrapText="1"/>
    </xf>
    <xf numFmtId="0" fontId="8" fillId="30" borderId="14" xfId="0" applyFont="1" applyFill="1" applyBorder="1" applyAlignment="1">
      <alignment vertical="center" wrapText="1"/>
    </xf>
    <xf numFmtId="0" fontId="7" fillId="30" borderId="14" xfId="0" applyFont="1" applyFill="1" applyBorder="1" applyAlignment="1">
      <alignment vertical="center"/>
    </xf>
    <xf numFmtId="0" fontId="5" fillId="11" borderId="14" xfId="0" applyFont="1" applyFill="1" applyBorder="1" applyAlignment="1">
      <alignment vertical="center"/>
    </xf>
    <xf numFmtId="0" fontId="0" fillId="12" borderId="67" xfId="0" applyFill="1" applyBorder="1" applyAlignment="1">
      <alignment horizontal="center" vertical="center"/>
    </xf>
    <xf numFmtId="0" fontId="0" fillId="12" borderId="69" xfId="0" applyFill="1" applyBorder="1" applyAlignment="1">
      <alignment horizontal="center" vertical="center"/>
    </xf>
    <xf numFmtId="0" fontId="0" fillId="12" borderId="70" xfId="0" applyFill="1" applyBorder="1" applyAlignment="1">
      <alignment horizontal="center" vertical="center"/>
    </xf>
    <xf numFmtId="0" fontId="0" fillId="12" borderId="71" xfId="0" applyFill="1" applyBorder="1" applyAlignment="1">
      <alignment horizontal="center" vertical="center"/>
    </xf>
    <xf numFmtId="0" fontId="0" fillId="12" borderId="72" xfId="0" applyFill="1" applyBorder="1" applyAlignment="1">
      <alignment horizontal="center" vertical="center"/>
    </xf>
    <xf numFmtId="0" fontId="0" fillId="12" borderId="73" xfId="0" applyFill="1" applyBorder="1" applyAlignment="1">
      <alignment horizontal="center" vertical="center"/>
    </xf>
    <xf numFmtId="0" fontId="0" fillId="0" borderId="74" xfId="0" applyBorder="1" applyAlignment="1">
      <alignment horizontal="center" vertical="center"/>
    </xf>
    <xf numFmtId="0" fontId="0" fillId="0" borderId="1" xfId="0" applyBorder="1" applyAlignment="1">
      <alignment horizontal="center" vertical="center"/>
    </xf>
    <xf numFmtId="0" fontId="0" fillId="12" borderId="76" xfId="0" applyFill="1" applyBorder="1" applyAlignment="1">
      <alignment horizontal="center" vertical="center"/>
    </xf>
    <xf numFmtId="0" fontId="0" fillId="12" borderId="77" xfId="0" applyFill="1" applyBorder="1" applyAlignment="1">
      <alignment horizontal="center" vertical="center"/>
    </xf>
    <xf numFmtId="0" fontId="0" fillId="12" borderId="79" xfId="0" applyFill="1" applyBorder="1" applyAlignment="1">
      <alignment horizontal="center" vertical="center"/>
    </xf>
    <xf numFmtId="0" fontId="0" fillId="12" borderId="81" xfId="0" applyFill="1" applyBorder="1" applyAlignment="1">
      <alignment horizontal="center" vertical="center"/>
    </xf>
    <xf numFmtId="0" fontId="0" fillId="12" borderId="82" xfId="0" applyFill="1" applyBorder="1" applyAlignment="1">
      <alignment horizontal="center" vertical="center"/>
    </xf>
    <xf numFmtId="0" fontId="5" fillId="0" borderId="10" xfId="0" applyFont="1" applyBorder="1"/>
    <xf numFmtId="0" fontId="0" fillId="12" borderId="85" xfId="0" applyFill="1" applyBorder="1" applyAlignment="1">
      <alignment horizontal="center" vertical="center"/>
    </xf>
    <xf numFmtId="0" fontId="0" fillId="12" borderId="91" xfId="0" applyFill="1" applyBorder="1" applyAlignment="1">
      <alignment horizontal="center" vertical="center"/>
    </xf>
    <xf numFmtId="0" fontId="0" fillId="0" borderId="92" xfId="0" applyBorder="1" applyAlignment="1">
      <alignment horizontal="center" vertical="center"/>
    </xf>
    <xf numFmtId="0" fontId="0" fillId="0" borderId="93" xfId="0" applyBorder="1" applyAlignment="1">
      <alignment horizontal="center" vertical="center"/>
    </xf>
    <xf numFmtId="0" fontId="0" fillId="0" borderId="94" xfId="0" applyBorder="1" applyAlignment="1">
      <alignment horizontal="center" vertical="center"/>
    </xf>
    <xf numFmtId="0" fontId="0" fillId="0" borderId="95" xfId="0" applyBorder="1" applyAlignment="1">
      <alignment horizontal="center" vertical="center"/>
    </xf>
    <xf numFmtId="49" fontId="17" fillId="51" borderId="0" xfId="2" applyNumberFormat="1" applyFont="1" applyFill="1" applyAlignment="1">
      <alignment horizontal="center" vertical="center"/>
    </xf>
    <xf numFmtId="0" fontId="0" fillId="0" borderId="96" xfId="0" applyBorder="1"/>
    <xf numFmtId="0" fontId="0" fillId="0" borderId="97" xfId="0" applyBorder="1"/>
    <xf numFmtId="166" fontId="0" fillId="0" borderId="97" xfId="0" applyNumberFormat="1" applyBorder="1"/>
    <xf numFmtId="0" fontId="0" fillId="0" borderId="97" xfId="0" applyBorder="1" applyAlignment="1">
      <alignment horizontal="center"/>
    </xf>
    <xf numFmtId="0" fontId="0" fillId="26" borderId="97" xfId="0" applyFill="1" applyBorder="1"/>
    <xf numFmtId="0" fontId="17" fillId="22" borderId="14" xfId="2" applyFont="1" applyFill="1" applyBorder="1" applyAlignment="1">
      <alignment horizontal="center" vertical="center"/>
    </xf>
    <xf numFmtId="0" fontId="0" fillId="52" borderId="0" xfId="0" applyFill="1"/>
    <xf numFmtId="49" fontId="17" fillId="46" borderId="0" xfId="2" applyNumberFormat="1" applyFont="1" applyFill="1" applyAlignment="1">
      <alignment horizontal="center" vertical="center"/>
    </xf>
    <xf numFmtId="0" fontId="53" fillId="0" borderId="0" xfId="0" applyFont="1"/>
    <xf numFmtId="49" fontId="17" fillId="53" borderId="0" xfId="2" applyNumberFormat="1" applyFont="1" applyFill="1" applyAlignment="1">
      <alignment horizontal="center" vertical="center"/>
    </xf>
    <xf numFmtId="0" fontId="0" fillId="0" borderId="6" xfId="0" applyBorder="1"/>
    <xf numFmtId="166" fontId="0" fillId="0" borderId="6" xfId="0" applyNumberFormat="1" applyBorder="1"/>
    <xf numFmtId="0" fontId="0" fillId="0" borderId="6" xfId="0" applyBorder="1" applyAlignment="1">
      <alignment horizontal="center"/>
    </xf>
    <xf numFmtId="0" fontId="0" fillId="26" borderId="6" xfId="0" applyFill="1" applyBorder="1"/>
    <xf numFmtId="0" fontId="0" fillId="0" borderId="9" xfId="0" applyBorder="1"/>
    <xf numFmtId="166" fontId="0" fillId="0" borderId="9" xfId="0" applyNumberFormat="1" applyBorder="1"/>
    <xf numFmtId="0" fontId="0" fillId="0" borderId="9" xfId="0" applyBorder="1" applyAlignment="1">
      <alignment horizontal="center"/>
    </xf>
    <xf numFmtId="0" fontId="18" fillId="0" borderId="9" xfId="0" applyFont="1" applyBorder="1"/>
    <xf numFmtId="0" fontId="18" fillId="26" borderId="9" xfId="0" applyFont="1" applyFill="1" applyBorder="1"/>
    <xf numFmtId="0" fontId="0" fillId="26" borderId="9" xfId="0" applyFill="1" applyBorder="1"/>
    <xf numFmtId="0" fontId="18" fillId="26" borderId="65" xfId="0" applyFont="1" applyFill="1" applyBorder="1"/>
    <xf numFmtId="0" fontId="23" fillId="11" borderId="0" xfId="0" applyFont="1" applyFill="1" applyAlignment="1">
      <alignment horizontal="center" vertical="center" wrapText="1"/>
    </xf>
    <xf numFmtId="0" fontId="23" fillId="11" borderId="0" xfId="7" applyFont="1" applyFill="1" applyAlignment="1">
      <alignment horizontal="center" vertical="center"/>
    </xf>
    <xf numFmtId="0" fontId="23" fillId="0" borderId="0" xfId="0" quotePrefix="1" applyFont="1" applyAlignment="1">
      <alignment horizontal="left" vertical="top" wrapText="1"/>
    </xf>
    <xf numFmtId="49" fontId="17" fillId="0" borderId="20" xfId="2" applyNumberFormat="1" applyFont="1" applyBorder="1" applyAlignment="1">
      <alignment horizontal="center" vertical="center"/>
    </xf>
    <xf numFmtId="49" fontId="17" fillId="0" borderId="50" xfId="2" applyNumberFormat="1" applyFont="1" applyBorder="1" applyAlignment="1">
      <alignment horizontal="center" vertical="center"/>
    </xf>
    <xf numFmtId="49" fontId="17" fillId="0" borderId="40" xfId="2" applyNumberFormat="1" applyFont="1" applyBorder="1" applyAlignment="1">
      <alignment horizontal="center" vertical="center"/>
    </xf>
    <xf numFmtId="0" fontId="17" fillId="0" borderId="16" xfId="2" applyFont="1" applyBorder="1" applyAlignment="1">
      <alignment horizontal="center" vertical="center"/>
    </xf>
    <xf numFmtId="0" fontId="17" fillId="20" borderId="16" xfId="2" applyFont="1" applyFill="1" applyBorder="1" applyAlignment="1">
      <alignment horizontal="center" vertical="center"/>
    </xf>
    <xf numFmtId="0" fontId="17" fillId="13" borderId="16" xfId="2" applyFont="1" applyFill="1" applyBorder="1" applyAlignment="1">
      <alignment horizontal="center" vertical="center"/>
    </xf>
    <xf numFmtId="0" fontId="2" fillId="24" borderId="16" xfId="4" applyBorder="1" applyAlignment="1">
      <alignment horizontal="center" vertical="center"/>
    </xf>
    <xf numFmtId="0" fontId="2" fillId="23" borderId="16" xfId="3" applyBorder="1" applyAlignment="1">
      <alignment horizontal="center" vertical="center"/>
    </xf>
    <xf numFmtId="0" fontId="17" fillId="22" borderId="16" xfId="2" applyFont="1" applyFill="1" applyBorder="1" applyAlignment="1">
      <alignment horizontal="center" vertical="center"/>
    </xf>
    <xf numFmtId="0" fontId="17" fillId="11" borderId="16" xfId="2" applyFont="1" applyFill="1" applyBorder="1" applyAlignment="1">
      <alignment horizontal="center" vertical="center"/>
    </xf>
    <xf numFmtId="0" fontId="17" fillId="19" borderId="16" xfId="2" applyFont="1" applyFill="1" applyBorder="1" applyAlignment="1">
      <alignment horizontal="center" vertical="center"/>
    </xf>
    <xf numFmtId="0" fontId="2" fillId="25" borderId="16" xfId="5" applyBorder="1" applyAlignment="1">
      <alignment horizontal="center" vertical="center"/>
    </xf>
    <xf numFmtId="0" fontId="17" fillId="0" borderId="44" xfId="2" applyFont="1" applyBorder="1" applyAlignment="1">
      <alignment horizontal="center" vertical="center"/>
    </xf>
    <xf numFmtId="0" fontId="2" fillId="24" borderId="0" xfId="4" applyBorder="1" applyAlignment="1">
      <alignment horizontal="center" vertical="center"/>
    </xf>
    <xf numFmtId="0" fontId="2" fillId="23" borderId="0" xfId="3" applyBorder="1" applyAlignment="1">
      <alignment horizontal="center" vertical="center"/>
    </xf>
    <xf numFmtId="0" fontId="2" fillId="25" borderId="0" xfId="5" applyBorder="1" applyAlignment="1">
      <alignment horizontal="center" vertical="center"/>
    </xf>
    <xf numFmtId="0" fontId="17" fillId="0" borderId="99" xfId="2" applyFont="1" applyBorder="1" applyAlignment="1">
      <alignment horizontal="center" vertical="center"/>
    </xf>
    <xf numFmtId="0" fontId="17" fillId="0" borderId="18" xfId="2" applyFont="1" applyBorder="1" applyAlignment="1">
      <alignment horizontal="center" vertical="center"/>
    </xf>
    <xf numFmtId="0" fontId="17" fillId="20" borderId="18" xfId="2" applyFont="1" applyFill="1" applyBorder="1" applyAlignment="1">
      <alignment horizontal="center" vertical="center"/>
    </xf>
    <xf numFmtId="0" fontId="17" fillId="13" borderId="18" xfId="2" applyFont="1" applyFill="1" applyBorder="1" applyAlignment="1">
      <alignment horizontal="center" vertical="center"/>
    </xf>
    <xf numFmtId="0" fontId="2" fillId="24" borderId="18" xfId="4" applyBorder="1" applyAlignment="1">
      <alignment horizontal="center" vertical="center"/>
    </xf>
    <xf numFmtId="0" fontId="2" fillId="23" borderId="18" xfId="3" applyBorder="1" applyAlignment="1">
      <alignment horizontal="center" vertical="center"/>
    </xf>
    <xf numFmtId="0" fontId="17" fillId="22" borderId="18" xfId="2" applyFont="1" applyFill="1" applyBorder="1" applyAlignment="1">
      <alignment horizontal="center" vertical="center"/>
    </xf>
    <xf numFmtId="0" fontId="25" fillId="11" borderId="18" xfId="2" applyFont="1" applyFill="1" applyBorder="1" applyAlignment="1">
      <alignment horizontal="center" vertical="center"/>
    </xf>
    <xf numFmtId="0" fontId="17" fillId="19" borderId="18" xfId="2" applyFont="1" applyFill="1" applyBorder="1" applyAlignment="1">
      <alignment horizontal="center" vertical="center"/>
    </xf>
    <xf numFmtId="0" fontId="2" fillId="25" borderId="18" xfId="5" applyBorder="1" applyAlignment="1">
      <alignment horizontal="center" vertical="center"/>
    </xf>
    <xf numFmtId="0" fontId="17" fillId="0" borderId="100" xfId="2" applyFont="1" applyBorder="1" applyAlignment="1">
      <alignment horizontal="center" vertical="center"/>
    </xf>
    <xf numFmtId="0" fontId="0" fillId="11" borderId="14" xfId="0" applyFill="1" applyBorder="1" applyAlignment="1">
      <alignment horizontal="center" vertical="center" wrapText="1"/>
    </xf>
    <xf numFmtId="0" fontId="50" fillId="12" borderId="80" xfId="0" applyFont="1" applyFill="1" applyBorder="1" applyAlignment="1">
      <alignment horizontal="center" vertical="center"/>
    </xf>
    <xf numFmtId="0" fontId="43" fillId="12" borderId="78" xfId="0" applyFont="1" applyFill="1" applyBorder="1" applyAlignment="1">
      <alignment horizontal="center" vertical="center"/>
    </xf>
    <xf numFmtId="0" fontId="43" fillId="12" borderId="80" xfId="0" applyFont="1" applyFill="1" applyBorder="1" applyAlignment="1">
      <alignment horizontal="center" vertical="center"/>
    </xf>
    <xf numFmtId="0" fontId="0" fillId="0" borderId="101" xfId="0" applyBorder="1"/>
    <xf numFmtId="166" fontId="0" fillId="0" borderId="101" xfId="0" applyNumberFormat="1" applyBorder="1"/>
    <xf numFmtId="0" fontId="0" fillId="0" borderId="101" xfId="0" applyBorder="1" applyAlignment="1">
      <alignment horizontal="center"/>
    </xf>
    <xf numFmtId="0" fontId="0" fillId="26" borderId="101" xfId="0" applyFill="1" applyBorder="1"/>
    <xf numFmtId="3" fontId="22" fillId="0" borderId="0" xfId="0" applyNumberFormat="1" applyFont="1" applyAlignment="1">
      <alignment horizontal="center" vertical="center" wrapText="1"/>
    </xf>
    <xf numFmtId="0" fontId="25" fillId="11" borderId="20" xfId="2" applyFont="1" applyFill="1" applyBorder="1" applyAlignment="1">
      <alignment horizontal="center" vertical="center"/>
    </xf>
    <xf numFmtId="0" fontId="25" fillId="11" borderId="40" xfId="2" applyFont="1" applyFill="1" applyBorder="1" applyAlignment="1">
      <alignment horizontal="center" vertical="center"/>
    </xf>
    <xf numFmtId="0" fontId="17" fillId="36" borderId="0" xfId="2" applyFont="1" applyFill="1" applyAlignment="1">
      <alignment horizontal="center"/>
    </xf>
    <xf numFmtId="49" fontId="17" fillId="46" borderId="16" xfId="7" applyNumberFormat="1" applyFont="1" applyFill="1" applyBorder="1" applyAlignment="1">
      <alignment horizontal="center" vertical="center"/>
    </xf>
    <xf numFmtId="49" fontId="17" fillId="46" borderId="18" xfId="7" applyNumberFormat="1" applyFont="1" applyFill="1" applyBorder="1" applyAlignment="1">
      <alignment horizontal="center" vertical="center"/>
    </xf>
    <xf numFmtId="49" fontId="17" fillId="34" borderId="0" xfId="7" applyNumberFormat="1" applyFont="1" applyFill="1" applyAlignment="1">
      <alignment horizontal="center" vertical="center"/>
    </xf>
    <xf numFmtId="0" fontId="25" fillId="0" borderId="0" xfId="0" applyFont="1" applyAlignment="1">
      <alignment horizontal="center" vertical="center" wrapText="1"/>
    </xf>
    <xf numFmtId="0" fontId="21" fillId="13" borderId="0" xfId="0" applyFont="1" applyFill="1" applyAlignment="1">
      <alignment horizontal="center" vertical="center" wrapText="1"/>
    </xf>
    <xf numFmtId="0" fontId="17" fillId="0" borderId="0" xfId="0" applyFont="1" applyAlignment="1">
      <alignment horizontal="center" vertical="center"/>
    </xf>
    <xf numFmtId="0" fontId="17" fillId="0" borderId="18" xfId="0" applyFont="1" applyBorder="1" applyAlignment="1">
      <alignment horizontal="center" vertical="center"/>
    </xf>
    <xf numFmtId="0" fontId="17" fillId="10" borderId="0" xfId="0" applyFont="1" applyFill="1" applyAlignment="1">
      <alignment horizontal="center" vertical="center"/>
    </xf>
    <xf numFmtId="49" fontId="17" fillId="0" borderId="16" xfId="7" applyNumberFormat="1" applyFont="1" applyBorder="1" applyAlignment="1">
      <alignment horizontal="center" vertical="center"/>
    </xf>
    <xf numFmtId="0" fontId="56" fillId="20" borderId="0" xfId="0" applyFont="1" applyFill="1" applyAlignment="1">
      <alignment horizontal="center"/>
    </xf>
    <xf numFmtId="49" fontId="17" fillId="0" borderId="0" xfId="7" applyNumberFormat="1" applyFont="1" applyAlignment="1">
      <alignment horizontal="left" vertical="center" wrapText="1"/>
    </xf>
    <xf numFmtId="0" fontId="37" fillId="0" borderId="0" xfId="0" applyFont="1" applyAlignment="1">
      <alignment vertical="center" wrapText="1"/>
    </xf>
    <xf numFmtId="0" fontId="56" fillId="20" borderId="0" xfId="0" applyFont="1" applyFill="1" applyAlignment="1">
      <alignment horizontal="center" vertical="center"/>
    </xf>
    <xf numFmtId="0" fontId="38" fillId="20" borderId="0" xfId="0" applyFont="1" applyFill="1" applyAlignment="1">
      <alignment horizontal="center" vertical="center" wrapText="1"/>
    </xf>
    <xf numFmtId="0" fontId="22" fillId="0" borderId="13" xfId="0" applyFont="1" applyBorder="1" applyAlignment="1">
      <alignment horizontal="center" vertical="center" wrapText="1"/>
    </xf>
    <xf numFmtId="0" fontId="37" fillId="0" borderId="24" xfId="0" applyFont="1" applyBorder="1" applyAlignment="1">
      <alignment horizontal="center" vertical="center" wrapText="1"/>
    </xf>
    <xf numFmtId="164" fontId="17" fillId="0" borderId="16" xfId="7" applyNumberFormat="1" applyFont="1" applyBorder="1" applyAlignment="1">
      <alignment horizontal="center" vertical="center"/>
    </xf>
    <xf numFmtId="164" fontId="17" fillId="0" borderId="16" xfId="7" applyNumberFormat="1" applyFont="1" applyBorder="1" applyAlignment="1">
      <alignment horizontal="left" vertical="center" wrapText="1"/>
    </xf>
    <xf numFmtId="0" fontId="37" fillId="0" borderId="16" xfId="0" applyFont="1" applyBorder="1" applyAlignment="1">
      <alignment horizontal="center" vertical="center" wrapText="1"/>
    </xf>
    <xf numFmtId="0" fontId="22" fillId="0" borderId="16" xfId="0" applyFont="1" applyBorder="1" applyAlignment="1">
      <alignment horizontal="center" vertical="center" wrapText="1"/>
    </xf>
    <xf numFmtId="0" fontId="17" fillId="0" borderId="16" xfId="0" applyFont="1" applyBorder="1" applyAlignment="1">
      <alignment horizontal="center" vertical="center" wrapText="1"/>
    </xf>
    <xf numFmtId="0" fontId="23" fillId="0" borderId="16" xfId="0" applyFont="1" applyBorder="1" applyAlignment="1">
      <alignment horizontal="center" vertical="center" wrapText="1"/>
    </xf>
    <xf numFmtId="0" fontId="17" fillId="13" borderId="16" xfId="0" applyFont="1" applyFill="1" applyBorder="1" applyAlignment="1">
      <alignment horizontal="center" vertical="center" wrapText="1"/>
    </xf>
    <xf numFmtId="0" fontId="17" fillId="22" borderId="16" xfId="0" applyFont="1" applyFill="1" applyBorder="1" applyAlignment="1">
      <alignment horizontal="center" vertical="center" wrapText="1"/>
    </xf>
    <xf numFmtId="0" fontId="17" fillId="11" borderId="16" xfId="0" applyFont="1" applyFill="1" applyBorder="1" applyAlignment="1">
      <alignment horizontal="center" vertical="center" wrapText="1"/>
    </xf>
    <xf numFmtId="0" fontId="23" fillId="19" borderId="16" xfId="0" applyFont="1" applyFill="1" applyBorder="1" applyAlignment="1">
      <alignment horizontal="center" vertical="center" wrapText="1"/>
    </xf>
    <xf numFmtId="0" fontId="17" fillId="19" borderId="16" xfId="0" applyFont="1" applyFill="1" applyBorder="1" applyAlignment="1">
      <alignment horizontal="center" vertical="center" wrapText="1"/>
    </xf>
    <xf numFmtId="0" fontId="17" fillId="0" borderId="16" xfId="0" applyFont="1" applyBorder="1" applyAlignment="1">
      <alignment wrapText="1"/>
    </xf>
    <xf numFmtId="0" fontId="17" fillId="0" borderId="16" xfId="2" applyFont="1" applyBorder="1"/>
    <xf numFmtId="0" fontId="17" fillId="0" borderId="16" xfId="7" applyFont="1" applyBorder="1"/>
    <xf numFmtId="0" fontId="37" fillId="0" borderId="18" xfId="0" applyFont="1" applyBorder="1" applyAlignment="1">
      <alignment horizontal="center" vertical="center" wrapText="1"/>
    </xf>
    <xf numFmtId="0" fontId="17" fillId="0" borderId="0" xfId="0" quotePrefix="1" applyFont="1" applyAlignment="1">
      <alignment horizontal="left" vertical="top" wrapText="1"/>
    </xf>
    <xf numFmtId="0" fontId="17" fillId="0" borderId="0" xfId="7" quotePrefix="1" applyFont="1" applyAlignment="1">
      <alignment horizontal="center" vertical="center"/>
    </xf>
    <xf numFmtId="0" fontId="0" fillId="0" borderId="3" xfId="0" applyBorder="1" applyAlignment="1">
      <alignment horizontal="center" vertical="center"/>
    </xf>
    <xf numFmtId="16" fontId="0" fillId="0" borderId="0" xfId="0" applyNumberFormat="1" applyAlignment="1">
      <alignment horizontal="left" vertical="center"/>
    </xf>
    <xf numFmtId="0" fontId="18" fillId="0" borderId="3" xfId="0" applyFont="1" applyBorder="1"/>
    <xf numFmtId="0" fontId="18" fillId="0" borderId="3" xfId="0" applyFont="1" applyBorder="1" applyAlignment="1">
      <alignment horizontal="center" vertical="center"/>
    </xf>
    <xf numFmtId="0" fontId="0" fillId="11" borderId="3" xfId="0" applyFill="1" applyBorder="1" applyAlignment="1">
      <alignment vertical="center" wrapText="1"/>
    </xf>
    <xf numFmtId="0" fontId="0" fillId="11" borderId="3" xfId="0" applyFill="1" applyBorder="1"/>
    <xf numFmtId="0" fontId="0" fillId="28" borderId="3" xfId="0" applyFill="1" applyBorder="1" applyAlignment="1">
      <alignment vertical="center" wrapText="1"/>
    </xf>
    <xf numFmtId="0" fontId="0" fillId="28" borderId="3" xfId="0" applyFill="1" applyBorder="1"/>
    <xf numFmtId="0" fontId="18" fillId="0" borderId="3" xfId="0" applyFont="1" applyBorder="1" applyAlignment="1">
      <alignment vertical="center"/>
    </xf>
    <xf numFmtId="0" fontId="37" fillId="22" borderId="0" xfId="0" applyFont="1" applyFill="1" applyAlignment="1">
      <alignment horizontal="center" vertical="center" wrapText="1"/>
    </xf>
    <xf numFmtId="0" fontId="57" fillId="0" borderId="0" xfId="0" applyFont="1" applyAlignment="1">
      <alignment horizontal="center" vertical="center" wrapText="1"/>
    </xf>
    <xf numFmtId="164" fontId="17" fillId="38" borderId="0" xfId="7" applyNumberFormat="1" applyFont="1" applyFill="1" applyAlignment="1">
      <alignment horizontal="center" vertical="center"/>
    </xf>
    <xf numFmtId="164" fontId="17" fillId="32" borderId="0" xfId="7" applyNumberFormat="1" applyFont="1" applyFill="1" applyAlignment="1">
      <alignment horizontal="center" vertical="center"/>
    </xf>
    <xf numFmtId="0" fontId="0" fillId="11" borderId="3" xfId="0" applyFill="1" applyBorder="1" applyAlignment="1">
      <alignment horizontal="center" vertical="center"/>
    </xf>
    <xf numFmtId="0" fontId="0" fillId="9" borderId="3" xfId="0" applyFill="1" applyBorder="1" applyAlignment="1">
      <alignment horizontal="center" vertical="center"/>
    </xf>
    <xf numFmtId="0" fontId="0" fillId="52" borderId="3" xfId="0" applyFill="1" applyBorder="1" applyAlignment="1">
      <alignment horizontal="center" vertical="center"/>
    </xf>
    <xf numFmtId="0" fontId="0" fillId="12" borderId="102" xfId="0" applyFill="1" applyBorder="1" applyAlignment="1">
      <alignment horizontal="center" vertical="center"/>
    </xf>
    <xf numFmtId="0" fontId="0" fillId="20" borderId="104" xfId="0" applyFill="1" applyBorder="1" applyAlignment="1">
      <alignment horizontal="center" vertical="center"/>
    </xf>
    <xf numFmtId="0" fontId="25" fillId="0" borderId="0" xfId="2" applyFont="1" applyAlignment="1">
      <alignment horizontal="left"/>
    </xf>
    <xf numFmtId="0" fontId="16" fillId="0" borderId="0" xfId="0" applyFont="1"/>
    <xf numFmtId="0" fontId="5" fillId="11" borderId="83" xfId="0" applyFont="1" applyFill="1" applyBorder="1" applyAlignment="1">
      <alignment horizontal="center" vertical="center" wrapText="1"/>
    </xf>
    <xf numFmtId="0" fontId="5" fillId="11" borderId="83" xfId="0" applyFont="1" applyFill="1" applyBorder="1" applyAlignment="1">
      <alignment vertical="center"/>
    </xf>
    <xf numFmtId="0" fontId="5" fillId="11" borderId="105" xfId="0" applyFont="1" applyFill="1" applyBorder="1" applyAlignment="1">
      <alignment vertical="center" wrapText="1"/>
    </xf>
    <xf numFmtId="0" fontId="0" fillId="9" borderId="105" xfId="0" applyFill="1" applyBorder="1" applyAlignment="1">
      <alignment horizontal="center" vertical="center" wrapText="1"/>
    </xf>
    <xf numFmtId="0" fontId="0" fillId="28" borderId="105" xfId="0" applyFill="1" applyBorder="1" applyAlignment="1">
      <alignment vertical="center" wrapText="1"/>
    </xf>
    <xf numFmtId="0" fontId="31" fillId="20" borderId="0" xfId="0" applyFont="1" applyFill="1" applyAlignment="1">
      <alignment horizontal="center" vertical="center" wrapText="1"/>
    </xf>
    <xf numFmtId="0" fontId="0" fillId="0" borderId="0" xfId="0" quotePrefix="1"/>
    <xf numFmtId="0" fontId="16" fillId="0" borderId="0" xfId="0" applyFont="1" applyAlignment="1">
      <alignment horizontal="center" vertical="center"/>
    </xf>
    <xf numFmtId="0" fontId="16" fillId="0" borderId="0" xfId="0" applyFont="1" applyAlignment="1">
      <alignment horizontal="center" vertical="center" wrapText="1"/>
    </xf>
    <xf numFmtId="0" fontId="20" fillId="0" borderId="0" xfId="7" applyFont="1" applyAlignment="1">
      <alignment horizontal="center" vertical="center" wrapText="1"/>
      <extLst>
        <ext xmlns:xfpb="http://schemas.microsoft.com/office/spreadsheetml/2022/featurepropertybag" uri="{C7286773-470A-42A8-94C5-96B5CB345126}">
          <xfpb:xfComplement i="0"/>
        </ext>
      </extLst>
    </xf>
    <xf numFmtId="0" fontId="17" fillId="0" borderId="15" xfId="7" applyFont="1" applyBorder="1" applyAlignment="1">
      <alignment horizontal="center" vertical="center" wrapText="1"/>
    </xf>
    <xf numFmtId="0" fontId="17" fillId="0" borderId="0" xfId="7" applyFont="1" applyAlignment="1">
      <alignment horizontal="center" vertical="center" wrapText="1"/>
    </xf>
    <xf numFmtId="0" fontId="17" fillId="28" borderId="0" xfId="0" applyFont="1" applyFill="1" applyAlignment="1">
      <alignment horizontal="center" vertical="center"/>
    </xf>
    <xf numFmtId="0" fontId="17" fillId="11" borderId="0" xfId="0" applyFont="1" applyFill="1" applyAlignment="1">
      <alignment horizontal="center" vertical="center"/>
    </xf>
    <xf numFmtId="0" fontId="48" fillId="12" borderId="75" xfId="0" applyFont="1" applyFill="1" applyBorder="1" applyAlignment="1">
      <alignment horizontal="center" vertical="center"/>
    </xf>
    <xf numFmtId="0" fontId="0" fillId="12" borderId="106" xfId="0" applyFill="1" applyBorder="1" applyAlignment="1">
      <alignment horizontal="center" vertical="center"/>
    </xf>
    <xf numFmtId="0" fontId="0" fillId="12" borderId="103" xfId="0" applyFill="1" applyBorder="1" applyAlignment="1">
      <alignment horizontal="center" vertical="center"/>
    </xf>
    <xf numFmtId="3" fontId="23" fillId="0" borderId="0" xfId="0" applyNumberFormat="1" applyFont="1" applyAlignment="1">
      <alignment horizontal="center" vertical="center" wrapText="1"/>
    </xf>
    <xf numFmtId="0" fontId="0" fillId="52" borderId="6" xfId="0" applyFill="1" applyBorder="1"/>
    <xf numFmtId="0" fontId="17" fillId="45" borderId="0" xfId="2" applyFont="1" applyFill="1" applyAlignment="1">
      <alignment horizontal="left"/>
    </xf>
    <xf numFmtId="49" fontId="23" fillId="0" borderId="0" xfId="2" applyNumberFormat="1" applyFont="1" applyAlignment="1">
      <alignment horizontal="center" vertical="center"/>
    </xf>
    <xf numFmtId="0" fontId="20" fillId="15" borderId="0" xfId="7" applyFont="1" applyFill="1" applyAlignment="1">
      <alignment horizontal="center" vertical="center" wrapText="1"/>
    </xf>
    <xf numFmtId="0" fontId="17" fillId="15" borderId="15" xfId="7" applyFont="1" applyFill="1" applyBorder="1" applyAlignment="1">
      <alignment horizontal="center" vertical="center" wrapText="1"/>
    </xf>
    <xf numFmtId="0" fontId="17" fillId="13" borderId="0" xfId="7" applyFont="1" applyFill="1" applyAlignment="1">
      <alignment horizontal="center" vertical="center" wrapText="1"/>
    </xf>
    <xf numFmtId="0" fontId="17" fillId="9" borderId="0" xfId="0" applyFont="1" applyFill="1" applyAlignment="1">
      <alignment horizontal="center" vertical="center"/>
    </xf>
    <xf numFmtId="0" fontId="17" fillId="32" borderId="0" xfId="0" applyFont="1" applyFill="1" applyAlignment="1">
      <alignment horizontal="center" vertical="center"/>
    </xf>
    <xf numFmtId="0" fontId="17" fillId="38" borderId="0" xfId="0" applyFont="1" applyFill="1" applyAlignment="1">
      <alignment horizontal="center" vertical="center"/>
    </xf>
    <xf numFmtId="0" fontId="17" fillId="48" borderId="0" xfId="0" applyFont="1" applyFill="1" applyAlignment="1">
      <alignment horizontal="center" vertical="center"/>
    </xf>
    <xf numFmtId="164" fontId="17" fillId="0" borderId="15" xfId="7" applyNumberFormat="1" applyFont="1" applyBorder="1" applyAlignment="1">
      <alignment horizontal="left" vertical="center" wrapText="1"/>
    </xf>
    <xf numFmtId="164" fontId="20" fillId="0" borderId="0" xfId="7" applyNumberFormat="1" applyFont="1" applyAlignment="1">
      <alignment horizontal="left" vertical="center" wrapText="1"/>
    </xf>
    <xf numFmtId="0" fontId="1" fillId="0" borderId="0" xfId="0" applyFont="1" applyAlignment="1">
      <alignment vertical="center" wrapText="1"/>
    </xf>
    <xf numFmtId="0" fontId="1" fillId="25" borderId="15" xfId="5" applyFont="1" applyBorder="1" applyAlignment="1">
      <alignment horizontal="center" vertical="center"/>
    </xf>
    <xf numFmtId="0" fontId="17" fillId="0" borderId="0" xfId="7" applyFont="1" applyAlignment="1">
      <alignment wrapText="1"/>
    </xf>
    <xf numFmtId="0" fontId="17" fillId="45" borderId="0" xfId="0" applyFont="1" applyFill="1" applyAlignment="1">
      <alignment horizontal="center" vertical="center"/>
    </xf>
    <xf numFmtId="0" fontId="59" fillId="0" borderId="0" xfId="0" applyFont="1" applyAlignment="1">
      <alignment horizontal="center" vertical="center"/>
    </xf>
    <xf numFmtId="0" fontId="22" fillId="28" borderId="0" xfId="0" applyFont="1" applyFill="1" applyAlignment="1">
      <alignment horizontal="center" vertical="center"/>
    </xf>
    <xf numFmtId="0" fontId="22" fillId="21" borderId="0" xfId="0" applyFont="1" applyFill="1" applyAlignment="1">
      <alignment horizontal="center" vertical="center" wrapText="1"/>
    </xf>
    <xf numFmtId="0" fontId="18" fillId="0" borderId="0" xfId="0" applyFont="1" applyAlignment="1">
      <alignment horizontal="left" vertical="center"/>
    </xf>
    <xf numFmtId="0" fontId="1" fillId="24" borderId="15" xfId="4" applyFont="1" applyBorder="1" applyAlignment="1">
      <alignment horizontal="center" vertical="center"/>
    </xf>
    <xf numFmtId="0" fontId="1" fillId="23" borderId="15" xfId="3" applyFont="1" applyBorder="1" applyAlignment="1">
      <alignment horizontal="center" vertical="center"/>
    </xf>
    <xf numFmtId="0" fontId="1" fillId="23" borderId="0" xfId="3" applyFont="1" applyAlignment="1">
      <alignment horizontal="center" vertical="center"/>
    </xf>
    <xf numFmtId="0" fontId="1" fillId="24" borderId="0" xfId="4" applyFont="1" applyAlignment="1">
      <alignment horizontal="center" vertical="center"/>
    </xf>
    <xf numFmtId="0" fontId="1" fillId="25" borderId="0" xfId="5" applyFont="1" applyAlignment="1">
      <alignment horizontal="center" vertical="center"/>
    </xf>
    <xf numFmtId="0" fontId="1" fillId="0" borderId="0" xfId="5" applyFont="1" applyFill="1" applyAlignment="1">
      <alignment horizontal="center" vertical="center"/>
    </xf>
    <xf numFmtId="0" fontId="1" fillId="32" borderId="0" xfId="0" applyFont="1" applyFill="1" applyAlignment="1">
      <alignment vertical="center" wrapText="1"/>
    </xf>
    <xf numFmtId="0" fontId="1" fillId="0" borderId="18" xfId="0" applyFont="1" applyBorder="1"/>
    <xf numFmtId="0" fontId="1" fillId="0" borderId="0" xfId="0" applyFont="1" applyAlignment="1">
      <alignment horizontal="center" vertical="center"/>
    </xf>
    <xf numFmtId="0" fontId="1" fillId="0" borderId="0" xfId="0" applyFont="1"/>
    <xf numFmtId="0" fontId="1" fillId="0" borderId="0" xfId="0" applyFont="1" applyAlignment="1">
      <alignment horizontal="left" vertical="center" wrapText="1"/>
    </xf>
    <xf numFmtId="0" fontId="1" fillId="0" borderId="18" xfId="0" applyFont="1" applyBorder="1" applyAlignment="1">
      <alignment horizontal="center" vertical="center"/>
    </xf>
    <xf numFmtId="0" fontId="1" fillId="0" borderId="18" xfId="0" applyFont="1" applyBorder="1" applyAlignment="1">
      <alignment horizontal="left" vertical="center" wrapText="1"/>
    </xf>
    <xf numFmtId="0" fontId="1" fillId="20" borderId="0" xfId="0" applyFont="1" applyFill="1" applyAlignment="1">
      <alignment horizontal="center" wrapText="1"/>
    </xf>
    <xf numFmtId="0" fontId="1" fillId="20" borderId="0" xfId="0" applyFont="1" applyFill="1" applyAlignment="1">
      <alignment horizontal="center" vertical="center" wrapText="1"/>
    </xf>
    <xf numFmtId="0" fontId="1" fillId="0" borderId="0" xfId="0" applyFont="1" applyAlignment="1">
      <alignment vertical="center"/>
    </xf>
    <xf numFmtId="0" fontId="1" fillId="20" borderId="18" xfId="0" applyFont="1" applyFill="1" applyBorder="1" applyAlignment="1">
      <alignment horizontal="center" vertical="center" wrapText="1"/>
    </xf>
    <xf numFmtId="0" fontId="1" fillId="0" borderId="0" xfId="0" applyFont="1" applyAlignment="1">
      <alignment wrapText="1"/>
    </xf>
    <xf numFmtId="0" fontId="1" fillId="0" borderId="0" xfId="0" quotePrefix="1" applyFont="1"/>
    <xf numFmtId="0" fontId="50" fillId="34" borderId="66" xfId="0" applyFont="1" applyFill="1" applyBorder="1" applyAlignment="1">
      <alignment horizontal="center" vertical="center"/>
    </xf>
    <xf numFmtId="0" fontId="50" fillId="34" borderId="68" xfId="0" applyFont="1" applyFill="1" applyBorder="1" applyAlignment="1">
      <alignment horizontal="center" vertical="center"/>
    </xf>
    <xf numFmtId="0" fontId="17" fillId="0" borderId="0" xfId="2" applyFont="1" applyAlignment="1">
      <alignment horizontal="center" wrapText="1"/>
    </xf>
    <xf numFmtId="0" fontId="18" fillId="26" borderId="97" xfId="0" applyFont="1" applyFill="1" applyBorder="1"/>
    <xf numFmtId="0" fontId="18" fillId="0" borderId="97" xfId="0" applyFont="1" applyBorder="1"/>
    <xf numFmtId="0" fontId="30" fillId="0" borderId="0" xfId="0" applyFont="1" applyAlignment="1">
      <alignment horizontal="center"/>
    </xf>
    <xf numFmtId="0" fontId="42" fillId="28" borderId="53" xfId="0" applyFont="1" applyFill="1" applyBorder="1" applyAlignment="1">
      <alignment horizontal="center" vertical="center"/>
    </xf>
    <xf numFmtId="0" fontId="0" fillId="28" borderId="85" xfId="0" applyFill="1" applyBorder="1" applyAlignment="1">
      <alignment horizontal="center" vertical="center"/>
    </xf>
    <xf numFmtId="0" fontId="0" fillId="28" borderId="63" xfId="0" applyFill="1" applyBorder="1" applyAlignment="1">
      <alignment horizontal="center" vertical="center"/>
    </xf>
    <xf numFmtId="0" fontId="0" fillId="28" borderId="53" xfId="0" applyFill="1" applyBorder="1" applyAlignment="1">
      <alignment horizontal="center" vertical="center"/>
    </xf>
    <xf numFmtId="0" fontId="0" fillId="28" borderId="60" xfId="0" applyFill="1" applyBorder="1" applyAlignment="1">
      <alignment horizontal="center" vertical="center"/>
    </xf>
    <xf numFmtId="49" fontId="17" fillId="28" borderId="0" xfId="2" applyNumberFormat="1" applyFont="1" applyFill="1" applyAlignment="1">
      <alignment horizontal="center" vertical="center"/>
    </xf>
    <xf numFmtId="0" fontId="23" fillId="0" borderId="0" xfId="0" applyFont="1"/>
    <xf numFmtId="49" fontId="17" fillId="0" borderId="0" xfId="7" applyNumberFormat="1" applyFont="1" applyAlignment="1">
      <alignment horizontal="center" vertical="center" wrapText="1"/>
    </xf>
    <xf numFmtId="0" fontId="16" fillId="0" borderId="0" xfId="0" applyFont="1" applyAlignment="1">
      <alignment horizontal="center"/>
    </xf>
    <xf numFmtId="0" fontId="60" fillId="0" borderId="0" xfId="0" applyFont="1" applyAlignment="1">
      <alignment horizontal="center" vertical="center"/>
    </xf>
    <xf numFmtId="0" fontId="61" fillId="0" borderId="0" xfId="0" applyFont="1" applyAlignment="1">
      <alignment horizontal="center" vertical="center" wrapText="1"/>
    </xf>
    <xf numFmtId="0" fontId="61" fillId="20" borderId="0" xfId="0" applyFont="1" applyFill="1" applyAlignment="1">
      <alignment horizontal="center" vertical="center" wrapText="1"/>
    </xf>
    <xf numFmtId="0" fontId="62" fillId="13" borderId="0" xfId="0" applyFont="1" applyFill="1" applyAlignment="1">
      <alignment horizontal="center" vertical="center" wrapText="1"/>
    </xf>
    <xf numFmtId="0" fontId="61" fillId="22" borderId="0" xfId="0" applyFont="1" applyFill="1" applyAlignment="1">
      <alignment horizontal="center" vertical="center" wrapText="1"/>
    </xf>
    <xf numFmtId="0" fontId="60" fillId="11" borderId="0" xfId="0" applyFont="1" applyFill="1" applyAlignment="1">
      <alignment horizontal="center" vertical="center" wrapText="1"/>
    </xf>
    <xf numFmtId="0" fontId="60" fillId="0" borderId="0" xfId="0" applyFont="1" applyAlignment="1">
      <alignment horizontal="center" vertical="center" wrapText="1"/>
    </xf>
    <xf numFmtId="0" fontId="60" fillId="0" borderId="0" xfId="2" applyFont="1" applyAlignment="1">
      <alignment horizontal="center" vertical="center"/>
    </xf>
    <xf numFmtId="0" fontId="61" fillId="0" borderId="0" xfId="0" quotePrefix="1" applyFont="1" applyAlignment="1">
      <alignment horizontal="left" vertical="top" wrapText="1"/>
    </xf>
    <xf numFmtId="0" fontId="60" fillId="13" borderId="0" xfId="0" applyFont="1" applyFill="1" applyAlignment="1">
      <alignment horizontal="center" vertical="center" wrapText="1"/>
    </xf>
    <xf numFmtId="164" fontId="60" fillId="0" borderId="0" xfId="7" applyNumberFormat="1" applyFont="1" applyAlignment="1">
      <alignment horizontal="center" vertical="center"/>
    </xf>
    <xf numFmtId="164" fontId="60" fillId="0" borderId="0" xfId="7" applyNumberFormat="1" applyFont="1" applyAlignment="1">
      <alignment horizontal="left" vertical="center" wrapText="1"/>
    </xf>
    <xf numFmtId="0" fontId="62" fillId="0" borderId="0" xfId="2" applyFont="1" applyAlignment="1">
      <alignment horizontal="center" vertical="center" wrapText="1"/>
    </xf>
    <xf numFmtId="0" fontId="60" fillId="0" borderId="0" xfId="7" applyFont="1" applyAlignment="1">
      <alignment horizontal="center" vertical="center"/>
    </xf>
    <xf numFmtId="0" fontId="60" fillId="19" borderId="0" xfId="7" applyFont="1" applyFill="1" applyAlignment="1">
      <alignment horizontal="center" vertical="center"/>
    </xf>
    <xf numFmtId="0" fontId="60" fillId="0" borderId="0" xfId="7" applyFont="1" applyAlignment="1">
      <alignment horizontal="center"/>
    </xf>
    <xf numFmtId="0" fontId="63" fillId="0" borderId="0" xfId="2" applyFont="1" applyAlignment="1">
      <alignment horizontal="center" vertical="center" wrapText="1"/>
    </xf>
    <xf numFmtId="0" fontId="5" fillId="28" borderId="83" xfId="0" applyFont="1" applyFill="1" applyBorder="1" applyAlignment="1">
      <alignment vertical="center" wrapText="1"/>
    </xf>
    <xf numFmtId="0" fontId="25" fillId="11" borderId="0" xfId="1" applyFont="1" applyFill="1" applyAlignment="1">
      <alignment horizontal="center" vertical="center" wrapText="1"/>
    </xf>
    <xf numFmtId="0" fontId="37" fillId="19" borderId="0" xfId="2" applyFont="1" applyFill="1" applyAlignment="1">
      <alignment horizontal="center" vertical="center"/>
    </xf>
    <xf numFmtId="49" fontId="17" fillId="39" borderId="0" xfId="2" applyNumberFormat="1" applyFont="1" applyFill="1" applyAlignment="1">
      <alignment horizontal="center" vertical="center"/>
    </xf>
    <xf numFmtId="49" fontId="17" fillId="41" borderId="0" xfId="2" applyNumberFormat="1" applyFont="1" applyFill="1" applyAlignment="1">
      <alignment horizontal="center" vertical="center"/>
    </xf>
    <xf numFmtId="0" fontId="17" fillId="20" borderId="0" xfId="2" applyFont="1" applyFill="1" applyAlignment="1">
      <alignment horizontal="left" vertical="center"/>
    </xf>
    <xf numFmtId="0" fontId="17" fillId="11" borderId="18" xfId="2" applyFont="1" applyFill="1" applyBorder="1" applyAlignment="1">
      <alignment horizontal="center" vertical="center"/>
    </xf>
    <xf numFmtId="165" fontId="17" fillId="0" borderId="98" xfId="2" applyNumberFormat="1" applyFont="1" applyBorder="1" applyAlignment="1">
      <alignment horizontal="center" vertical="center"/>
    </xf>
    <xf numFmtId="165" fontId="17" fillId="0" borderId="51" xfId="2" applyNumberFormat="1" applyFont="1" applyBorder="1" applyAlignment="1">
      <alignment horizontal="center" vertical="center"/>
    </xf>
    <xf numFmtId="165" fontId="17" fillId="0" borderId="46" xfId="2" applyNumberFormat="1" applyFont="1" applyBorder="1" applyAlignment="1">
      <alignment horizontal="center" vertical="center"/>
    </xf>
    <xf numFmtId="0" fontId="25" fillId="13" borderId="0" xfId="0" applyFont="1" applyFill="1" applyAlignment="1">
      <alignment horizontal="center" vertical="center" wrapText="1"/>
    </xf>
    <xf numFmtId="0" fontId="25" fillId="22" borderId="0" xfId="0" applyFont="1" applyFill="1" applyAlignment="1">
      <alignment horizontal="center" vertical="center" wrapText="1"/>
    </xf>
    <xf numFmtId="49" fontId="60" fillId="0" borderId="0" xfId="7" applyNumberFormat="1" applyFont="1" applyAlignment="1">
      <alignment horizontal="left" vertical="center" wrapText="1"/>
    </xf>
    <xf numFmtId="0" fontId="61" fillId="13" borderId="0" xfId="0" applyFont="1" applyFill="1" applyAlignment="1">
      <alignment horizontal="center" vertical="center" wrapText="1"/>
    </xf>
    <xf numFmtId="0" fontId="61" fillId="0" borderId="0" xfId="2" applyFont="1" applyAlignment="1">
      <alignment horizontal="center" vertical="center" wrapText="1"/>
    </xf>
    <xf numFmtId="0" fontId="60" fillId="0" borderId="0" xfId="7" applyFont="1" applyAlignment="1">
      <alignment wrapText="1"/>
    </xf>
    <xf numFmtId="49" fontId="60" fillId="0" borderId="0" xfId="7" applyNumberFormat="1" applyFont="1" applyAlignment="1">
      <alignment horizontal="center" vertical="center"/>
    </xf>
    <xf numFmtId="0" fontId="60" fillId="0" borderId="0" xfId="7" quotePrefix="1" applyFont="1" applyAlignment="1">
      <alignment horizontal="center" vertical="center"/>
    </xf>
    <xf numFmtId="0" fontId="0" fillId="0" borderId="85" xfId="0" applyBorder="1" applyAlignment="1">
      <alignment horizontal="center" vertical="center"/>
    </xf>
    <xf numFmtId="0" fontId="0" fillId="0" borderId="53" xfId="0" applyBorder="1" applyAlignment="1">
      <alignment horizontal="center" vertical="center"/>
    </xf>
    <xf numFmtId="0" fontId="0" fillId="0" borderId="71" xfId="0" applyBorder="1" applyAlignment="1">
      <alignment horizontal="center" vertical="center"/>
    </xf>
    <xf numFmtId="0" fontId="0" fillId="0" borderId="60" xfId="0" applyBorder="1" applyAlignment="1">
      <alignment horizontal="center" vertical="center"/>
    </xf>
    <xf numFmtId="0" fontId="0" fillId="0" borderId="107" xfId="0" applyBorder="1" applyAlignment="1">
      <alignment horizontal="center" vertical="center"/>
    </xf>
    <xf numFmtId="0" fontId="0" fillId="0" borderId="79" xfId="0" applyBorder="1" applyAlignment="1">
      <alignment horizontal="center" vertical="center"/>
    </xf>
    <xf numFmtId="0" fontId="0" fillId="0" borderId="81" xfId="0" applyBorder="1" applyAlignment="1">
      <alignment horizontal="center" vertical="center"/>
    </xf>
    <xf numFmtId="0" fontId="0" fillId="0" borderId="82" xfId="0" applyBorder="1" applyAlignment="1">
      <alignment horizontal="center" vertical="center"/>
    </xf>
    <xf numFmtId="0" fontId="50" fillId="34" borderId="63" xfId="0" applyFont="1" applyFill="1" applyBorder="1" applyAlignment="1">
      <alignment horizontal="center" vertical="center"/>
    </xf>
    <xf numFmtId="0" fontId="50" fillId="34" borderId="64" xfId="0" applyFont="1" applyFill="1" applyBorder="1" applyAlignment="1">
      <alignment horizontal="center" vertical="center"/>
    </xf>
    <xf numFmtId="0" fontId="50" fillId="34" borderId="57" xfId="0" applyFont="1" applyFill="1" applyBorder="1" applyAlignment="1">
      <alignment horizontal="center" vertical="center"/>
    </xf>
    <xf numFmtId="0" fontId="50" fillId="34" borderId="59" xfId="0" applyFont="1" applyFill="1" applyBorder="1" applyAlignment="1">
      <alignment horizontal="center" vertical="center"/>
    </xf>
    <xf numFmtId="0" fontId="42" fillId="28" borderId="63" xfId="0" applyFont="1" applyFill="1" applyBorder="1" applyAlignment="1">
      <alignment horizontal="center" vertical="center"/>
    </xf>
    <xf numFmtId="0" fontId="42" fillId="28" borderId="60" xfId="0" applyFont="1" applyFill="1" applyBorder="1" applyAlignment="1">
      <alignment horizontal="center" vertical="center"/>
    </xf>
    <xf numFmtId="0" fontId="0" fillId="0" borderId="55" xfId="0" applyBorder="1" applyAlignment="1">
      <alignment horizontal="center" vertical="center"/>
    </xf>
    <xf numFmtId="0" fontId="0" fillId="0" borderId="91" xfId="0" applyBorder="1" applyAlignment="1">
      <alignment horizontal="center" vertical="center"/>
    </xf>
    <xf numFmtId="0" fontId="0" fillId="0" borderId="62"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0" fillId="0" borderId="56" xfId="0" applyBorder="1" applyAlignment="1">
      <alignment horizontal="center" vertical="center"/>
    </xf>
    <xf numFmtId="0" fontId="0" fillId="0" borderId="102" xfId="0" applyBorder="1" applyAlignment="1">
      <alignment horizontal="center" vertical="center"/>
    </xf>
    <xf numFmtId="0" fontId="48" fillId="0" borderId="75" xfId="0" applyFont="1" applyBorder="1" applyAlignment="1">
      <alignment horizontal="center" vertical="center"/>
    </xf>
    <xf numFmtId="0" fontId="0" fillId="0" borderId="103" xfId="0" applyBorder="1" applyAlignment="1">
      <alignment horizontal="center" vertical="center"/>
    </xf>
    <xf numFmtId="0" fontId="0" fillId="0" borderId="67" xfId="0" applyBorder="1" applyAlignment="1">
      <alignment horizontal="center" vertical="center"/>
    </xf>
    <xf numFmtId="0" fontId="0" fillId="0" borderId="72" xfId="0" applyBorder="1" applyAlignment="1">
      <alignment horizontal="center" vertical="center"/>
    </xf>
    <xf numFmtId="0" fontId="0" fillId="0" borderId="58" xfId="0" applyBorder="1" applyAlignment="1">
      <alignment horizontal="center" vertical="center"/>
    </xf>
    <xf numFmtId="0" fontId="43" fillId="0" borderId="78" xfId="0" applyFont="1" applyBorder="1" applyAlignment="1">
      <alignment horizontal="center" vertical="center"/>
    </xf>
    <xf numFmtId="0" fontId="0" fillId="0" borderId="106" xfId="0" applyBorder="1" applyAlignment="1">
      <alignment horizontal="center" vertical="center"/>
    </xf>
    <xf numFmtId="0" fontId="50" fillId="0" borderId="68" xfId="0" applyFont="1" applyBorder="1" applyAlignment="1">
      <alignment horizontal="center" vertical="center"/>
    </xf>
    <xf numFmtId="0" fontId="0" fillId="0" borderId="69" xfId="0" applyBorder="1" applyAlignment="1">
      <alignment horizontal="center" vertical="center"/>
    </xf>
    <xf numFmtId="0" fontId="0" fillId="0" borderId="73" xfId="0" applyBorder="1" applyAlignment="1">
      <alignment horizontal="center" vertical="center"/>
    </xf>
    <xf numFmtId="0" fontId="0" fillId="0" borderId="61" xfId="0" applyBorder="1" applyAlignment="1">
      <alignment horizontal="center" vertical="center"/>
    </xf>
    <xf numFmtId="0" fontId="43" fillId="0" borderId="80" xfId="0" applyFont="1" applyBorder="1" applyAlignment="1">
      <alignment horizontal="center" vertical="center"/>
    </xf>
    <xf numFmtId="0" fontId="0" fillId="0" borderId="108" xfId="0" applyBorder="1" applyAlignment="1">
      <alignment horizontal="center" vertical="center"/>
    </xf>
    <xf numFmtId="0" fontId="48" fillId="11" borderId="90" xfId="0" applyFont="1" applyFill="1" applyBorder="1" applyAlignment="1">
      <alignment horizontal="center" vertical="center"/>
    </xf>
    <xf numFmtId="0" fontId="48" fillId="11" borderId="55" xfId="0" applyFont="1" applyFill="1" applyBorder="1" applyAlignment="1">
      <alignment horizontal="center" vertical="center"/>
    </xf>
    <xf numFmtId="0" fontId="0" fillId="11" borderId="62" xfId="0" applyFill="1" applyBorder="1" applyAlignment="1">
      <alignment horizontal="center" vertical="center"/>
    </xf>
    <xf numFmtId="0" fontId="48" fillId="11" borderId="102" xfId="0" applyFont="1" applyFill="1" applyBorder="1" applyAlignment="1">
      <alignment horizontal="center" vertical="center"/>
    </xf>
    <xf numFmtId="0" fontId="0" fillId="11" borderId="55" xfId="0" applyFill="1" applyBorder="1" applyAlignment="1">
      <alignment horizontal="center" vertical="center"/>
    </xf>
    <xf numFmtId="0" fontId="0" fillId="11" borderId="75" xfId="0" applyFill="1" applyBorder="1" applyAlignment="1">
      <alignment horizontal="center" vertical="center"/>
    </xf>
    <xf numFmtId="0" fontId="50" fillId="11" borderId="78" xfId="0" applyFont="1" applyFill="1" applyBorder="1" applyAlignment="1">
      <alignment horizontal="center" vertical="center"/>
    </xf>
    <xf numFmtId="0" fontId="48" fillId="11" borderId="76" xfId="0" applyFont="1" applyFill="1" applyBorder="1" applyAlignment="1">
      <alignment horizontal="center" vertical="center"/>
    </xf>
    <xf numFmtId="0" fontId="0" fillId="11" borderId="70" xfId="0" applyFill="1" applyBorder="1" applyAlignment="1">
      <alignment horizontal="center" vertical="center"/>
    </xf>
    <xf numFmtId="0" fontId="0" fillId="11" borderId="54" xfId="0" applyFill="1" applyBorder="1" applyAlignment="1">
      <alignment horizontal="center" vertical="center"/>
    </xf>
    <xf numFmtId="0" fontId="0" fillId="11" borderId="102" xfId="0" applyFill="1" applyBorder="1" applyAlignment="1">
      <alignment horizontal="center" vertical="center"/>
    </xf>
    <xf numFmtId="0" fontId="50" fillId="11" borderId="66" xfId="0" applyFont="1" applyFill="1" applyBorder="1" applyAlignment="1">
      <alignment horizontal="center" vertical="center"/>
    </xf>
    <xf numFmtId="0" fontId="16" fillId="26" borderId="0" xfId="0" applyFont="1" applyFill="1"/>
    <xf numFmtId="0" fontId="17" fillId="0" borderId="0" xfId="2" applyFont="1" applyAlignment="1">
      <alignment horizontal="center" vertical="top" wrapText="1"/>
    </xf>
    <xf numFmtId="0" fontId="0" fillId="9" borderId="3" xfId="0" applyFill="1" applyBorder="1" applyAlignment="1">
      <alignment horizontal="center" vertical="center" wrapText="1"/>
    </xf>
    <xf numFmtId="0" fontId="0" fillId="0" borderId="83" xfId="0" applyBorder="1"/>
    <xf numFmtId="0" fontId="17" fillId="11" borderId="0" xfId="2" applyFont="1" applyFill="1" applyAlignment="1">
      <alignment horizontal="left"/>
    </xf>
    <xf numFmtId="0" fontId="0" fillId="19" borderId="21" xfId="0" applyFill="1" applyBorder="1" applyAlignment="1">
      <alignment horizontal="center" vertical="center"/>
    </xf>
    <xf numFmtId="2" fontId="22" fillId="0" borderId="0" xfId="0" applyNumberFormat="1" applyFont="1" applyAlignment="1">
      <alignment horizontal="center" vertical="center" wrapText="1"/>
    </xf>
    <xf numFmtId="0" fontId="17" fillId="0" borderId="0" xfId="7" applyFont="1" applyAlignment="1">
      <alignment horizontal="center" vertical="top" wrapText="1"/>
    </xf>
    <xf numFmtId="0" fontId="0" fillId="11" borderId="10" xfId="0" applyFill="1" applyBorder="1" applyAlignment="1">
      <alignment horizontal="center" vertical="center" wrapText="1"/>
    </xf>
    <xf numFmtId="0" fontId="0" fillId="11" borderId="13" xfId="0" applyFill="1" applyBorder="1" applyAlignment="1">
      <alignment horizontal="center" vertical="center" wrapText="1"/>
    </xf>
    <xf numFmtId="0" fontId="0" fillId="11" borderId="12" xfId="0" applyFill="1" applyBorder="1" applyAlignment="1">
      <alignment horizontal="center" vertical="center" wrapText="1"/>
    </xf>
    <xf numFmtId="0" fontId="5" fillId="9" borderId="51" xfId="0" applyFont="1" applyFill="1" applyBorder="1" applyAlignment="1">
      <alignment horizontal="center" vertical="center" wrapText="1"/>
    </xf>
    <xf numFmtId="0" fontId="5" fillId="9" borderId="0" xfId="0" applyFont="1" applyFill="1" applyAlignment="1">
      <alignment horizontal="center" vertical="center" wrapText="1"/>
    </xf>
    <xf numFmtId="0" fontId="5" fillId="9" borderId="112" xfId="0" applyFont="1" applyFill="1" applyBorder="1" applyAlignment="1">
      <alignment horizontal="center" vertical="center" wrapText="1"/>
    </xf>
    <xf numFmtId="0" fontId="0" fillId="9" borderId="3" xfId="0" applyFill="1" applyBorder="1" applyAlignment="1">
      <alignment horizontal="center" vertical="center" wrapText="1"/>
    </xf>
    <xf numFmtId="0" fontId="10" fillId="3" borderId="14" xfId="0" applyFont="1" applyFill="1" applyBorder="1" applyAlignment="1">
      <alignment horizontal="center" vertical="center"/>
    </xf>
    <xf numFmtId="0" fontId="10" fillId="3" borderId="46" xfId="0" applyFont="1" applyFill="1" applyBorder="1" applyAlignment="1">
      <alignment horizontal="center"/>
    </xf>
    <xf numFmtId="0" fontId="10" fillId="3" borderId="18" xfId="0" applyFont="1" applyFill="1" applyBorder="1" applyAlignment="1">
      <alignment horizontal="center"/>
    </xf>
    <xf numFmtId="0" fontId="6" fillId="8" borderId="1"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54" fillId="28" borderId="14" xfId="0" applyFont="1" applyFill="1" applyBorder="1" applyAlignment="1">
      <alignment horizontal="center" vertical="center" wrapText="1"/>
    </xf>
    <xf numFmtId="0" fontId="0" fillId="28" borderId="14" xfId="0" applyFill="1" applyBorder="1" applyAlignment="1">
      <alignment horizontal="center" vertical="center"/>
    </xf>
    <xf numFmtId="0" fontId="0" fillId="28" borderId="14" xfId="0" applyFill="1" applyBorder="1" applyAlignment="1">
      <alignment horizontal="center" vertical="center" wrapText="1"/>
    </xf>
    <xf numFmtId="0" fontId="55" fillId="11" borderId="14" xfId="0" applyFont="1" applyFill="1" applyBorder="1" applyAlignment="1">
      <alignment horizontal="center" vertical="center" wrapText="1"/>
    </xf>
    <xf numFmtId="0" fontId="5" fillId="11" borderId="14" xfId="0" applyFont="1" applyFill="1" applyBorder="1" applyAlignment="1">
      <alignment horizontal="center" vertical="center" wrapText="1"/>
    </xf>
    <xf numFmtId="0" fontId="8" fillId="11" borderId="14"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4" xfId="0" applyFont="1" applyBorder="1" applyAlignment="1">
      <alignment horizontal="center" vertical="center" wrapText="1"/>
    </xf>
    <xf numFmtId="0" fontId="5" fillId="29" borderId="14" xfId="0" applyFont="1" applyFill="1" applyBorder="1" applyAlignment="1">
      <alignment horizontal="center" vertical="center" wrapText="1"/>
    </xf>
    <xf numFmtId="0" fontId="5" fillId="30" borderId="14" xfId="0" applyFont="1" applyFill="1" applyBorder="1" applyAlignment="1">
      <alignment horizontal="center" vertical="center" wrapText="1"/>
    </xf>
    <xf numFmtId="0" fontId="8" fillId="28" borderId="14" xfId="0" applyFont="1" applyFill="1" applyBorder="1" applyAlignment="1">
      <alignment horizontal="center" vertical="center" wrapText="1"/>
    </xf>
    <xf numFmtId="0" fontId="49" fillId="28" borderId="14" xfId="0" applyFont="1" applyFill="1" applyBorder="1" applyAlignment="1">
      <alignment horizontal="center" vertical="center" wrapText="1"/>
    </xf>
    <xf numFmtId="0" fontId="5" fillId="28" borderId="14" xfId="0" applyFont="1" applyFill="1" applyBorder="1" applyAlignment="1">
      <alignment horizontal="center" vertical="center" wrapText="1"/>
    </xf>
    <xf numFmtId="0" fontId="5" fillId="38" borderId="83" xfId="0" applyFont="1" applyFill="1" applyBorder="1" applyAlignment="1">
      <alignment horizontal="center" vertical="center" wrapText="1"/>
    </xf>
    <xf numFmtId="0" fontId="5" fillId="38" borderId="24" xfId="0" applyFont="1" applyFill="1" applyBorder="1" applyAlignment="1">
      <alignment horizontal="center" vertical="center" wrapText="1"/>
    </xf>
    <xf numFmtId="0" fontId="5" fillId="38" borderId="18" xfId="0" applyFont="1" applyFill="1" applyBorder="1" applyAlignment="1">
      <alignment horizontal="center" vertical="center" wrapText="1"/>
    </xf>
    <xf numFmtId="0" fontId="5" fillId="38" borderId="100" xfId="0" applyFont="1" applyFill="1" applyBorder="1" applyAlignment="1">
      <alignment horizontal="center" vertical="center" wrapText="1"/>
    </xf>
    <xf numFmtId="0" fontId="55" fillId="28" borderId="105" xfId="0" applyFont="1" applyFill="1" applyBorder="1" applyAlignment="1">
      <alignment horizontal="center" vertical="center" wrapText="1"/>
    </xf>
    <xf numFmtId="0" fontId="5" fillId="28" borderId="105" xfId="0" applyFont="1" applyFill="1" applyBorder="1" applyAlignment="1">
      <alignment horizontal="center" vertical="center" wrapText="1"/>
    </xf>
    <xf numFmtId="0" fontId="0" fillId="11" borderId="105" xfId="0" applyFill="1" applyBorder="1" applyAlignment="1">
      <alignment horizontal="center" vertical="center" wrapText="1"/>
    </xf>
    <xf numFmtId="0" fontId="13" fillId="28" borderId="105" xfId="0" applyFont="1" applyFill="1" applyBorder="1" applyAlignment="1">
      <alignment horizontal="center" vertical="center" wrapText="1"/>
    </xf>
    <xf numFmtId="0" fontId="13" fillId="11" borderId="3" xfId="0" applyFont="1" applyFill="1" applyBorder="1" applyAlignment="1">
      <alignment horizontal="center" vertical="center" wrapText="1"/>
    </xf>
    <xf numFmtId="0" fontId="10" fillId="4" borderId="14" xfId="0" applyFont="1" applyFill="1" applyBorder="1" applyAlignment="1">
      <alignment horizontal="center" vertical="center"/>
    </xf>
    <xf numFmtId="0" fontId="8" fillId="29" borderId="14" xfId="0" applyFont="1" applyFill="1" applyBorder="1" applyAlignment="1">
      <alignment vertical="center" wrapText="1"/>
    </xf>
    <xf numFmtId="0" fontId="5" fillId="29" borderId="14" xfId="0" applyFont="1" applyFill="1" applyBorder="1" applyAlignment="1">
      <alignment vertical="center" wrapText="1"/>
    </xf>
    <xf numFmtId="0" fontId="10" fillId="4" borderId="83" xfId="0" applyFont="1" applyFill="1" applyBorder="1" applyAlignment="1">
      <alignment horizontal="center" vertical="center"/>
    </xf>
    <xf numFmtId="0" fontId="10" fillId="4" borderId="24" xfId="0" applyFont="1" applyFill="1" applyBorder="1" applyAlignment="1">
      <alignment horizontal="center" vertical="center"/>
    </xf>
    <xf numFmtId="0" fontId="10" fillId="4" borderId="84" xfId="0" applyFont="1" applyFill="1" applyBorder="1" applyAlignment="1">
      <alignment horizontal="center" vertical="center"/>
    </xf>
    <xf numFmtId="0" fontId="10" fillId="3" borderId="83" xfId="0" applyFont="1" applyFill="1" applyBorder="1" applyAlignment="1">
      <alignment horizontal="center" vertical="center"/>
    </xf>
    <xf numFmtId="0" fontId="10" fillId="3" borderId="24" xfId="0" applyFont="1" applyFill="1" applyBorder="1" applyAlignment="1">
      <alignment horizontal="center" vertical="center"/>
    </xf>
    <xf numFmtId="0" fontId="10" fillId="3" borderId="84" xfId="0" applyFont="1" applyFill="1" applyBorder="1" applyAlignment="1">
      <alignment horizontal="center" vertical="center"/>
    </xf>
    <xf numFmtId="0" fontId="0" fillId="11" borderId="3" xfId="0" applyFill="1" applyBorder="1" applyAlignment="1">
      <alignment horizontal="center" vertical="center" wrapText="1"/>
    </xf>
    <xf numFmtId="0" fontId="0" fillId="11" borderId="40" xfId="0" applyFill="1" applyBorder="1" applyAlignment="1">
      <alignment horizontal="center" vertical="center" wrapText="1"/>
    </xf>
    <xf numFmtId="0" fontId="0" fillId="11" borderId="46" xfId="0" applyFill="1" applyBorder="1" applyAlignment="1">
      <alignment horizontal="center" vertical="center"/>
    </xf>
    <xf numFmtId="0" fontId="0" fillId="11" borderId="3" xfId="0" applyFill="1" applyBorder="1" applyAlignment="1">
      <alignment horizontal="center" vertical="center"/>
    </xf>
    <xf numFmtId="0" fontId="5" fillId="38" borderId="84" xfId="0" applyFont="1" applyFill="1" applyBorder="1" applyAlignment="1">
      <alignment horizontal="center" vertical="center" wrapText="1"/>
    </xf>
    <xf numFmtId="0" fontId="0" fillId="11" borderId="109" xfId="0" applyFill="1" applyBorder="1" applyAlignment="1">
      <alignment horizontal="center" vertical="center" wrapText="1"/>
    </xf>
    <xf numFmtId="0" fontId="0" fillId="11" borderId="110" xfId="0" applyFill="1" applyBorder="1" applyAlignment="1">
      <alignment horizontal="center" vertical="center" wrapText="1"/>
    </xf>
    <xf numFmtId="0" fontId="0" fillId="11" borderId="111" xfId="0" applyFill="1" applyBorder="1" applyAlignment="1">
      <alignment horizontal="center" vertical="center" wrapText="1"/>
    </xf>
    <xf numFmtId="0" fontId="0" fillId="11" borderId="0" xfId="0" applyFill="1" applyAlignment="1">
      <alignment horizontal="center" vertical="center" wrapText="1"/>
    </xf>
    <xf numFmtId="0" fontId="0" fillId="11" borderId="112" xfId="0" applyFill="1" applyBorder="1" applyAlignment="1">
      <alignment horizontal="center" vertical="center" wrapText="1"/>
    </xf>
    <xf numFmtId="0" fontId="34" fillId="28" borderId="5" xfId="0" applyFont="1" applyFill="1" applyBorder="1" applyAlignment="1">
      <alignment horizontal="left" vertical="center" wrapText="1"/>
    </xf>
    <xf numFmtId="0" fontId="5" fillId="28" borderId="23" xfId="0" applyFont="1" applyFill="1" applyBorder="1" applyAlignment="1">
      <alignment horizontal="left" vertical="center" wrapText="1"/>
    </xf>
    <xf numFmtId="0" fontId="15" fillId="0" borderId="9" xfId="0" applyFont="1" applyBorder="1" applyAlignment="1">
      <alignment horizontal="center" vertical="center" wrapText="1"/>
    </xf>
    <xf numFmtId="0" fontId="15" fillId="0" borderId="13" xfId="0" applyFont="1" applyBorder="1" applyAlignment="1">
      <alignment horizontal="center" vertical="center" wrapText="1"/>
    </xf>
    <xf numFmtId="0" fontId="0" fillId="0" borderId="2" xfId="0" applyBorder="1" applyAlignment="1">
      <alignment horizontal="center"/>
    </xf>
    <xf numFmtId="0" fontId="0" fillId="0" borderId="7" xfId="0" applyBorder="1" applyAlignment="1">
      <alignment horizontal="center"/>
    </xf>
    <xf numFmtId="0" fontId="0" fillId="0" borderId="19" xfId="0" applyBorder="1" applyAlignment="1">
      <alignment horizontal="center"/>
    </xf>
    <xf numFmtId="0" fontId="7" fillId="7" borderId="3" xfId="0" applyFont="1" applyFill="1" applyBorder="1" applyAlignment="1">
      <alignment horizontal="center" vertical="center" wrapText="1"/>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1" xfId="0" applyFont="1" applyFill="1" applyBorder="1" applyAlignment="1">
      <alignment horizontal="center" vertical="center"/>
    </xf>
    <xf numFmtId="0" fontId="7" fillId="7" borderId="2" xfId="0" applyFont="1" applyFill="1" applyBorder="1" applyAlignment="1">
      <alignment horizontal="center" vertical="center" wrapText="1"/>
    </xf>
    <xf numFmtId="0" fontId="7" fillId="7" borderId="19" xfId="0" applyFont="1" applyFill="1" applyBorder="1" applyAlignment="1">
      <alignment horizontal="center" vertical="center" wrapText="1"/>
    </xf>
    <xf numFmtId="0" fontId="7" fillId="7" borderId="2"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22" xfId="0" applyFont="1" applyFill="1" applyBorder="1" applyAlignment="1">
      <alignment horizontal="center" vertical="center"/>
    </xf>
    <xf numFmtId="0" fontId="10" fillId="4" borderId="10" xfId="0" applyFont="1" applyFill="1" applyBorder="1" applyAlignment="1">
      <alignment horizontal="center" vertical="center"/>
    </xf>
    <xf numFmtId="0" fontId="10" fillId="6" borderId="3" xfId="0" applyFont="1" applyFill="1" applyBorder="1" applyAlignment="1">
      <alignment horizontal="center" vertical="center"/>
    </xf>
    <xf numFmtId="0" fontId="10" fillId="6" borderId="2" xfId="0" applyFont="1" applyFill="1" applyBorder="1" applyAlignment="1">
      <alignment horizontal="center" vertical="center"/>
    </xf>
    <xf numFmtId="0" fontId="10" fillId="6" borderId="4" xfId="0" applyFont="1" applyFill="1" applyBorder="1" applyAlignment="1">
      <alignment horizontal="center" vertical="center"/>
    </xf>
    <xf numFmtId="0" fontId="10" fillId="6" borderId="1" xfId="0" applyFont="1" applyFill="1" applyBorder="1" applyAlignment="1">
      <alignment horizontal="center" vertical="center"/>
    </xf>
    <xf numFmtId="0" fontId="5" fillId="28" borderId="3" xfId="0" applyFont="1" applyFill="1" applyBorder="1" applyAlignment="1">
      <alignment horizontal="center" vertical="center" wrapText="1"/>
    </xf>
    <xf numFmtId="0" fontId="5" fillId="28" borderId="3" xfId="0" applyFont="1" applyFill="1" applyBorder="1" applyAlignment="1">
      <alignment horizontal="center" vertical="center"/>
    </xf>
    <xf numFmtId="0" fontId="5" fillId="7" borderId="3" xfId="0" applyFont="1" applyFill="1" applyBorder="1" applyAlignment="1">
      <alignment horizontal="center" vertical="center" wrapText="1"/>
    </xf>
    <xf numFmtId="0" fontId="5" fillId="7" borderId="3"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5" fillId="0" borderId="2" xfId="0" applyFont="1" applyBorder="1" applyAlignment="1">
      <alignment horizontal="center" vertical="center"/>
    </xf>
    <xf numFmtId="0" fontId="5" fillId="0" borderId="7" xfId="0" applyFont="1" applyBorder="1" applyAlignment="1">
      <alignment horizontal="center" vertical="center"/>
    </xf>
    <xf numFmtId="0" fontId="0" fillId="0" borderId="2" xfId="0" applyBorder="1" applyAlignment="1">
      <alignment horizontal="left" vertical="top" wrapText="1"/>
    </xf>
    <xf numFmtId="0" fontId="0" fillId="0" borderId="7" xfId="0" applyBorder="1" applyAlignment="1">
      <alignment horizontal="left" vertical="top"/>
    </xf>
    <xf numFmtId="0" fontId="5" fillId="0" borderId="19" xfId="0" applyFont="1" applyBorder="1" applyAlignment="1">
      <alignment horizontal="center" vertical="center"/>
    </xf>
    <xf numFmtId="0" fontId="0" fillId="0" borderId="19" xfId="0" applyBorder="1" applyAlignment="1">
      <alignment horizontal="left" vertical="top"/>
    </xf>
    <xf numFmtId="0" fontId="0" fillId="0" borderId="4" xfId="0" applyBorder="1" applyAlignment="1">
      <alignment horizontal="center" vertical="center"/>
    </xf>
    <xf numFmtId="0" fontId="0" fillId="0" borderId="6"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5" xfId="0" applyBorder="1" applyAlignment="1">
      <alignment horizontal="center" vertical="center"/>
    </xf>
    <xf numFmtId="0" fontId="0" fillId="0" borderId="37" xfId="0" applyBorder="1" applyAlignment="1">
      <alignment horizontal="center" vertical="center"/>
    </xf>
    <xf numFmtId="0" fontId="41" fillId="0" borderId="30" xfId="0" applyFont="1" applyBorder="1" applyAlignment="1">
      <alignment horizontal="center" vertical="center"/>
    </xf>
    <xf numFmtId="0" fontId="41" fillId="0" borderId="29" xfId="0" applyFont="1" applyBorder="1" applyAlignment="1">
      <alignment horizontal="center" vertical="center"/>
    </xf>
    <xf numFmtId="0" fontId="41" fillId="0" borderId="27" xfId="0" applyFont="1" applyBorder="1" applyAlignment="1">
      <alignment horizontal="center" vertical="center"/>
    </xf>
    <xf numFmtId="0" fontId="41" fillId="0" borderId="31" xfId="0" applyFont="1" applyBorder="1" applyAlignment="1">
      <alignment horizontal="center" vertical="center"/>
    </xf>
    <xf numFmtId="0" fontId="41" fillId="0" borderId="86" xfId="0" applyFont="1" applyBorder="1" applyAlignment="1">
      <alignment horizontal="center" vertical="center"/>
    </xf>
    <xf numFmtId="0" fontId="41" fillId="0" borderId="87" xfId="0" applyFont="1" applyBorder="1" applyAlignment="1">
      <alignment horizontal="center" vertical="center"/>
    </xf>
    <xf numFmtId="0" fontId="41" fillId="0" borderId="88" xfId="0" applyFont="1" applyBorder="1" applyAlignment="1">
      <alignment horizontal="center" vertical="center"/>
    </xf>
    <xf numFmtId="0" fontId="41" fillId="0" borderId="89" xfId="0" applyFont="1" applyBorder="1" applyAlignment="1">
      <alignment horizontal="center" vertical="center"/>
    </xf>
    <xf numFmtId="0" fontId="41" fillId="0" borderId="28" xfId="0" applyFont="1" applyBorder="1" applyAlignment="1">
      <alignment horizontal="center" vertical="center"/>
    </xf>
    <xf numFmtId="164" fontId="17" fillId="0" borderId="20" xfId="2" applyNumberFormat="1" applyFont="1" applyBorder="1" applyAlignment="1">
      <alignment horizontal="center" vertical="center"/>
    </xf>
    <xf numFmtId="164" fontId="17" fillId="0" borderId="50" xfId="2" applyNumberFormat="1" applyFont="1" applyBorder="1" applyAlignment="1">
      <alignment horizontal="center" vertical="center"/>
    </xf>
    <xf numFmtId="164" fontId="17" fillId="0" borderId="40" xfId="2" applyNumberFormat="1" applyFont="1" applyBorder="1" applyAlignment="1">
      <alignment horizontal="center" vertical="center"/>
    </xf>
    <xf numFmtId="0" fontId="1" fillId="0" borderId="14" xfId="3" applyFont="1" applyFill="1" applyBorder="1" applyAlignment="1">
      <alignment horizontal="center" vertical="center"/>
    </xf>
    <xf numFmtId="0" fontId="17" fillId="0" borderId="83" xfId="2" applyFont="1" applyBorder="1" applyAlignment="1">
      <alignment horizontal="center" vertical="center"/>
    </xf>
    <xf numFmtId="0" fontId="17" fillId="0" borderId="24" xfId="2" applyFont="1" applyBorder="1" applyAlignment="1">
      <alignment horizontal="center" vertical="center"/>
    </xf>
    <xf numFmtId="0" fontId="17" fillId="0" borderId="84" xfId="2" applyFont="1" applyBorder="1" applyAlignment="1">
      <alignment horizontal="center" vertical="center"/>
    </xf>
    <xf numFmtId="164" fontId="17" fillId="0" borderId="51" xfId="2" applyNumberFormat="1" applyFont="1" applyBorder="1" applyAlignment="1">
      <alignment horizontal="center" vertical="center"/>
    </xf>
    <xf numFmtId="0" fontId="29" fillId="0" borderId="14" xfId="3" applyFont="1" applyFill="1" applyBorder="1" applyAlignment="1">
      <alignment horizontal="center" vertical="center"/>
    </xf>
    <xf numFmtId="164" fontId="17" fillId="0" borderId="0" xfId="2" applyNumberFormat="1" applyFont="1" applyAlignment="1">
      <alignment horizontal="center" vertical="center"/>
    </xf>
    <xf numFmtId="164" fontId="17" fillId="0" borderId="44" xfId="2" applyNumberFormat="1" applyFont="1" applyBorder="1" applyAlignment="1">
      <alignment horizontal="center" vertical="center"/>
    </xf>
    <xf numFmtId="164" fontId="17" fillId="0" borderId="100" xfId="2" applyNumberFormat="1" applyFont="1" applyBorder="1" applyAlignment="1">
      <alignment horizontal="center" vertical="center"/>
    </xf>
    <xf numFmtId="164" fontId="17" fillId="0" borderId="98" xfId="2" applyNumberFormat="1" applyFont="1" applyBorder="1" applyAlignment="1">
      <alignment horizontal="center" vertical="center"/>
    </xf>
    <xf numFmtId="164" fontId="17" fillId="0" borderId="46" xfId="2" applyNumberFormat="1" applyFont="1" applyBorder="1" applyAlignment="1">
      <alignment horizontal="center" vertical="center"/>
    </xf>
    <xf numFmtId="49" fontId="17" fillId="0" borderId="51" xfId="2" applyNumberFormat="1" applyFont="1" applyBorder="1" applyAlignment="1">
      <alignment horizontal="center" vertical="center"/>
    </xf>
    <xf numFmtId="0" fontId="17" fillId="0" borderId="0" xfId="1" applyFont="1" applyAlignment="1">
      <alignment horizontal="center" vertical="center" wrapText="1"/>
    </xf>
    <xf numFmtId="0" fontId="17" fillId="0" borderId="20" xfId="1" applyFont="1" applyBorder="1" applyAlignment="1">
      <alignment horizontal="center" vertical="center" wrapText="1"/>
    </xf>
    <xf numFmtId="0" fontId="17" fillId="0" borderId="14" xfId="1" applyFont="1" applyBorder="1" applyAlignment="1">
      <alignment horizontal="center" vertical="center" wrapText="1"/>
    </xf>
    <xf numFmtId="0" fontId="33" fillId="12" borderId="14" xfId="3" applyFont="1" applyFill="1" applyBorder="1" applyAlignment="1">
      <alignment horizontal="center" vertical="center"/>
    </xf>
    <xf numFmtId="0" fontId="17" fillId="0" borderId="16" xfId="2" applyFont="1" applyBorder="1" applyAlignment="1">
      <alignment horizontal="center" vertical="center" wrapText="1"/>
    </xf>
    <xf numFmtId="0" fontId="17" fillId="0" borderId="0" xfId="2" applyFont="1" applyAlignment="1">
      <alignment horizontal="center" vertical="center" wrapText="1"/>
    </xf>
    <xf numFmtId="0" fontId="20" fillId="18" borderId="0" xfId="2" applyFont="1" applyFill="1" applyAlignment="1">
      <alignment horizontal="center" vertical="center"/>
    </xf>
    <xf numFmtId="0" fontId="17" fillId="18" borderId="15" xfId="2" applyFont="1" applyFill="1" applyBorder="1" applyAlignment="1">
      <alignment horizontal="center" vertical="center"/>
    </xf>
    <xf numFmtId="164" fontId="17" fillId="0" borderId="17" xfId="2" applyNumberFormat="1" applyFont="1" applyBorder="1" applyAlignment="1">
      <alignment horizontal="center" vertical="center"/>
    </xf>
    <xf numFmtId="0" fontId="21" fillId="0" borderId="16" xfId="1" applyFont="1" applyBorder="1" applyAlignment="1">
      <alignment horizontal="center" vertical="center" wrapText="1"/>
    </xf>
    <xf numFmtId="0" fontId="17" fillId="0" borderId="20" xfId="2" applyFont="1" applyBorder="1" applyAlignment="1">
      <alignment horizontal="center" vertical="center"/>
    </xf>
    <xf numFmtId="0" fontId="17" fillId="0" borderId="50" xfId="2" applyFont="1" applyBorder="1" applyAlignment="1">
      <alignment horizontal="center" vertical="center"/>
    </xf>
    <xf numFmtId="0" fontId="17" fillId="0" borderId="40" xfId="2" applyFont="1" applyBorder="1" applyAlignment="1">
      <alignment horizontal="center" vertical="center"/>
    </xf>
    <xf numFmtId="0" fontId="21" fillId="0" borderId="0" xfId="1" applyFont="1" applyAlignment="1">
      <alignment horizontal="center" vertical="center" wrapText="1"/>
    </xf>
    <xf numFmtId="164" fontId="17" fillId="0" borderId="20" xfId="2" applyNumberFormat="1" applyFont="1" applyBorder="1" applyAlignment="1">
      <alignment horizontal="center" vertical="center" wrapText="1"/>
    </xf>
    <xf numFmtId="164" fontId="17" fillId="0" borderId="50" xfId="2" applyNumberFormat="1" applyFont="1" applyBorder="1" applyAlignment="1">
      <alignment horizontal="center" vertical="center" wrapText="1"/>
    </xf>
    <xf numFmtId="164" fontId="17" fillId="0" borderId="40" xfId="2" applyNumberFormat="1" applyFont="1" applyBorder="1" applyAlignment="1">
      <alignment horizontal="center" vertical="center" wrapText="1"/>
    </xf>
    <xf numFmtId="0" fontId="24" fillId="0" borderId="0" xfId="0" applyFont="1" applyAlignment="1">
      <alignment horizontal="center" wrapText="1"/>
    </xf>
    <xf numFmtId="0" fontId="15" fillId="0" borderId="11" xfId="0" applyFont="1" applyBorder="1" applyAlignment="1">
      <alignment horizontal="left" vertical="center" wrapText="1"/>
    </xf>
    <xf numFmtId="0" fontId="15" fillId="0" borderId="12" xfId="0" applyFont="1" applyBorder="1" applyAlignment="1">
      <alignment horizontal="left" vertical="center" wrapText="1"/>
    </xf>
    <xf numFmtId="0" fontId="7" fillId="7" borderId="19" xfId="0" applyFont="1" applyFill="1" applyBorder="1" applyAlignment="1">
      <alignment horizontal="center" vertical="center"/>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34" fillId="13" borderId="4" xfId="0" applyFont="1" applyFill="1" applyBorder="1" applyAlignment="1">
      <alignment horizontal="center" vertical="center" wrapText="1"/>
    </xf>
    <xf numFmtId="0" fontId="5" fillId="13" borderId="4" xfId="0" applyFont="1" applyFill="1" applyBorder="1" applyAlignment="1">
      <alignment horizontal="center" vertical="center"/>
    </xf>
    <xf numFmtId="0" fontId="0" fillId="0" borderId="3" xfId="0" applyBorder="1" applyAlignment="1">
      <alignment horizontal="center" vertical="center"/>
    </xf>
    <xf numFmtId="0" fontId="5" fillId="0" borderId="1" xfId="0" applyFont="1" applyBorder="1" applyAlignment="1">
      <alignment vertical="center" wrapText="1"/>
    </xf>
    <xf numFmtId="0" fontId="5" fillId="0" borderId="10" xfId="0" applyFont="1" applyBorder="1" applyAlignment="1">
      <alignment vertical="center" wrapText="1"/>
    </xf>
    <xf numFmtId="0" fontId="8" fillId="13" borderId="2" xfId="0" applyFont="1" applyFill="1" applyBorder="1" applyAlignment="1">
      <alignment horizontal="left" vertical="center" wrapText="1"/>
    </xf>
    <xf numFmtId="0" fontId="8" fillId="13" borderId="7" xfId="0" applyFont="1" applyFill="1" applyBorder="1" applyAlignment="1">
      <alignment horizontal="left" vertical="center" wrapText="1"/>
    </xf>
    <xf numFmtId="0" fontId="5" fillId="13" borderId="2" xfId="0" applyFont="1" applyFill="1" applyBorder="1" applyAlignment="1">
      <alignment horizontal="left" vertical="center" wrapText="1"/>
    </xf>
    <xf numFmtId="0" fontId="5" fillId="13" borderId="7" xfId="0" applyFont="1" applyFill="1" applyBorder="1" applyAlignment="1">
      <alignment horizontal="left" vertical="center" wrapText="1"/>
    </xf>
    <xf numFmtId="0" fontId="8" fillId="0" borderId="3" xfId="0" applyFont="1" applyBorder="1" applyAlignment="1">
      <alignment horizontal="center" vertical="center" wrapText="1"/>
    </xf>
    <xf numFmtId="0" fontId="5" fillId="12" borderId="1" xfId="0" applyFont="1" applyFill="1" applyBorder="1" applyAlignment="1">
      <alignment vertical="center" wrapText="1"/>
    </xf>
    <xf numFmtId="0" fontId="5" fillId="12" borderId="8" xfId="0" applyFont="1" applyFill="1" applyBorder="1" applyAlignment="1">
      <alignment vertical="center" wrapText="1"/>
    </xf>
    <xf numFmtId="0" fontId="44" fillId="43" borderId="41" xfId="0" applyFont="1" applyFill="1" applyBorder="1" applyAlignment="1">
      <alignment horizontal="center" vertical="center"/>
    </xf>
    <xf numFmtId="0" fontId="44" fillId="43" borderId="42" xfId="0" applyFont="1" applyFill="1" applyBorder="1" applyAlignment="1">
      <alignment horizontal="center" vertical="center"/>
    </xf>
    <xf numFmtId="0" fontId="44" fillId="43" borderId="44" xfId="0" applyFont="1" applyFill="1" applyBorder="1" applyAlignment="1">
      <alignment horizontal="center" vertical="center"/>
    </xf>
    <xf numFmtId="0" fontId="44" fillId="43" borderId="20" xfId="0" applyFont="1" applyFill="1" applyBorder="1" applyAlignment="1">
      <alignment horizontal="center" vertical="center"/>
    </xf>
    <xf numFmtId="0" fontId="44" fillId="43" borderId="43" xfId="0" applyFont="1" applyFill="1" applyBorder="1" applyAlignment="1">
      <alignment horizontal="center" vertical="center"/>
    </xf>
    <xf numFmtId="0" fontId="18" fillId="0" borderId="3" xfId="0" applyFont="1" applyBorder="1" applyAlignment="1">
      <alignment vertical="center" wrapText="1"/>
    </xf>
    <xf numFmtId="0" fontId="0" fillId="44" borderId="0" xfId="0" applyFill="1" applyAlignment="1">
      <alignment horizontal="center" vertical="center"/>
    </xf>
    <xf numFmtId="0" fontId="0" fillId="19" borderId="0" xfId="0" applyFill="1" applyAlignment="1">
      <alignment horizontal="center" vertical="center"/>
    </xf>
    <xf numFmtId="0" fontId="20" fillId="26" borderId="0" xfId="2" applyFont="1" applyFill="1" applyAlignment="1">
      <alignment horizontal="center" vertical="center"/>
    </xf>
    <xf numFmtId="0" fontId="20" fillId="23" borderId="0" xfId="3" applyFont="1" applyAlignment="1">
      <alignment horizontal="center" vertical="center"/>
    </xf>
    <xf numFmtId="0" fontId="0" fillId="11" borderId="0" xfId="0" applyFill="1" applyAlignment="1">
      <alignment horizontal="center" vertical="center"/>
    </xf>
  </cellXfs>
  <cellStyles count="8">
    <cellStyle name="40% - Accent2" xfId="3" builtinId="35"/>
    <cellStyle name="60% - Accent2" xfId="4" builtinId="36"/>
    <cellStyle name="60% - Accent4" xfId="5" builtinId="44"/>
    <cellStyle name="Normal" xfId="0" builtinId="0"/>
    <cellStyle name="Normal 2" xfId="1" xr:uid="{CC7CEE00-2C31-4E33-A019-6376DE48BE97}"/>
    <cellStyle name="Normal 3" xfId="2" xr:uid="{480CA34F-D116-446B-8AC2-E9615255E1F5}"/>
    <cellStyle name="Normal 3 2" xfId="7" xr:uid="{8A24475C-C2C1-486A-AD9C-62DDDB151AF6}"/>
    <cellStyle name="Normal 4" xfId="6" xr:uid="{ED40B7A8-C653-44E4-A9C1-E04641F10520}"/>
  </cellStyles>
  <dxfs count="5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EF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80160D-3933-4703-B4DA-6D9141CE1EFA}">
    <nsvFilter filterId="{DC66C23E-8743-4034-8AA7-6B8AF1AC3327}" ref="A1:AI67" tableId="0"/>
  </namedSheetView>
</namedSheetView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L@48"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growth@%20800C,%20O2%20@300C" TargetMode="External"/><Relationship Id="rId2" Type="http://schemas.openxmlformats.org/officeDocument/2006/relationships/hyperlink" Target="mailto:growth@%20800C,%20H2Se%20@300C" TargetMode="External"/><Relationship Id="rId1" Type="http://schemas.openxmlformats.org/officeDocument/2006/relationships/hyperlink" Target="mailto:growth@%20800C" TargetMode="External"/><Relationship Id="rId6" Type="http://schemas.microsoft.com/office/2019/04/relationships/namedSheetView" Target="../namedSheetViews/namedSheetView1.xml"/><Relationship Id="rId5" Type="http://schemas.openxmlformats.org/officeDocument/2006/relationships/printerSettings" Target="../printerSettings/printerSettings2.bin"/><Relationship Id="rId4" Type="http://schemas.openxmlformats.org/officeDocument/2006/relationships/hyperlink" Target="mailto:growth@%20800C,%20O2%20@300C,%20H2Se%20@300C"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C19C-0945-4727-96A5-6B83AE3F1AEF}">
  <sheetPr codeName="Sheet1"/>
  <dimension ref="A1:AE12"/>
  <sheetViews>
    <sheetView workbookViewId="0">
      <pane xSplit="3" ySplit="3" topLeftCell="T4" activePane="bottomRight" state="frozen"/>
      <selection pane="bottomRight" activeCell="O2" sqref="O1:S1048576"/>
      <selection pane="bottomLeft" activeCell="A4" sqref="A4"/>
      <selection pane="topRight" activeCell="D1" sqref="D1"/>
    </sheetView>
  </sheetViews>
  <sheetFormatPr defaultRowHeight="15.95"/>
  <cols>
    <col min="2" max="2" width="19.875" customWidth="1"/>
    <col min="3" max="3" width="14.375" customWidth="1"/>
    <col min="4" max="5" width="15.375" hidden="1" customWidth="1"/>
    <col min="6" max="8" width="15.375" style="26" hidden="1" customWidth="1"/>
    <col min="9" max="9" width="16.375" style="26" hidden="1" customWidth="1"/>
    <col min="10" max="14" width="15.375" style="26" hidden="1" customWidth="1"/>
    <col min="15" max="15" width="11.375" style="26" hidden="1" customWidth="1"/>
    <col min="16" max="16" width="0" style="26" hidden="1" customWidth="1"/>
    <col min="17" max="17" width="11.375" style="187" hidden="1" customWidth="1"/>
    <col min="18" max="18" width="14.375" hidden="1" customWidth="1"/>
    <col min="19" max="19" width="12.5" hidden="1" customWidth="1"/>
    <col min="20" max="20" width="15.125" hidden="1" customWidth="1"/>
    <col min="21" max="21" width="16.875" hidden="1" customWidth="1"/>
    <col min="22" max="23" width="0" hidden="1" customWidth="1"/>
    <col min="24" max="26" width="8.5"/>
  </cols>
  <sheetData>
    <row r="1" spans="1:31" ht="18.600000000000001">
      <c r="A1" s="5" t="s">
        <v>0</v>
      </c>
      <c r="B1" s="5"/>
      <c r="C1" s="8"/>
      <c r="D1" s="732" t="s">
        <v>1</v>
      </c>
      <c r="E1" s="732"/>
      <c r="F1" s="732"/>
      <c r="G1" s="762" t="s">
        <v>2</v>
      </c>
      <c r="H1" s="763"/>
      <c r="I1" s="763"/>
      <c r="J1" s="763"/>
      <c r="K1" s="763"/>
      <c r="L1" s="763"/>
      <c r="M1" s="763"/>
      <c r="N1" s="763"/>
      <c r="O1" s="763"/>
      <c r="P1" s="763"/>
      <c r="Q1" s="763"/>
      <c r="R1" s="763"/>
      <c r="S1" s="764"/>
      <c r="T1" s="733" t="s">
        <v>3</v>
      </c>
      <c r="U1" s="734"/>
      <c r="V1" s="734"/>
      <c r="W1" s="734"/>
      <c r="X1" s="734"/>
      <c r="Y1" s="734"/>
      <c r="Z1" s="734"/>
      <c r="AA1" s="734"/>
      <c r="AB1" s="734"/>
      <c r="AC1" s="734"/>
      <c r="AD1" s="734"/>
      <c r="AE1" s="734"/>
    </row>
    <row r="2" spans="1:31" ht="18.600000000000001">
      <c r="A2" s="5" t="s">
        <v>4</v>
      </c>
      <c r="B2" s="5"/>
      <c r="C2" s="8"/>
      <c r="D2" s="732" t="s">
        <v>5</v>
      </c>
      <c r="E2" s="732"/>
      <c r="F2" s="732"/>
      <c r="G2" s="759" t="s">
        <v>6</v>
      </c>
      <c r="H2" s="759"/>
      <c r="I2" s="759"/>
      <c r="J2" s="759"/>
      <c r="K2" s="759" t="s">
        <v>7</v>
      </c>
      <c r="L2" s="759"/>
      <c r="M2" s="759"/>
      <c r="N2" s="759"/>
      <c r="O2" s="762" t="s">
        <v>8</v>
      </c>
      <c r="P2" s="763"/>
      <c r="Q2" s="763"/>
      <c r="R2" s="763"/>
      <c r="S2" s="764"/>
      <c r="T2" s="765" t="s">
        <v>9</v>
      </c>
      <c r="U2" s="766"/>
      <c r="V2" s="766"/>
      <c r="W2" s="767"/>
      <c r="X2" s="732" t="s">
        <v>10</v>
      </c>
      <c r="Y2" s="732"/>
      <c r="Z2" s="732"/>
      <c r="AA2" s="732"/>
      <c r="AB2" s="732" t="s">
        <v>11</v>
      </c>
      <c r="AC2" s="732"/>
      <c r="AD2" s="732"/>
      <c r="AE2" s="732"/>
    </row>
    <row r="3" spans="1:31" ht="18.600000000000001">
      <c r="A3" s="5" t="s">
        <v>12</v>
      </c>
      <c r="B3" s="5" t="s">
        <v>13</v>
      </c>
      <c r="C3" s="8" t="s">
        <v>14</v>
      </c>
      <c r="D3" s="415" t="s">
        <v>15</v>
      </c>
      <c r="E3" s="415" t="s">
        <v>16</v>
      </c>
      <c r="F3" s="415" t="s">
        <v>17</v>
      </c>
      <c r="G3" s="415" t="s">
        <v>18</v>
      </c>
      <c r="H3" s="415" t="s">
        <v>19</v>
      </c>
      <c r="I3" s="415" t="s">
        <v>20</v>
      </c>
      <c r="J3" s="415" t="s">
        <v>21</v>
      </c>
      <c r="K3" s="415" t="s">
        <v>22</v>
      </c>
      <c r="L3" s="415" t="s">
        <v>23</v>
      </c>
      <c r="M3" s="415" t="s">
        <v>24</v>
      </c>
      <c r="N3" s="415" t="s">
        <v>25</v>
      </c>
      <c r="O3" s="415" t="s">
        <v>26</v>
      </c>
      <c r="P3" s="415" t="s">
        <v>27</v>
      </c>
      <c r="Q3" s="415" t="s">
        <v>28</v>
      </c>
      <c r="R3" s="415" t="s">
        <v>29</v>
      </c>
      <c r="S3" s="415" t="s">
        <v>30</v>
      </c>
      <c r="T3" s="415" t="s">
        <v>31</v>
      </c>
      <c r="U3" s="415" t="s">
        <v>32</v>
      </c>
      <c r="V3" s="415" t="s">
        <v>33</v>
      </c>
      <c r="W3" s="415" t="s">
        <v>34</v>
      </c>
      <c r="X3" s="415" t="s">
        <v>35</v>
      </c>
      <c r="Y3" s="415" t="s">
        <v>36</v>
      </c>
      <c r="Z3" s="415" t="s">
        <v>37</v>
      </c>
      <c r="AA3" s="415" t="s">
        <v>38</v>
      </c>
      <c r="AB3" s="415" t="s">
        <v>39</v>
      </c>
      <c r="AC3" s="415" t="s">
        <v>40</v>
      </c>
      <c r="AD3" s="415" t="s">
        <v>41</v>
      </c>
      <c r="AE3" s="415" t="s">
        <v>42</v>
      </c>
    </row>
    <row r="4" spans="1:31" ht="52.5" customHeight="1">
      <c r="A4" s="210" t="s">
        <v>43</v>
      </c>
      <c r="B4" s="334" t="s">
        <v>44</v>
      </c>
      <c r="C4" s="334" t="s">
        <v>45</v>
      </c>
      <c r="D4" s="760" t="s">
        <v>46</v>
      </c>
      <c r="E4" s="761"/>
      <c r="F4" s="745" t="s">
        <v>47</v>
      </c>
      <c r="G4" s="745"/>
      <c r="H4" s="417" t="s">
        <v>48</v>
      </c>
      <c r="I4" s="745" t="s">
        <v>49</v>
      </c>
      <c r="J4" s="745"/>
      <c r="K4" s="745" t="s">
        <v>50</v>
      </c>
      <c r="L4" s="745"/>
      <c r="M4" s="417" t="s">
        <v>51</v>
      </c>
      <c r="N4" s="417" t="s">
        <v>52</v>
      </c>
      <c r="O4" s="737" t="s">
        <v>53</v>
      </c>
      <c r="P4" s="738"/>
      <c r="Q4" s="739" t="s">
        <v>54</v>
      </c>
      <c r="R4" s="738"/>
      <c r="S4" s="739" t="s">
        <v>54</v>
      </c>
      <c r="T4" s="738"/>
      <c r="U4" s="739" t="s">
        <v>55</v>
      </c>
      <c r="V4" s="738"/>
      <c r="W4" s="418"/>
      <c r="X4" s="731" t="s">
        <v>56</v>
      </c>
      <c r="Y4" s="731"/>
      <c r="Z4" s="731"/>
      <c r="AA4" s="731" t="s">
        <v>57</v>
      </c>
      <c r="AB4" s="731"/>
      <c r="AC4" s="731" t="s">
        <v>58</v>
      </c>
      <c r="AD4" s="731"/>
      <c r="AE4" s="719"/>
    </row>
    <row r="5" spans="1:31" ht="52.5" hidden="1" customHeight="1">
      <c r="A5" s="210" t="s">
        <v>59</v>
      </c>
      <c r="B5" s="304" t="s">
        <v>60</v>
      </c>
      <c r="C5" s="304" t="s">
        <v>61</v>
      </c>
      <c r="D5" s="416"/>
      <c r="E5" s="417"/>
      <c r="F5" s="750"/>
      <c r="G5" s="751"/>
      <c r="H5" s="751"/>
      <c r="I5" s="751"/>
      <c r="J5" s="751"/>
      <c r="K5" s="751"/>
      <c r="L5" s="751"/>
      <c r="M5" s="751"/>
      <c r="N5" s="751"/>
      <c r="O5" s="751"/>
      <c r="P5" s="751"/>
      <c r="Q5" s="751"/>
      <c r="R5" s="751"/>
      <c r="S5" s="751"/>
      <c r="T5" s="751"/>
      <c r="U5" s="772"/>
      <c r="V5" s="739" t="s">
        <v>62</v>
      </c>
      <c r="W5" s="738"/>
      <c r="X5" s="418"/>
      <c r="Y5" s="418"/>
      <c r="Z5" s="418"/>
      <c r="AA5" s="24"/>
    </row>
    <row r="6" spans="1:31" ht="63.75" customHeight="1">
      <c r="A6" s="285" t="s">
        <v>63</v>
      </c>
      <c r="B6" s="285" t="s">
        <v>64</v>
      </c>
      <c r="C6" s="735" t="s">
        <v>65</v>
      </c>
      <c r="D6" s="419" t="s">
        <v>66</v>
      </c>
      <c r="E6" s="419" t="s">
        <v>67</v>
      </c>
      <c r="F6" s="419" t="s">
        <v>68</v>
      </c>
      <c r="G6" s="419" t="s">
        <v>69</v>
      </c>
      <c r="H6" s="742" t="s">
        <v>70</v>
      </c>
      <c r="I6" s="742"/>
      <c r="J6" s="742"/>
      <c r="K6" s="741" t="s">
        <v>71</v>
      </c>
      <c r="L6" s="741"/>
      <c r="M6" s="419" t="s">
        <v>72</v>
      </c>
      <c r="N6" s="564" t="s">
        <v>73</v>
      </c>
      <c r="O6" s="758" t="s">
        <v>74</v>
      </c>
      <c r="P6" s="758"/>
      <c r="Q6" s="758"/>
      <c r="R6" s="758"/>
      <c r="S6" s="758"/>
      <c r="T6" s="758"/>
      <c r="U6" s="768" t="s">
        <v>75</v>
      </c>
      <c r="V6" s="768"/>
      <c r="W6" s="768"/>
      <c r="X6" s="725" t="s">
        <v>76</v>
      </c>
      <c r="Y6" s="726"/>
      <c r="Z6" s="726"/>
      <c r="AA6" s="726"/>
      <c r="AB6" s="726"/>
      <c r="AC6" s="726"/>
      <c r="AD6" s="726"/>
      <c r="AE6" s="727"/>
    </row>
    <row r="7" spans="1:31" ht="63.75" hidden="1" customHeight="1">
      <c r="A7" s="413" t="s">
        <v>77</v>
      </c>
      <c r="B7" s="285" t="s">
        <v>78</v>
      </c>
      <c r="C7" s="736"/>
      <c r="D7" s="419"/>
      <c r="E7" s="419"/>
      <c r="F7" s="750"/>
      <c r="G7" s="751"/>
      <c r="H7" s="751"/>
      <c r="I7" s="751"/>
      <c r="J7" s="751"/>
      <c r="K7" s="751"/>
      <c r="L7" s="751"/>
      <c r="M7" s="751"/>
      <c r="N7" s="751"/>
      <c r="O7" s="752"/>
      <c r="P7" s="752"/>
      <c r="Q7" s="752"/>
      <c r="R7" s="752"/>
      <c r="S7" s="752"/>
      <c r="T7" s="752"/>
      <c r="U7" s="752"/>
      <c r="V7" s="752"/>
      <c r="W7" s="752"/>
      <c r="X7" s="752"/>
      <c r="Y7" s="753"/>
      <c r="Z7" s="769" t="s">
        <v>79</v>
      </c>
      <c r="AA7" s="770"/>
      <c r="AB7" s="771"/>
      <c r="AC7" s="771"/>
      <c r="AD7" s="26"/>
      <c r="AE7" s="26"/>
    </row>
    <row r="8" spans="1:31" ht="57" customHeight="1">
      <c r="A8" s="413" t="s">
        <v>80</v>
      </c>
      <c r="B8" s="285" t="s">
        <v>64</v>
      </c>
      <c r="C8" s="413" t="s">
        <v>81</v>
      </c>
      <c r="D8" s="421" t="s">
        <v>82</v>
      </c>
      <c r="E8" s="421" t="s">
        <v>83</v>
      </c>
      <c r="F8" s="421" t="s">
        <v>84</v>
      </c>
      <c r="G8" s="421" t="s">
        <v>85</v>
      </c>
      <c r="H8" s="749" t="s">
        <v>86</v>
      </c>
      <c r="I8" s="749"/>
      <c r="J8" s="749"/>
      <c r="K8" s="747" t="s">
        <v>87</v>
      </c>
      <c r="L8" s="748"/>
      <c r="M8" s="653" t="s">
        <v>72</v>
      </c>
      <c r="N8" s="754" t="s">
        <v>88</v>
      </c>
      <c r="O8" s="755"/>
      <c r="P8" s="757" t="s">
        <v>89</v>
      </c>
      <c r="Q8" s="757"/>
      <c r="R8" s="757"/>
      <c r="S8" s="567" t="s">
        <v>90</v>
      </c>
      <c r="T8" s="568" t="s">
        <v>91</v>
      </c>
      <c r="U8" s="775" t="s">
        <v>92</v>
      </c>
      <c r="V8" s="776"/>
      <c r="W8" s="776"/>
      <c r="X8" s="776"/>
      <c r="Y8" s="776"/>
      <c r="Z8" s="776"/>
      <c r="AA8" s="776"/>
      <c r="AB8" s="776"/>
      <c r="AC8" s="776"/>
      <c r="AD8" s="776"/>
      <c r="AE8" s="777"/>
    </row>
    <row r="9" spans="1:31" ht="51" customHeight="1">
      <c r="A9" s="302" t="s">
        <v>93</v>
      </c>
      <c r="B9" s="302" t="s">
        <v>94</v>
      </c>
      <c r="C9" s="302" t="s">
        <v>95</v>
      </c>
      <c r="D9" s="422"/>
      <c r="E9" s="746" t="s">
        <v>96</v>
      </c>
      <c r="F9" s="746"/>
      <c r="G9" s="423" t="s">
        <v>97</v>
      </c>
      <c r="H9" s="424" t="s">
        <v>98</v>
      </c>
      <c r="I9" s="423" t="s">
        <v>99</v>
      </c>
      <c r="J9" s="425"/>
      <c r="K9" s="426"/>
      <c r="L9" s="426"/>
      <c r="M9" s="565" t="s">
        <v>100</v>
      </c>
      <c r="N9" s="566" t="s">
        <v>101</v>
      </c>
      <c r="O9" s="756" t="s">
        <v>102</v>
      </c>
      <c r="P9" s="756"/>
      <c r="Q9" s="756"/>
      <c r="R9" s="756"/>
      <c r="S9" s="756"/>
      <c r="T9" s="756"/>
      <c r="U9" s="756"/>
      <c r="V9" s="756"/>
      <c r="W9" s="756" t="s">
        <v>103</v>
      </c>
      <c r="X9" s="756"/>
      <c r="Y9" s="773" t="s">
        <v>104</v>
      </c>
      <c r="Z9" s="774"/>
      <c r="AA9" s="768" t="s">
        <v>105</v>
      </c>
      <c r="AB9" s="768"/>
      <c r="AC9" s="768"/>
      <c r="AD9" s="768"/>
      <c r="AE9" s="768"/>
    </row>
    <row r="10" spans="1:31" ht="80.099999999999994" customHeight="1">
      <c r="A10" s="334" t="s">
        <v>106</v>
      </c>
      <c r="B10" s="334"/>
      <c r="C10" s="334" t="s">
        <v>107</v>
      </c>
      <c r="D10" s="743"/>
      <c r="E10" s="743"/>
      <c r="F10" s="743"/>
      <c r="G10" s="743"/>
      <c r="H10" s="423"/>
      <c r="I10" s="424" t="s">
        <v>108</v>
      </c>
      <c r="J10" s="424" t="s">
        <v>109</v>
      </c>
      <c r="K10" s="424" t="s">
        <v>110</v>
      </c>
      <c r="L10" s="424" t="s">
        <v>111</v>
      </c>
      <c r="M10" s="422" t="s">
        <v>112</v>
      </c>
      <c r="N10" s="420" t="s">
        <v>113</v>
      </c>
      <c r="O10" s="740" t="s">
        <v>114</v>
      </c>
      <c r="P10" s="741"/>
      <c r="Q10" s="741"/>
      <c r="R10" s="499" t="s">
        <v>115</v>
      </c>
      <c r="S10" s="741" t="s">
        <v>114</v>
      </c>
      <c r="T10" s="741"/>
      <c r="U10" s="741"/>
      <c r="V10" s="741" t="s">
        <v>116</v>
      </c>
      <c r="W10" s="741"/>
      <c r="X10" s="728" t="s">
        <v>117</v>
      </c>
      <c r="Y10" s="729"/>
      <c r="Z10" s="729"/>
      <c r="AA10" s="729"/>
      <c r="AB10" s="729"/>
      <c r="AC10" s="729"/>
      <c r="AD10" s="729"/>
      <c r="AE10" s="730"/>
    </row>
    <row r="11" spans="1:31" ht="48" hidden="1" customHeight="1">
      <c r="A11" s="303" t="s">
        <v>118</v>
      </c>
      <c r="B11" s="303"/>
      <c r="C11" s="303"/>
      <c r="D11" s="744"/>
      <c r="E11" s="744"/>
      <c r="F11" s="744"/>
      <c r="G11" s="745" t="s">
        <v>119</v>
      </c>
      <c r="H11" s="745"/>
      <c r="I11" s="745"/>
      <c r="J11" s="745" t="s">
        <v>120</v>
      </c>
      <c r="K11" s="745"/>
      <c r="L11" s="416" t="s">
        <v>121</v>
      </c>
      <c r="M11" s="416"/>
      <c r="N11" s="416"/>
      <c r="O11" s="750"/>
      <c r="P11" s="751"/>
      <c r="Q11" s="751"/>
      <c r="R11" s="751"/>
      <c r="S11" s="751"/>
      <c r="T11" s="751"/>
      <c r="U11" s="751"/>
      <c r="V11" s="751"/>
      <c r="W11" s="751"/>
      <c r="X11" s="751"/>
      <c r="Y11" s="751"/>
      <c r="Z11" s="24"/>
      <c r="AA11" s="720"/>
      <c r="AB11" s="26"/>
      <c r="AC11" s="26"/>
      <c r="AD11" s="26"/>
      <c r="AE11" s="26"/>
    </row>
    <row r="12" spans="1:31">
      <c r="F12" s="182"/>
      <c r="G12" s="182"/>
      <c r="H12" s="182"/>
      <c r="I12" s="182"/>
      <c r="J12" s="182"/>
      <c r="K12" s="182"/>
      <c r="L12" s="182"/>
      <c r="M12" s="182"/>
      <c r="N12" s="182"/>
      <c r="O12" s="182"/>
      <c r="P12" s="182"/>
      <c r="Q12" s="199"/>
    </row>
  </sheetData>
  <mergeCells count="50">
    <mergeCell ref="D1:F1"/>
    <mergeCell ref="D2:F2"/>
    <mergeCell ref="G2:J2"/>
    <mergeCell ref="K2:N2"/>
    <mergeCell ref="D4:E4"/>
    <mergeCell ref="F4:G4"/>
    <mergeCell ref="I4:J4"/>
    <mergeCell ref="G1:S1"/>
    <mergeCell ref="O2:S2"/>
    <mergeCell ref="D11:F11"/>
    <mergeCell ref="G11:I11"/>
    <mergeCell ref="E9:F9"/>
    <mergeCell ref="K4:L4"/>
    <mergeCell ref="K8:L8"/>
    <mergeCell ref="H8:J8"/>
    <mergeCell ref="F7:Y7"/>
    <mergeCell ref="S4:T4"/>
    <mergeCell ref="J11:K11"/>
    <mergeCell ref="N8:O8"/>
    <mergeCell ref="O9:V9"/>
    <mergeCell ref="P8:R8"/>
    <mergeCell ref="O11:Y11"/>
    <mergeCell ref="S10:U10"/>
    <mergeCell ref="O6:T6"/>
    <mergeCell ref="V10:W10"/>
    <mergeCell ref="C6:C7"/>
    <mergeCell ref="O4:P4"/>
    <mergeCell ref="Q4:R4"/>
    <mergeCell ref="O10:Q10"/>
    <mergeCell ref="H6:J6"/>
    <mergeCell ref="K6:L6"/>
    <mergeCell ref="D10:G10"/>
    <mergeCell ref="F5:U5"/>
    <mergeCell ref="U8:AE8"/>
    <mergeCell ref="X6:AE6"/>
    <mergeCell ref="X10:AE10"/>
    <mergeCell ref="AC4:AD4"/>
    <mergeCell ref="AB2:AE2"/>
    <mergeCell ref="T1:AE1"/>
    <mergeCell ref="X2:AA2"/>
    <mergeCell ref="T2:W2"/>
    <mergeCell ref="U6:W6"/>
    <mergeCell ref="U4:V4"/>
    <mergeCell ref="Z7:AC7"/>
    <mergeCell ref="W9:X9"/>
    <mergeCell ref="V5:W5"/>
    <mergeCell ref="X4:Z4"/>
    <mergeCell ref="AA4:AB4"/>
    <mergeCell ref="Y9:Z9"/>
    <mergeCell ref="AA9:AE9"/>
  </mergeCells>
  <phoneticPr fontId="2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49747-7261-475D-948B-A3EF5F31F011}">
  <sheetPr codeName="Sheet3"/>
  <dimension ref="A1:J49"/>
  <sheetViews>
    <sheetView workbookViewId="0">
      <pane xSplit="3" ySplit="1" topLeftCell="G14" activePane="bottomRight" state="frozen"/>
      <selection pane="bottomRight" activeCell="H26" sqref="H26:H28"/>
      <selection pane="bottomLeft"/>
      <selection pane="topRight"/>
    </sheetView>
  </sheetViews>
  <sheetFormatPr defaultRowHeight="18.600000000000001"/>
  <cols>
    <col min="1" max="1" width="9.125" style="12"/>
    <col min="2" max="2" width="10" style="12" customWidth="1"/>
    <col min="4" max="4" width="25.875" style="7" customWidth="1"/>
    <col min="5" max="5" width="44" customWidth="1"/>
    <col min="6" max="6" width="67.375" customWidth="1"/>
    <col min="7" max="7" width="50.125" customWidth="1"/>
    <col min="8" max="8" width="41.375" customWidth="1"/>
  </cols>
  <sheetData>
    <row r="1" spans="1:10">
      <c r="A1" s="5" t="s">
        <v>0</v>
      </c>
      <c r="B1" s="8" t="s">
        <v>4</v>
      </c>
      <c r="C1" s="8" t="s">
        <v>12</v>
      </c>
      <c r="D1" s="10" t="s">
        <v>122</v>
      </c>
      <c r="E1" s="10" t="s">
        <v>13</v>
      </c>
      <c r="F1" s="17" t="s">
        <v>123</v>
      </c>
      <c r="G1" s="17" t="s">
        <v>124</v>
      </c>
      <c r="H1" s="17" t="s">
        <v>125</v>
      </c>
    </row>
    <row r="2" spans="1:10" ht="80.25" customHeight="1">
      <c r="A2" s="786" t="s">
        <v>1</v>
      </c>
      <c r="B2" s="787" t="s">
        <v>126</v>
      </c>
      <c r="C2" s="15" t="s">
        <v>127</v>
      </c>
      <c r="D2" s="3" t="s">
        <v>128</v>
      </c>
      <c r="E2" s="195"/>
      <c r="F2" s="23" t="s">
        <v>129</v>
      </c>
      <c r="G2" s="20"/>
      <c r="H2" s="76" t="s">
        <v>130</v>
      </c>
    </row>
    <row r="3" spans="1:10" ht="72" customHeight="1">
      <c r="A3" s="786"/>
      <c r="B3" s="787"/>
      <c r="C3" s="15" t="s">
        <v>131</v>
      </c>
      <c r="D3" s="785" t="s">
        <v>132</v>
      </c>
      <c r="E3" s="195" t="s">
        <v>133</v>
      </c>
      <c r="F3" s="780" t="s">
        <v>134</v>
      </c>
      <c r="G3" s="21" t="s">
        <v>135</v>
      </c>
      <c r="H3" s="24"/>
    </row>
    <row r="4" spans="1:10" ht="82.5" customHeight="1">
      <c r="A4" s="786"/>
      <c r="B4" s="787"/>
      <c r="C4" s="15" t="s">
        <v>136</v>
      </c>
      <c r="D4" s="785"/>
      <c r="E4" s="196" t="s">
        <v>137</v>
      </c>
      <c r="F4" s="781"/>
      <c r="G4" s="22" t="s">
        <v>138</v>
      </c>
      <c r="H4" s="24"/>
    </row>
    <row r="5" spans="1:10" ht="215.45" customHeight="1">
      <c r="A5" s="786"/>
      <c r="B5" s="787"/>
      <c r="C5" s="15" t="s">
        <v>139</v>
      </c>
      <c r="D5" s="793" t="s">
        <v>140</v>
      </c>
      <c r="E5" s="197" t="s">
        <v>141</v>
      </c>
      <c r="F5" s="291" t="s">
        <v>142</v>
      </c>
      <c r="G5" s="21" t="s">
        <v>143</v>
      </c>
      <c r="H5" s="25" t="e" vm="1">
        <v>#VALUE!</v>
      </c>
    </row>
    <row r="6" spans="1:10" ht="159" customHeight="1">
      <c r="A6" s="786"/>
      <c r="B6" s="787" t="s">
        <v>5</v>
      </c>
      <c r="C6" s="13" t="s">
        <v>144</v>
      </c>
      <c r="D6" s="793"/>
      <c r="E6" s="197" t="s">
        <v>145</v>
      </c>
      <c r="F6" s="290" t="s">
        <v>146</v>
      </c>
      <c r="G6" s="21" t="s">
        <v>147</v>
      </c>
      <c r="H6" s="24"/>
    </row>
    <row r="7" spans="1:10" ht="123" customHeight="1">
      <c r="A7" s="786"/>
      <c r="B7" s="787"/>
      <c r="C7" s="16" t="s">
        <v>15</v>
      </c>
      <c r="D7" s="793"/>
      <c r="E7" s="197" t="s">
        <v>148</v>
      </c>
      <c r="F7" s="289" t="s">
        <v>149</v>
      </c>
      <c r="G7" s="22" t="s">
        <v>150</v>
      </c>
      <c r="H7" s="188"/>
      <c r="J7" s="4" t="s">
        <v>151</v>
      </c>
    </row>
    <row r="8" spans="1:10" ht="153" customHeight="1">
      <c r="A8" s="786"/>
      <c r="B8" s="787"/>
      <c r="C8" s="13" t="s">
        <v>16</v>
      </c>
      <c r="D8" s="791"/>
      <c r="E8" s="198" t="s">
        <v>152</v>
      </c>
      <c r="F8" s="288" t="s">
        <v>153</v>
      </c>
      <c r="G8" s="22" t="s">
        <v>154</v>
      </c>
      <c r="H8" s="186"/>
    </row>
    <row r="9" spans="1:10" ht="114.75" customHeight="1">
      <c r="A9" s="786"/>
      <c r="B9" s="788"/>
      <c r="C9" s="16" t="s">
        <v>17</v>
      </c>
      <c r="D9" s="789" t="s">
        <v>155</v>
      </c>
      <c r="E9" s="200" t="s">
        <v>156</v>
      </c>
      <c r="F9" s="287" t="s">
        <v>157</v>
      </c>
      <c r="G9" s="21" t="s">
        <v>158</v>
      </c>
      <c r="H9" s="184"/>
    </row>
    <row r="10" spans="1:10" ht="138.75" customHeight="1">
      <c r="A10" s="794" t="s">
        <v>2</v>
      </c>
      <c r="B10" s="794" t="s">
        <v>6</v>
      </c>
      <c r="C10" s="13" t="s">
        <v>18</v>
      </c>
      <c r="D10" s="790"/>
      <c r="E10" s="200" t="s">
        <v>85</v>
      </c>
      <c r="F10" s="199"/>
      <c r="G10" s="21" t="s">
        <v>159</v>
      </c>
      <c r="H10" s="330" t="s">
        <v>160</v>
      </c>
    </row>
    <row r="11" spans="1:10" ht="32.25" customHeight="1">
      <c r="A11" s="794"/>
      <c r="B11" s="794"/>
      <c r="C11" s="13" t="s">
        <v>19</v>
      </c>
      <c r="D11" s="790"/>
      <c r="E11" s="200" t="s">
        <v>161</v>
      </c>
      <c r="F11" s="187"/>
      <c r="G11" s="286"/>
      <c r="H11" s="184"/>
    </row>
    <row r="12" spans="1:10" ht="32.1" customHeight="1">
      <c r="A12" s="794"/>
      <c r="B12" s="794"/>
      <c r="C12" s="13" t="s">
        <v>20</v>
      </c>
      <c r="D12" s="791"/>
      <c r="E12" s="778"/>
      <c r="F12" s="187"/>
      <c r="G12" s="286"/>
      <c r="H12" s="184"/>
    </row>
    <row r="13" spans="1:10" ht="16.5" thickBot="1">
      <c r="A13" s="794"/>
      <c r="B13" s="796"/>
      <c r="C13" s="189" t="s">
        <v>21</v>
      </c>
      <c r="D13" s="792"/>
      <c r="E13" s="779"/>
      <c r="F13" s="194" t="s">
        <v>162</v>
      </c>
      <c r="G13" s="26"/>
      <c r="H13" s="190"/>
    </row>
    <row r="14" spans="1:10" ht="16.5" thickTop="1">
      <c r="A14" s="795"/>
      <c r="B14" s="797" t="s">
        <v>7</v>
      </c>
      <c r="C14" s="14" t="s">
        <v>22</v>
      </c>
      <c r="D14" s="4"/>
      <c r="E14" s="4"/>
      <c r="G14" s="4"/>
    </row>
    <row r="15" spans="1:10" ht="15.95">
      <c r="A15" s="795"/>
      <c r="B15" s="794"/>
      <c r="C15" s="1" t="s">
        <v>23</v>
      </c>
      <c r="D15" s="4"/>
      <c r="E15" s="4"/>
      <c r="G15" s="4"/>
    </row>
    <row r="16" spans="1:10" ht="15.95">
      <c r="A16" s="795"/>
      <c r="B16" s="794"/>
      <c r="C16" s="1" t="s">
        <v>24</v>
      </c>
      <c r="D16" s="4"/>
      <c r="E16" s="4"/>
      <c r="G16" s="4"/>
    </row>
    <row r="17" spans="1:8" ht="15.95">
      <c r="A17" s="795"/>
      <c r="B17" s="794"/>
      <c r="C17" s="1" t="s">
        <v>25</v>
      </c>
      <c r="E17" s="4"/>
      <c r="G17" s="4"/>
    </row>
    <row r="18" spans="1:8" ht="15.95">
      <c r="A18" s="795"/>
      <c r="B18" s="794" t="s">
        <v>8</v>
      </c>
      <c r="C18" s="1" t="s">
        <v>26</v>
      </c>
      <c r="D18" s="4"/>
      <c r="E18" s="4"/>
      <c r="G18" s="4"/>
    </row>
    <row r="19" spans="1:8" ht="48" customHeight="1">
      <c r="A19" s="795"/>
      <c r="B19" s="794"/>
      <c r="C19" s="13" t="s">
        <v>27</v>
      </c>
      <c r="D19" s="804" t="s">
        <v>163</v>
      </c>
      <c r="E19" s="802" t="s">
        <v>164</v>
      </c>
      <c r="F19" s="782"/>
      <c r="G19" s="808"/>
      <c r="H19" s="810" t="s">
        <v>165</v>
      </c>
    </row>
    <row r="20" spans="1:8" ht="15.95" customHeight="1">
      <c r="A20" s="795"/>
      <c r="B20" s="794"/>
      <c r="C20" s="13" t="s">
        <v>28</v>
      </c>
      <c r="D20" s="804"/>
      <c r="E20" s="802"/>
      <c r="F20" s="783"/>
      <c r="G20" s="809"/>
      <c r="H20" s="811"/>
    </row>
    <row r="21" spans="1:8" ht="48" customHeight="1">
      <c r="A21" s="795"/>
      <c r="B21" s="794"/>
      <c r="C21" s="13" t="s">
        <v>29</v>
      </c>
      <c r="D21" s="804"/>
      <c r="E21" s="802" t="s">
        <v>166</v>
      </c>
      <c r="F21" s="782"/>
      <c r="G21" s="808"/>
      <c r="H21" s="810" t="s">
        <v>167</v>
      </c>
    </row>
    <row r="22" spans="1:8" ht="15.75" customHeight="1">
      <c r="A22" s="806" t="s">
        <v>3</v>
      </c>
      <c r="B22" s="807" t="s">
        <v>9</v>
      </c>
      <c r="C22" s="13" t="s">
        <v>30</v>
      </c>
      <c r="D22" s="804"/>
      <c r="E22" s="802"/>
      <c r="F22" s="783"/>
      <c r="G22" s="809"/>
      <c r="H22" s="811"/>
    </row>
    <row r="23" spans="1:8" ht="15.75" customHeight="1">
      <c r="A23" s="806"/>
      <c r="B23" s="807"/>
      <c r="C23" s="13" t="s">
        <v>31</v>
      </c>
      <c r="D23" s="804"/>
      <c r="E23" s="802" t="s">
        <v>168</v>
      </c>
      <c r="F23" s="782"/>
      <c r="G23" s="808"/>
      <c r="H23" s="810" t="s">
        <v>169</v>
      </c>
    </row>
    <row r="24" spans="1:8" ht="15.75" customHeight="1">
      <c r="A24" s="806"/>
      <c r="B24" s="807"/>
      <c r="C24" s="440" t="s">
        <v>32</v>
      </c>
      <c r="D24" s="804"/>
      <c r="E24" s="802"/>
      <c r="F24" s="784"/>
      <c r="G24" s="812"/>
      <c r="H24" s="813"/>
    </row>
    <row r="25" spans="1:8" ht="15.75" customHeight="1">
      <c r="A25" s="806"/>
      <c r="B25" s="807"/>
      <c r="C25" s="13" t="s">
        <v>33</v>
      </c>
      <c r="D25" s="804"/>
      <c r="E25" s="802"/>
      <c r="F25" s="783"/>
      <c r="G25" s="809"/>
      <c r="H25" s="811"/>
    </row>
    <row r="26" spans="1:8" ht="15.75" customHeight="1">
      <c r="A26" s="806"/>
      <c r="B26" s="807"/>
      <c r="C26" s="13" t="s">
        <v>34</v>
      </c>
      <c r="D26" s="805" t="s">
        <v>170</v>
      </c>
      <c r="E26" s="802" t="s">
        <v>171</v>
      </c>
      <c r="F26" s="782"/>
      <c r="G26" s="808"/>
      <c r="H26" s="810" t="s">
        <v>172</v>
      </c>
    </row>
    <row r="27" spans="1:8" ht="15.95">
      <c r="A27" s="806"/>
      <c r="B27" s="807" t="s">
        <v>10</v>
      </c>
      <c r="C27" s="13" t="s">
        <v>35</v>
      </c>
      <c r="D27" s="805"/>
      <c r="E27" s="803"/>
      <c r="F27" s="784"/>
      <c r="G27" s="812"/>
      <c r="H27" s="813"/>
    </row>
    <row r="28" spans="1:8" ht="15.95">
      <c r="A28" s="806"/>
      <c r="B28" s="807"/>
      <c r="C28" s="13" t="s">
        <v>36</v>
      </c>
      <c r="D28" s="805"/>
      <c r="E28" s="803"/>
      <c r="F28" s="783"/>
      <c r="G28" s="809"/>
      <c r="H28" s="811"/>
    </row>
    <row r="29" spans="1:8" ht="15.95">
      <c r="A29" s="806"/>
      <c r="B29" s="807"/>
      <c r="C29" s="1" t="s">
        <v>37</v>
      </c>
      <c r="D29" s="9"/>
      <c r="E29" s="4"/>
      <c r="G29" s="4"/>
    </row>
    <row r="30" spans="1:8" ht="15.95">
      <c r="A30" s="806"/>
      <c r="B30" s="807"/>
      <c r="C30" s="1" t="s">
        <v>38</v>
      </c>
      <c r="D30" s="9"/>
      <c r="E30" s="4"/>
      <c r="G30" s="4"/>
    </row>
    <row r="31" spans="1:8" ht="15.95">
      <c r="A31" s="806"/>
      <c r="B31" s="807" t="s">
        <v>11</v>
      </c>
      <c r="C31" s="1" t="s">
        <v>39</v>
      </c>
      <c r="D31" s="9"/>
      <c r="E31" s="4"/>
      <c r="G31" s="4"/>
    </row>
    <row r="32" spans="1:8" ht="15.95">
      <c r="A32" s="806"/>
      <c r="B32" s="807"/>
      <c r="C32" s="1" t="s">
        <v>40</v>
      </c>
      <c r="D32" s="9"/>
      <c r="E32" s="4"/>
      <c r="G32" s="4"/>
    </row>
    <row r="33" spans="1:7" ht="15.75" customHeight="1">
      <c r="A33" s="806"/>
      <c r="B33" s="807"/>
      <c r="C33" s="1" t="s">
        <v>41</v>
      </c>
      <c r="D33" s="9"/>
      <c r="E33" s="4"/>
      <c r="G33" s="4"/>
    </row>
    <row r="34" spans="1:7" ht="15.75" customHeight="1">
      <c r="A34" s="806"/>
      <c r="B34" s="807"/>
      <c r="C34" s="1" t="s">
        <v>42</v>
      </c>
      <c r="D34" s="9"/>
      <c r="E34" s="4"/>
      <c r="G34" s="4"/>
    </row>
    <row r="35" spans="1:7" ht="15.95">
      <c r="A35" s="806"/>
      <c r="B35" s="807"/>
      <c r="C35" s="1" t="s">
        <v>173</v>
      </c>
      <c r="D35" s="9"/>
      <c r="E35" s="4"/>
      <c r="G35" s="4"/>
    </row>
    <row r="36" spans="1:7" ht="15.75" customHeight="1">
      <c r="A36" s="798" t="s">
        <v>174</v>
      </c>
      <c r="B36" s="800" t="s">
        <v>175</v>
      </c>
      <c r="C36" s="1" t="s">
        <v>176</v>
      </c>
      <c r="D36" s="9"/>
      <c r="E36" s="4"/>
      <c r="G36" s="4"/>
    </row>
    <row r="37" spans="1:7" ht="15.75" customHeight="1">
      <c r="A37" s="798"/>
      <c r="B37" s="800"/>
      <c r="C37" s="1" t="s">
        <v>177</v>
      </c>
      <c r="D37" s="9"/>
      <c r="E37" s="4"/>
      <c r="G37" s="4"/>
    </row>
    <row r="38" spans="1:7" ht="15.95">
      <c r="A38" s="798"/>
      <c r="B38" s="800"/>
      <c r="C38" s="1" t="s">
        <v>178</v>
      </c>
      <c r="D38" s="9"/>
      <c r="E38" s="4"/>
      <c r="G38" s="4"/>
    </row>
    <row r="39" spans="1:7" ht="15.95">
      <c r="A39" s="798"/>
      <c r="B39" s="800"/>
      <c r="C39" s="1" t="s">
        <v>179</v>
      </c>
      <c r="D39" s="9"/>
      <c r="E39" s="4"/>
      <c r="G39" s="4"/>
    </row>
    <row r="40" spans="1:7" ht="15.95">
      <c r="A40" s="798"/>
      <c r="B40" s="800" t="s">
        <v>180</v>
      </c>
      <c r="C40" s="1" t="s">
        <v>181</v>
      </c>
      <c r="D40" s="9"/>
      <c r="E40" s="4"/>
      <c r="G40" s="4"/>
    </row>
    <row r="41" spans="1:7" ht="15.95">
      <c r="A41" s="798"/>
      <c r="B41" s="800"/>
      <c r="C41" s="1" t="s">
        <v>182</v>
      </c>
      <c r="D41" s="9"/>
      <c r="E41" s="4"/>
      <c r="G41" s="4"/>
    </row>
    <row r="42" spans="1:7" ht="15.95">
      <c r="A42" s="798"/>
      <c r="B42" s="800"/>
      <c r="C42" s="1" t="s">
        <v>183</v>
      </c>
      <c r="D42" s="9"/>
      <c r="E42" s="4"/>
      <c r="G42" s="4"/>
    </row>
    <row r="43" spans="1:7" ht="15.95">
      <c r="A43" s="798"/>
      <c r="B43" s="800"/>
      <c r="C43" s="1" t="s">
        <v>184</v>
      </c>
      <c r="D43" s="9"/>
      <c r="E43" s="4"/>
      <c r="G43" s="4"/>
    </row>
    <row r="44" spans="1:7" ht="15.95">
      <c r="A44" s="798"/>
      <c r="B44" s="800"/>
      <c r="C44" s="1" t="s">
        <v>185</v>
      </c>
      <c r="D44" s="9"/>
      <c r="E44" s="4"/>
      <c r="G44" s="4"/>
    </row>
    <row r="45" spans="1:7" ht="15.95">
      <c r="A45" s="798"/>
      <c r="B45" s="800" t="s">
        <v>186</v>
      </c>
      <c r="C45" s="1" t="s">
        <v>187</v>
      </c>
      <c r="D45" s="9"/>
      <c r="E45" s="4"/>
      <c r="G45" s="4"/>
    </row>
    <row r="46" spans="1:7" ht="15.95">
      <c r="A46" s="798"/>
      <c r="B46" s="800"/>
      <c r="C46" s="1" t="s">
        <v>188</v>
      </c>
      <c r="D46" s="9"/>
      <c r="E46" s="4"/>
      <c r="G46" s="4"/>
    </row>
    <row r="47" spans="1:7" ht="15.95">
      <c r="A47" s="798"/>
      <c r="B47" s="800"/>
      <c r="C47" s="1" t="s">
        <v>189</v>
      </c>
      <c r="D47" s="9"/>
      <c r="E47" s="4"/>
      <c r="G47" s="4"/>
    </row>
    <row r="48" spans="1:7" ht="15.95">
      <c r="A48" s="799"/>
      <c r="B48" s="801"/>
      <c r="C48" s="2" t="s">
        <v>190</v>
      </c>
      <c r="D48" s="9"/>
      <c r="E48" s="4"/>
      <c r="G48" s="4"/>
    </row>
    <row r="49" spans="1:7">
      <c r="A49" s="11"/>
      <c r="B49" s="11"/>
      <c r="C49" s="6"/>
      <c r="D49" s="9"/>
      <c r="E49" s="4"/>
      <c r="G49" s="4"/>
    </row>
  </sheetData>
  <mergeCells count="39">
    <mergeCell ref="G23:G25"/>
    <mergeCell ref="H23:H25"/>
    <mergeCell ref="H26:H28"/>
    <mergeCell ref="G26:G28"/>
    <mergeCell ref="F26:F28"/>
    <mergeCell ref="G19:G20"/>
    <mergeCell ref="H19:H20"/>
    <mergeCell ref="F21:F22"/>
    <mergeCell ref="G21:G22"/>
    <mergeCell ref="H21:H22"/>
    <mergeCell ref="A36:A48"/>
    <mergeCell ref="B36:B39"/>
    <mergeCell ref="B40:B44"/>
    <mergeCell ref="B45:B48"/>
    <mergeCell ref="E23:E25"/>
    <mergeCell ref="E26:E28"/>
    <mergeCell ref="D19:D25"/>
    <mergeCell ref="D26:D28"/>
    <mergeCell ref="E19:E20"/>
    <mergeCell ref="E21:E22"/>
    <mergeCell ref="A22:A35"/>
    <mergeCell ref="B22:B26"/>
    <mergeCell ref="B27:B30"/>
    <mergeCell ref="B31:B35"/>
    <mergeCell ref="A2:A9"/>
    <mergeCell ref="B2:B5"/>
    <mergeCell ref="B6:B9"/>
    <mergeCell ref="D9:D11"/>
    <mergeCell ref="D12:D13"/>
    <mergeCell ref="D5:D8"/>
    <mergeCell ref="A10:A21"/>
    <mergeCell ref="B10:B13"/>
    <mergeCell ref="B14:B17"/>
    <mergeCell ref="B18:B21"/>
    <mergeCell ref="E12:E13"/>
    <mergeCell ref="F3:F4"/>
    <mergeCell ref="F19:F20"/>
    <mergeCell ref="F23:F25"/>
    <mergeCell ref="D3:D4"/>
  </mergeCells>
  <phoneticPr fontId="5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0C61-1009-408E-965E-91922B48A7A1}">
  <dimension ref="A1:AJ20"/>
  <sheetViews>
    <sheetView workbookViewId="0">
      <selection activeCell="Z12" sqref="Z12"/>
    </sheetView>
  </sheetViews>
  <sheetFormatPr defaultRowHeight="15.95"/>
  <cols>
    <col min="1" max="1" width="11.75" customWidth="1"/>
    <col min="2" max="6" width="5.125" customWidth="1"/>
    <col min="7" max="7" width="5.75" customWidth="1"/>
    <col min="8" max="36" width="5.125" customWidth="1"/>
  </cols>
  <sheetData>
    <row r="1" spans="1:36" ht="21">
      <c r="B1" s="824" t="s">
        <v>191</v>
      </c>
      <c r="C1" s="825"/>
      <c r="D1" s="826"/>
      <c r="E1" s="826"/>
      <c r="F1" s="827"/>
      <c r="G1" s="821" t="s">
        <v>192</v>
      </c>
      <c r="H1" s="821"/>
      <c r="I1" s="822"/>
      <c r="J1" s="822"/>
      <c r="K1" s="828"/>
      <c r="L1" s="820" t="s">
        <v>193</v>
      </c>
      <c r="M1" s="821"/>
      <c r="N1" s="822"/>
      <c r="O1" s="822"/>
      <c r="P1" s="828"/>
      <c r="Q1" s="820" t="s">
        <v>194</v>
      </c>
      <c r="R1" s="821"/>
      <c r="S1" s="822"/>
      <c r="T1" s="822"/>
      <c r="U1" s="828"/>
      <c r="V1" s="820" t="s">
        <v>195</v>
      </c>
      <c r="W1" s="821"/>
      <c r="X1" s="822"/>
      <c r="Y1" s="822"/>
      <c r="Z1" s="828"/>
      <c r="AA1" s="820" t="s">
        <v>196</v>
      </c>
      <c r="AB1" s="821"/>
      <c r="AC1" s="822"/>
      <c r="AD1" s="822"/>
      <c r="AE1" s="828"/>
      <c r="AF1" s="820" t="s">
        <v>197</v>
      </c>
      <c r="AG1" s="821"/>
      <c r="AH1" s="822"/>
      <c r="AI1" s="822"/>
      <c r="AJ1" s="823"/>
    </row>
    <row r="2" spans="1:36">
      <c r="B2" s="817" t="s">
        <v>198</v>
      </c>
      <c r="C2" s="818"/>
      <c r="D2" s="814" t="s">
        <v>199</v>
      </c>
      <c r="E2" s="815"/>
      <c r="F2" s="816"/>
      <c r="G2" s="815" t="s">
        <v>198</v>
      </c>
      <c r="H2" s="818"/>
      <c r="I2" s="814" t="s">
        <v>199</v>
      </c>
      <c r="J2" s="815"/>
      <c r="K2" s="816"/>
      <c r="L2" s="817" t="s">
        <v>198</v>
      </c>
      <c r="M2" s="818"/>
      <c r="N2" s="814" t="s">
        <v>199</v>
      </c>
      <c r="O2" s="815"/>
      <c r="P2" s="816"/>
      <c r="Q2" s="817" t="s">
        <v>198</v>
      </c>
      <c r="R2" s="818"/>
      <c r="S2" s="814" t="s">
        <v>199</v>
      </c>
      <c r="T2" s="815"/>
      <c r="U2" s="816"/>
      <c r="V2" s="817" t="s">
        <v>198</v>
      </c>
      <c r="W2" s="818"/>
      <c r="X2" s="814" t="s">
        <v>199</v>
      </c>
      <c r="Y2" s="815"/>
      <c r="Z2" s="816"/>
      <c r="AA2" s="817" t="s">
        <v>198</v>
      </c>
      <c r="AB2" s="818"/>
      <c r="AC2" s="814" t="s">
        <v>199</v>
      </c>
      <c r="AD2" s="815"/>
      <c r="AE2" s="816"/>
      <c r="AF2" s="817" t="s">
        <v>198</v>
      </c>
      <c r="AG2" s="818"/>
      <c r="AH2" s="814" t="s">
        <v>199</v>
      </c>
      <c r="AI2" s="815"/>
      <c r="AJ2" s="819"/>
    </row>
    <row r="3" spans="1:36" ht="16.5" thickBot="1">
      <c r="B3" s="443" t="s">
        <v>43</v>
      </c>
      <c r="C3" s="444" t="s">
        <v>59</v>
      </c>
      <c r="D3" s="445" t="s">
        <v>63</v>
      </c>
      <c r="E3" s="445" t="s">
        <v>80</v>
      </c>
      <c r="F3" s="446" t="s">
        <v>93</v>
      </c>
      <c r="G3" s="256" t="s">
        <v>43</v>
      </c>
      <c r="H3" s="256" t="s">
        <v>59</v>
      </c>
      <c r="I3" s="254" t="s">
        <v>63</v>
      </c>
      <c r="J3" s="254" t="s">
        <v>80</v>
      </c>
      <c r="K3" s="255" t="s">
        <v>93</v>
      </c>
      <c r="L3" s="433" t="s">
        <v>43</v>
      </c>
      <c r="M3" s="373" t="s">
        <v>59</v>
      </c>
      <c r="N3" s="348" t="s">
        <v>63</v>
      </c>
      <c r="O3" s="348" t="s">
        <v>80</v>
      </c>
      <c r="P3" s="434" t="s">
        <v>93</v>
      </c>
      <c r="Q3" s="257" t="s">
        <v>43</v>
      </c>
      <c r="R3" s="256" t="s">
        <v>59</v>
      </c>
      <c r="S3" s="254" t="s">
        <v>63</v>
      </c>
      <c r="T3" s="254" t="s">
        <v>80</v>
      </c>
      <c r="U3" s="255" t="s">
        <v>93</v>
      </c>
      <c r="V3" s="257" t="s">
        <v>43</v>
      </c>
      <c r="W3" s="256" t="s">
        <v>59</v>
      </c>
      <c r="X3" s="254" t="s">
        <v>63</v>
      </c>
      <c r="Y3" s="254" t="s">
        <v>80</v>
      </c>
      <c r="Z3" s="255" t="s">
        <v>93</v>
      </c>
      <c r="AA3" s="433" t="s">
        <v>43</v>
      </c>
      <c r="AB3" s="373" t="s">
        <v>59</v>
      </c>
      <c r="AC3" s="348" t="s">
        <v>63</v>
      </c>
      <c r="AD3" s="348" t="s">
        <v>80</v>
      </c>
      <c r="AE3" s="434" t="s">
        <v>93</v>
      </c>
      <c r="AF3" s="257" t="s">
        <v>43</v>
      </c>
      <c r="AG3" s="256" t="s">
        <v>59</v>
      </c>
      <c r="AH3" s="254" t="s">
        <v>63</v>
      </c>
      <c r="AI3" s="254" t="s">
        <v>80</v>
      </c>
      <c r="AJ3" s="258" t="s">
        <v>93</v>
      </c>
    </row>
    <row r="4" spans="1:36">
      <c r="A4" s="259" t="s">
        <v>200</v>
      </c>
      <c r="B4" s="705"/>
      <c r="C4" s="374"/>
      <c r="D4" s="706"/>
      <c r="E4" s="706"/>
      <c r="F4" s="442"/>
      <c r="G4" s="707"/>
      <c r="H4" s="374"/>
      <c r="I4" s="708"/>
      <c r="J4" s="709"/>
      <c r="K4" s="430"/>
      <c r="L4" s="710"/>
      <c r="M4" s="435"/>
      <c r="N4" s="712"/>
      <c r="O4" s="712"/>
      <c r="P4" s="436"/>
      <c r="Q4" s="707"/>
      <c r="R4" s="374"/>
      <c r="S4" s="709"/>
      <c r="T4" s="709"/>
      <c r="U4" s="375"/>
      <c r="V4" s="714"/>
      <c r="W4" s="374"/>
      <c r="X4" s="715"/>
      <c r="Y4" s="709"/>
      <c r="Z4" s="430"/>
      <c r="AA4" s="578"/>
      <c r="AB4" s="435"/>
      <c r="AC4" s="580"/>
      <c r="AD4" s="435"/>
      <c r="AE4" s="436"/>
      <c r="AF4" s="380"/>
      <c r="AG4" s="374"/>
      <c r="AH4" s="560"/>
      <c r="AI4" s="374"/>
      <c r="AJ4" s="375"/>
    </row>
    <row r="5" spans="1:36">
      <c r="A5" s="372" t="s">
        <v>201</v>
      </c>
      <c r="B5" s="621"/>
      <c r="C5" s="376"/>
      <c r="D5" s="414"/>
      <c r="E5" s="627"/>
      <c r="F5" s="427"/>
      <c r="G5" s="679"/>
      <c r="H5" s="431"/>
      <c r="I5" s="414"/>
      <c r="J5" s="629"/>
      <c r="K5" s="431"/>
      <c r="L5" s="711"/>
      <c r="M5" s="429"/>
      <c r="N5" s="414"/>
      <c r="O5" s="713"/>
      <c r="P5" s="437"/>
      <c r="Q5" s="679"/>
      <c r="R5" s="376"/>
      <c r="S5" s="414"/>
      <c r="T5" s="630"/>
      <c r="U5" s="377"/>
      <c r="V5" s="681"/>
      <c r="W5" s="431"/>
      <c r="X5" s="414"/>
      <c r="Y5" s="629"/>
      <c r="Z5" s="431"/>
      <c r="AA5" s="501"/>
      <c r="AB5" s="579"/>
      <c r="AC5" s="260"/>
      <c r="AD5" s="675"/>
      <c r="AE5" s="676"/>
      <c r="AF5" s="679"/>
      <c r="AG5" s="431"/>
      <c r="AH5" s="260"/>
      <c r="AI5" s="683"/>
      <c r="AJ5" s="377"/>
    </row>
    <row r="6" spans="1:36">
      <c r="A6" s="372" t="s">
        <v>202</v>
      </c>
      <c r="B6" s="621"/>
      <c r="C6" s="376"/>
      <c r="D6" s="414"/>
      <c r="E6" s="627"/>
      <c r="F6" s="427"/>
      <c r="G6" s="679"/>
      <c r="H6" s="376"/>
      <c r="I6" s="414"/>
      <c r="J6" s="630"/>
      <c r="K6" s="431"/>
      <c r="L6" s="711"/>
      <c r="M6" s="429"/>
      <c r="N6" s="414"/>
      <c r="O6" s="713"/>
      <c r="P6" s="437"/>
      <c r="Q6" s="679"/>
      <c r="R6" s="376"/>
      <c r="S6" s="414"/>
      <c r="T6" s="630"/>
      <c r="U6" s="377"/>
      <c r="V6" s="681"/>
      <c r="W6" s="431"/>
      <c r="X6" s="414"/>
      <c r="Y6" s="629"/>
      <c r="Z6" s="431"/>
      <c r="AA6" s="501"/>
      <c r="AB6" s="579"/>
      <c r="AC6" s="260"/>
      <c r="AD6" s="675"/>
      <c r="AE6" s="676"/>
      <c r="AF6" s="679"/>
      <c r="AG6" s="431"/>
      <c r="AH6" s="260"/>
      <c r="AI6" s="683"/>
      <c r="AJ6" s="377"/>
    </row>
    <row r="7" spans="1:36" ht="16.5" thickBot="1">
      <c r="A7" s="251" t="s">
        <v>203</v>
      </c>
      <c r="B7" s="622"/>
      <c r="C7" s="441"/>
      <c r="D7" s="722"/>
      <c r="E7" s="628"/>
      <c r="F7" s="428"/>
      <c r="G7" s="680"/>
      <c r="H7" s="378"/>
      <c r="I7" s="561"/>
      <c r="J7" s="631"/>
      <c r="K7" s="432"/>
      <c r="L7" s="500"/>
      <c r="M7" s="438"/>
      <c r="N7" s="722"/>
      <c r="O7" s="438"/>
      <c r="P7" s="439"/>
      <c r="Q7" s="622"/>
      <c r="R7" s="378"/>
      <c r="S7" s="561"/>
      <c r="T7" s="631"/>
      <c r="U7" s="379"/>
      <c r="V7" s="682"/>
      <c r="W7" s="378"/>
      <c r="X7" s="561"/>
      <c r="Y7" s="631"/>
      <c r="Z7" s="432"/>
      <c r="AA7" s="502"/>
      <c r="AB7" s="438"/>
      <c r="AC7" s="561"/>
      <c r="AD7" s="677"/>
      <c r="AE7" s="678"/>
      <c r="AF7" s="680"/>
      <c r="AG7" s="378"/>
      <c r="AH7" s="561"/>
      <c r="AI7" s="684"/>
      <c r="AJ7" s="379"/>
    </row>
    <row r="8" spans="1:36">
      <c r="B8" s="228"/>
      <c r="C8" s="228"/>
      <c r="D8" s="228"/>
      <c r="E8" s="228"/>
      <c r="F8" s="228"/>
      <c r="G8" s="228"/>
      <c r="H8" s="228"/>
      <c r="I8" s="228"/>
      <c r="J8" s="228"/>
      <c r="K8" s="228"/>
      <c r="L8" s="228"/>
      <c r="M8" s="228"/>
      <c r="N8" s="228"/>
      <c r="O8" s="228"/>
      <c r="P8" s="228"/>
      <c r="Q8" s="228"/>
      <c r="R8" s="228"/>
      <c r="S8" s="228"/>
      <c r="T8" s="228"/>
      <c r="U8" s="228"/>
      <c r="V8" s="228"/>
      <c r="W8" s="228"/>
      <c r="X8" s="228"/>
      <c r="Y8" s="228"/>
      <c r="Z8" s="228"/>
      <c r="AA8" s="228"/>
      <c r="AB8" s="228"/>
      <c r="AC8" s="228"/>
      <c r="AD8" s="228"/>
      <c r="AE8" s="228"/>
      <c r="AF8" s="228"/>
      <c r="AG8" s="228"/>
      <c r="AH8" s="228"/>
      <c r="AI8" s="228"/>
      <c r="AJ8" s="228"/>
    </row>
    <row r="9" spans="1:36">
      <c r="B9" s="228"/>
      <c r="C9" s="228"/>
      <c r="D9" s="228"/>
      <c r="E9" s="228"/>
      <c r="F9" s="228"/>
      <c r="G9" s="228"/>
      <c r="H9" s="228"/>
      <c r="I9" s="228"/>
      <c r="J9" s="228"/>
      <c r="K9" s="228"/>
      <c r="L9" s="228"/>
      <c r="M9" s="228"/>
      <c r="N9" s="228"/>
      <c r="O9" s="228"/>
      <c r="P9" s="228"/>
      <c r="Q9" s="228"/>
      <c r="R9" s="228"/>
      <c r="S9" s="228"/>
      <c r="T9" s="228"/>
      <c r="U9" s="228"/>
      <c r="V9" s="228"/>
      <c r="W9" s="228"/>
      <c r="X9" s="228"/>
      <c r="Y9" s="228"/>
      <c r="Z9" s="228"/>
      <c r="AA9" s="228"/>
      <c r="AB9" s="228"/>
      <c r="AC9" s="228"/>
      <c r="AD9" s="228"/>
      <c r="AE9" s="228"/>
      <c r="AF9" s="228"/>
      <c r="AG9" s="228"/>
      <c r="AH9" s="228"/>
      <c r="AI9" s="228"/>
      <c r="AJ9" s="228"/>
    </row>
    <row r="10" spans="1:36">
      <c r="B10" s="228"/>
      <c r="C10" s="228"/>
      <c r="D10" s="228"/>
      <c r="E10" s="228"/>
      <c r="F10" s="228"/>
      <c r="G10" s="228"/>
      <c r="H10" s="228"/>
      <c r="I10" s="228"/>
      <c r="J10" s="228"/>
      <c r="K10" s="228"/>
      <c r="L10" s="228"/>
      <c r="M10" s="228"/>
      <c r="N10" s="228"/>
      <c r="O10" s="228"/>
      <c r="P10" s="228"/>
      <c r="Q10" s="228"/>
      <c r="R10" s="228"/>
      <c r="S10" s="228"/>
      <c r="T10" s="228"/>
      <c r="U10" s="228"/>
      <c r="V10" s="228"/>
      <c r="W10" s="228"/>
      <c r="X10" s="228"/>
      <c r="Y10" s="228"/>
      <c r="Z10" s="228"/>
      <c r="AA10" s="228"/>
      <c r="AB10" s="228"/>
      <c r="AC10" s="228"/>
      <c r="AD10" s="228"/>
      <c r="AE10" s="228"/>
      <c r="AF10" s="228"/>
      <c r="AG10" s="228"/>
      <c r="AH10" s="228"/>
      <c r="AI10" s="228"/>
      <c r="AJ10" s="228"/>
    </row>
    <row r="11" spans="1:36">
      <c r="A11" s="206" t="s">
        <v>204</v>
      </c>
      <c r="B11" s="228"/>
      <c r="C11" s="228"/>
      <c r="D11" s="228"/>
      <c r="E11" s="228"/>
      <c r="F11" s="228"/>
      <c r="G11" s="601" t="s">
        <v>205</v>
      </c>
      <c r="H11" s="228"/>
      <c r="I11" s="228"/>
      <c r="J11" s="228"/>
      <c r="K11" s="228"/>
      <c r="L11" s="228"/>
      <c r="M11" s="228"/>
      <c r="N11" s="228"/>
      <c r="O11" s="382" t="s">
        <v>206</v>
      </c>
      <c r="P11" s="381" t="s">
        <v>207</v>
      </c>
      <c r="Q11" s="228"/>
      <c r="R11" s="228"/>
      <c r="S11" s="228"/>
      <c r="T11" s="228"/>
      <c r="U11" s="228"/>
      <c r="V11" s="228"/>
      <c r="W11" s="228"/>
      <c r="X11" s="228"/>
      <c r="Y11" s="228"/>
      <c r="Z11" s="228"/>
      <c r="AA11" s="228"/>
      <c r="AB11" s="228"/>
      <c r="AC11" s="228"/>
      <c r="AD11" s="228"/>
      <c r="AE11" s="228"/>
      <c r="AF11" s="228"/>
      <c r="AG11" s="228"/>
      <c r="AH11" s="228"/>
      <c r="AI11" s="228"/>
      <c r="AJ11" s="228"/>
    </row>
    <row r="12" spans="1:36">
      <c r="A12" t="s">
        <v>208</v>
      </c>
      <c r="B12" s="252"/>
      <c r="C12" s="252"/>
      <c r="D12" s="228"/>
      <c r="E12" s="228"/>
      <c r="F12" s="228"/>
      <c r="G12" s="381"/>
      <c r="H12" s="228"/>
      <c r="I12" s="228"/>
      <c r="J12" s="228"/>
      <c r="K12" s="228"/>
      <c r="L12" s="228"/>
      <c r="M12" s="228"/>
      <c r="N12" s="228"/>
      <c r="O12" s="228"/>
      <c r="P12" s="228"/>
      <c r="Q12" s="228"/>
      <c r="R12" s="228"/>
      <c r="S12" s="228"/>
      <c r="T12" s="228"/>
      <c r="U12" s="228"/>
      <c r="V12" s="228"/>
      <c r="W12" s="228"/>
      <c r="X12" s="228"/>
      <c r="Y12" s="228"/>
      <c r="Z12" s="228"/>
      <c r="AA12" s="228"/>
      <c r="AB12" s="228"/>
      <c r="AC12" s="228"/>
      <c r="AD12" s="228"/>
      <c r="AE12" s="228"/>
      <c r="AF12" s="228"/>
      <c r="AG12" s="228"/>
      <c r="AH12" s="228"/>
      <c r="AI12" s="228"/>
      <c r="AJ12" s="228"/>
    </row>
    <row r="13" spans="1:36">
      <c r="A13" t="s">
        <v>209</v>
      </c>
      <c r="B13" s="260"/>
      <c r="C13" s="260"/>
      <c r="D13" s="228"/>
      <c r="E13" s="228"/>
      <c r="F13" s="228"/>
      <c r="G13" s="381"/>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228"/>
      <c r="AF13" s="228"/>
      <c r="AG13" s="228"/>
      <c r="AH13" s="228"/>
      <c r="AI13" s="228"/>
      <c r="AJ13" s="228"/>
    </row>
    <row r="14" spans="1:36">
      <c r="A14" t="s">
        <v>210</v>
      </c>
      <c r="B14" s="261"/>
      <c r="C14" s="261"/>
      <c r="D14" s="228"/>
      <c r="E14" s="228"/>
      <c r="F14" s="228"/>
      <c r="G14" s="381"/>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28"/>
      <c r="AH14" s="228"/>
      <c r="AI14" s="228"/>
      <c r="AJ14" s="228"/>
    </row>
    <row r="15" spans="1:36">
      <c r="A15" t="s">
        <v>211</v>
      </c>
      <c r="B15" s="262"/>
      <c r="C15" s="262"/>
      <c r="D15" s="228"/>
      <c r="E15" s="228"/>
      <c r="F15" s="228"/>
      <c r="G15" s="381"/>
      <c r="H15" s="228"/>
      <c r="I15" s="228"/>
      <c r="J15" s="228"/>
      <c r="K15" s="228"/>
      <c r="L15" s="228"/>
      <c r="M15" s="228"/>
      <c r="N15" s="228"/>
      <c r="O15" s="228"/>
      <c r="P15" s="228"/>
      <c r="Q15" s="228"/>
      <c r="R15" s="228"/>
      <c r="S15" s="228"/>
      <c r="T15" s="228"/>
      <c r="U15" s="228"/>
      <c r="V15" s="228"/>
      <c r="W15" s="228"/>
      <c r="X15" s="228"/>
      <c r="Y15" s="228"/>
      <c r="Z15" s="228"/>
      <c r="AA15" s="228"/>
      <c r="AB15" s="228"/>
      <c r="AC15" s="228"/>
      <c r="AD15" s="228"/>
      <c r="AE15" s="228"/>
      <c r="AF15" s="228"/>
      <c r="AG15" s="228"/>
      <c r="AH15" s="228"/>
      <c r="AI15" s="228"/>
      <c r="AJ15" s="228"/>
    </row>
    <row r="16" spans="1:36">
      <c r="A16" t="s">
        <v>212</v>
      </c>
      <c r="B16" s="263"/>
      <c r="C16" s="263"/>
      <c r="D16" s="228"/>
      <c r="E16" s="228"/>
      <c r="F16" s="228"/>
      <c r="G16" s="381"/>
      <c r="H16" s="228"/>
      <c r="I16" s="228"/>
      <c r="J16" s="228"/>
      <c r="K16" s="228"/>
      <c r="L16" s="228"/>
      <c r="M16" s="228"/>
      <c r="N16" s="228"/>
      <c r="O16" s="228"/>
      <c r="P16" s="228"/>
      <c r="Q16" s="228"/>
      <c r="R16" s="228"/>
      <c r="S16" s="228"/>
      <c r="T16" s="228"/>
      <c r="U16" s="228"/>
      <c r="V16" s="228"/>
      <c r="W16" s="228"/>
      <c r="X16" s="228"/>
      <c r="Y16" s="228"/>
      <c r="Z16" s="228"/>
      <c r="AA16" s="228"/>
      <c r="AB16" s="228"/>
      <c r="AC16" s="228"/>
      <c r="AD16" s="228"/>
      <c r="AE16" s="228"/>
      <c r="AF16" s="228"/>
      <c r="AG16" s="228"/>
      <c r="AH16" s="228"/>
      <c r="AI16" s="228"/>
      <c r="AJ16" s="228"/>
    </row>
    <row r="17" spans="1:36">
      <c r="A17" t="s">
        <v>213</v>
      </c>
      <c r="B17" s="414"/>
      <c r="C17" s="414"/>
      <c r="D17" s="228"/>
      <c r="E17" s="228"/>
      <c r="F17" s="228"/>
      <c r="G17" s="545"/>
      <c r="H17" s="228"/>
      <c r="I17" s="228"/>
      <c r="J17" s="228"/>
      <c r="K17" s="228"/>
      <c r="L17" s="228"/>
      <c r="M17" s="228"/>
      <c r="N17" s="228"/>
      <c r="O17" s="228"/>
      <c r="P17" s="228"/>
      <c r="Q17" s="228"/>
      <c r="R17" s="228"/>
      <c r="S17" s="228"/>
      <c r="T17" s="228"/>
      <c r="U17" s="228"/>
      <c r="V17" s="228"/>
      <c r="W17" s="228"/>
      <c r="X17" s="228"/>
      <c r="Y17" s="228"/>
      <c r="Z17" s="228"/>
      <c r="AA17" s="228"/>
      <c r="AB17" s="228"/>
      <c r="AC17" s="228"/>
      <c r="AD17" s="228"/>
      <c r="AE17" s="228"/>
      <c r="AF17" s="228"/>
      <c r="AG17" s="228"/>
      <c r="AH17" s="228"/>
      <c r="AI17" s="228"/>
      <c r="AJ17" s="228"/>
    </row>
    <row r="18" spans="1:36">
      <c r="B18" s="228"/>
      <c r="C18" s="228"/>
      <c r="D18" s="228"/>
      <c r="E18" s="228"/>
      <c r="F18" s="228"/>
      <c r="G18" s="381"/>
      <c r="H18" s="228"/>
      <c r="I18" s="228"/>
      <c r="J18" s="228"/>
      <c r="K18" s="228"/>
      <c r="L18" s="228"/>
      <c r="M18" s="228"/>
      <c r="N18" s="228"/>
      <c r="O18" s="228"/>
      <c r="P18" s="228"/>
      <c r="Q18" s="228"/>
      <c r="R18" s="228"/>
      <c r="S18" s="228"/>
      <c r="T18" s="228"/>
      <c r="U18" s="228"/>
      <c r="V18" s="228"/>
      <c r="W18" s="228"/>
      <c r="X18" s="228"/>
      <c r="Y18" s="228"/>
      <c r="Z18" s="228"/>
      <c r="AA18" s="228"/>
      <c r="AB18" s="228"/>
      <c r="AC18" s="228"/>
      <c r="AD18" s="228"/>
      <c r="AE18" s="228"/>
      <c r="AF18" s="228"/>
      <c r="AG18" s="228"/>
      <c r="AH18" s="228"/>
      <c r="AI18" s="228"/>
      <c r="AJ18" s="228"/>
    </row>
    <row r="19" spans="1:36">
      <c r="B19" s="228"/>
      <c r="C19" s="228"/>
      <c r="D19" s="228"/>
      <c r="E19" s="228"/>
      <c r="F19" s="228"/>
      <c r="G19" s="381"/>
      <c r="H19" s="228"/>
      <c r="I19" s="228"/>
      <c r="J19" s="228"/>
      <c r="K19" s="228"/>
      <c r="L19" s="228"/>
      <c r="M19" s="228"/>
      <c r="N19" s="228"/>
      <c r="O19" s="228"/>
      <c r="P19" s="228"/>
      <c r="Q19" s="228"/>
      <c r="R19" s="228"/>
      <c r="S19" s="228"/>
      <c r="T19" s="228"/>
      <c r="U19" s="228"/>
      <c r="V19" s="228"/>
      <c r="W19" s="228"/>
      <c r="X19" s="228"/>
      <c r="Y19" s="228"/>
      <c r="Z19" s="228"/>
      <c r="AA19" s="228"/>
      <c r="AB19" s="228"/>
      <c r="AC19" s="228"/>
      <c r="AD19" s="228"/>
      <c r="AE19" s="228"/>
      <c r="AF19" s="228"/>
      <c r="AG19" s="228"/>
      <c r="AH19" s="228"/>
      <c r="AI19" s="228"/>
      <c r="AJ19" s="228"/>
    </row>
    <row r="20" spans="1:36">
      <c r="A20" t="s">
        <v>214</v>
      </c>
      <c r="B20" s="253"/>
      <c r="C20" s="253"/>
      <c r="D20" s="228"/>
      <c r="E20" s="228"/>
      <c r="F20" s="228"/>
      <c r="G20" s="381"/>
      <c r="H20" s="228"/>
      <c r="I20" s="228"/>
      <c r="J20" s="228"/>
      <c r="K20" s="228"/>
      <c r="L20" s="228"/>
      <c r="M20" s="228"/>
      <c r="N20" s="228"/>
      <c r="O20" s="228"/>
      <c r="P20" s="228"/>
      <c r="Q20" s="228"/>
      <c r="R20" s="228"/>
      <c r="S20" s="228"/>
      <c r="T20" s="228"/>
      <c r="U20" s="228"/>
      <c r="V20" s="228"/>
      <c r="W20" s="228"/>
      <c r="X20" s="228"/>
      <c r="Y20" s="228"/>
      <c r="Z20" s="228"/>
      <c r="AA20" s="228"/>
      <c r="AB20" s="228"/>
      <c r="AC20" s="228"/>
      <c r="AD20" s="228"/>
      <c r="AE20" s="228"/>
      <c r="AF20" s="228"/>
      <c r="AG20" s="228"/>
      <c r="AH20" s="228"/>
      <c r="AI20" s="228"/>
      <c r="AJ20" s="228"/>
    </row>
  </sheetData>
  <mergeCells count="21">
    <mergeCell ref="AF1:AJ1"/>
    <mergeCell ref="B2:C2"/>
    <mergeCell ref="D2:F2"/>
    <mergeCell ref="G2:H2"/>
    <mergeCell ref="I2:K2"/>
    <mergeCell ref="L2:M2"/>
    <mergeCell ref="N2:P2"/>
    <mergeCell ref="Q2:R2"/>
    <mergeCell ref="S2:U2"/>
    <mergeCell ref="V2:W2"/>
    <mergeCell ref="B1:F1"/>
    <mergeCell ref="G1:K1"/>
    <mergeCell ref="L1:P1"/>
    <mergeCell ref="Q1:U1"/>
    <mergeCell ref="V1:Z1"/>
    <mergeCell ref="AA1:AE1"/>
    <mergeCell ref="X2:Z2"/>
    <mergeCell ref="AA2:AB2"/>
    <mergeCell ref="AC2:AE2"/>
    <mergeCell ref="AF2:AG2"/>
    <mergeCell ref="AH2:A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383F4-AAF8-4175-AE45-ED13559B10EE}">
  <dimension ref="A1:AJ20"/>
  <sheetViews>
    <sheetView workbookViewId="0">
      <selection activeCell="X4" sqref="X4:Y4"/>
    </sheetView>
  </sheetViews>
  <sheetFormatPr defaultRowHeight="15.95"/>
  <cols>
    <col min="1" max="1" width="11.75" customWidth="1"/>
    <col min="2" max="6" width="5.125" customWidth="1"/>
    <col min="7" max="7" width="6.25" customWidth="1"/>
    <col min="8" max="36" width="5.125" customWidth="1"/>
  </cols>
  <sheetData>
    <row r="1" spans="1:36" ht="21">
      <c r="B1" s="824" t="s">
        <v>215</v>
      </c>
      <c r="C1" s="825"/>
      <c r="D1" s="826"/>
      <c r="E1" s="826"/>
      <c r="F1" s="827"/>
      <c r="G1" s="821" t="s">
        <v>216</v>
      </c>
      <c r="H1" s="821"/>
      <c r="I1" s="822"/>
      <c r="J1" s="822"/>
      <c r="K1" s="828"/>
      <c r="L1" s="820" t="s">
        <v>217</v>
      </c>
      <c r="M1" s="821"/>
      <c r="N1" s="822"/>
      <c r="O1" s="822"/>
      <c r="P1" s="828"/>
      <c r="Q1" s="820" t="s">
        <v>218</v>
      </c>
      <c r="R1" s="821"/>
      <c r="S1" s="822"/>
      <c r="T1" s="822"/>
      <c r="U1" s="828"/>
      <c r="V1" s="820" t="s">
        <v>219</v>
      </c>
      <c r="W1" s="821"/>
      <c r="X1" s="822"/>
      <c r="Y1" s="822"/>
      <c r="Z1" s="828"/>
      <c r="AA1" s="820" t="s">
        <v>220</v>
      </c>
      <c r="AB1" s="821"/>
      <c r="AC1" s="822"/>
      <c r="AD1" s="822"/>
      <c r="AE1" s="828"/>
      <c r="AF1" s="820" t="s">
        <v>221</v>
      </c>
      <c r="AG1" s="821"/>
      <c r="AH1" s="822"/>
      <c r="AI1" s="822"/>
      <c r="AJ1" s="823"/>
    </row>
    <row r="2" spans="1:36">
      <c r="B2" s="817" t="s">
        <v>198</v>
      </c>
      <c r="C2" s="818"/>
      <c r="D2" s="814" t="s">
        <v>199</v>
      </c>
      <c r="E2" s="815"/>
      <c r="F2" s="816"/>
      <c r="G2" s="815" t="s">
        <v>198</v>
      </c>
      <c r="H2" s="818"/>
      <c r="I2" s="814" t="s">
        <v>199</v>
      </c>
      <c r="J2" s="815"/>
      <c r="K2" s="816"/>
      <c r="L2" s="817" t="s">
        <v>198</v>
      </c>
      <c r="M2" s="818"/>
      <c r="N2" s="814" t="s">
        <v>199</v>
      </c>
      <c r="O2" s="815"/>
      <c r="P2" s="816"/>
      <c r="Q2" s="817" t="s">
        <v>198</v>
      </c>
      <c r="R2" s="818"/>
      <c r="S2" s="814" t="s">
        <v>199</v>
      </c>
      <c r="T2" s="815"/>
      <c r="U2" s="816"/>
      <c r="V2" s="817" t="s">
        <v>198</v>
      </c>
      <c r="W2" s="818"/>
      <c r="X2" s="814" t="s">
        <v>199</v>
      </c>
      <c r="Y2" s="815"/>
      <c r="Z2" s="816"/>
      <c r="AA2" s="817" t="s">
        <v>198</v>
      </c>
      <c r="AB2" s="818"/>
      <c r="AC2" s="814" t="s">
        <v>199</v>
      </c>
      <c r="AD2" s="815"/>
      <c r="AE2" s="816"/>
      <c r="AF2" s="817" t="s">
        <v>198</v>
      </c>
      <c r="AG2" s="818"/>
      <c r="AH2" s="814" t="s">
        <v>199</v>
      </c>
      <c r="AI2" s="815"/>
      <c r="AJ2" s="819"/>
    </row>
    <row r="3" spans="1:36" ht="16.5" thickBot="1">
      <c r="B3" s="443" t="s">
        <v>43</v>
      </c>
      <c r="C3" s="444" t="s">
        <v>59</v>
      </c>
      <c r="D3" s="445" t="s">
        <v>63</v>
      </c>
      <c r="E3" s="445" t="s">
        <v>80</v>
      </c>
      <c r="F3" s="446" t="s">
        <v>93</v>
      </c>
      <c r="G3" s="256" t="s">
        <v>43</v>
      </c>
      <c r="H3" s="256" t="s">
        <v>59</v>
      </c>
      <c r="I3" s="254" t="s">
        <v>63</v>
      </c>
      <c r="J3" s="254" t="s">
        <v>80</v>
      </c>
      <c r="K3" s="255" t="s">
        <v>93</v>
      </c>
      <c r="L3" s="433" t="s">
        <v>43</v>
      </c>
      <c r="M3" s="373" t="s">
        <v>59</v>
      </c>
      <c r="N3" s="348" t="s">
        <v>63</v>
      </c>
      <c r="O3" s="348" t="s">
        <v>80</v>
      </c>
      <c r="P3" s="434" t="s">
        <v>93</v>
      </c>
      <c r="Q3" s="257" t="s">
        <v>43</v>
      </c>
      <c r="R3" s="256" t="s">
        <v>59</v>
      </c>
      <c r="S3" s="254" t="s">
        <v>63</v>
      </c>
      <c r="T3" s="254" t="s">
        <v>80</v>
      </c>
      <c r="U3" s="255" t="s">
        <v>93</v>
      </c>
      <c r="V3" s="257" t="s">
        <v>43</v>
      </c>
      <c r="W3" s="256" t="s">
        <v>59</v>
      </c>
      <c r="X3" s="254" t="s">
        <v>63</v>
      </c>
      <c r="Y3" s="254" t="s">
        <v>80</v>
      </c>
      <c r="Z3" s="255" t="s">
        <v>93</v>
      </c>
      <c r="AA3" s="433" t="s">
        <v>43</v>
      </c>
      <c r="AB3" s="373" t="s">
        <v>59</v>
      </c>
      <c r="AC3" s="348" t="s">
        <v>63</v>
      </c>
      <c r="AD3" s="348" t="s">
        <v>80</v>
      </c>
      <c r="AE3" s="434" t="s">
        <v>93</v>
      </c>
      <c r="AF3" s="257" t="s">
        <v>43</v>
      </c>
      <c r="AG3" s="256" t="s">
        <v>59</v>
      </c>
      <c r="AH3" s="254" t="s">
        <v>63</v>
      </c>
      <c r="AI3" s="254" t="s">
        <v>80</v>
      </c>
      <c r="AJ3" s="258" t="s">
        <v>93</v>
      </c>
    </row>
    <row r="4" spans="1:36">
      <c r="A4" s="259" t="s">
        <v>200</v>
      </c>
      <c r="B4" s="705"/>
      <c r="C4" s="685"/>
      <c r="D4" s="706"/>
      <c r="E4" s="706"/>
      <c r="F4" s="686"/>
      <c r="G4" s="707"/>
      <c r="H4" s="685"/>
      <c r="I4" s="708"/>
      <c r="J4" s="709"/>
      <c r="K4" s="673"/>
      <c r="L4" s="710"/>
      <c r="M4" s="688"/>
      <c r="N4" s="712"/>
      <c r="O4" s="712"/>
      <c r="P4" s="689"/>
      <c r="Q4" s="707"/>
      <c r="R4" s="685"/>
      <c r="S4" s="709"/>
      <c r="T4" s="709"/>
      <c r="U4" s="690"/>
      <c r="V4" s="714"/>
      <c r="W4" s="685"/>
      <c r="X4" s="715"/>
      <c r="Y4" s="709"/>
      <c r="Z4" s="673"/>
      <c r="AA4" s="692"/>
      <c r="AB4" s="688"/>
      <c r="AC4" s="693"/>
      <c r="AD4" s="688"/>
      <c r="AE4" s="689"/>
      <c r="AF4" s="687"/>
      <c r="AG4" s="685"/>
      <c r="AH4" s="691"/>
      <c r="AI4" s="685"/>
      <c r="AJ4" s="690"/>
    </row>
    <row r="5" spans="1:36">
      <c r="A5" s="372" t="s">
        <v>201</v>
      </c>
      <c r="B5" s="621"/>
      <c r="C5" s="228"/>
      <c r="D5" s="414"/>
      <c r="E5" s="627"/>
      <c r="F5" s="694"/>
      <c r="G5" s="621"/>
      <c r="H5" s="695"/>
      <c r="I5" s="414"/>
      <c r="J5" s="629"/>
      <c r="K5" s="695"/>
      <c r="L5" s="716"/>
      <c r="M5" s="228"/>
      <c r="N5" s="414"/>
      <c r="O5" s="713"/>
      <c r="P5" s="676"/>
      <c r="Q5" s="621"/>
      <c r="R5" s="228"/>
      <c r="S5" s="414"/>
      <c r="T5" s="630"/>
      <c r="U5" s="696"/>
      <c r="V5" s="681"/>
      <c r="W5" s="695"/>
      <c r="X5" s="414"/>
      <c r="Y5" s="629"/>
      <c r="Z5" s="695"/>
      <c r="AA5" s="697"/>
      <c r="AB5" s="698"/>
      <c r="AC5" s="260"/>
      <c r="AD5" s="675"/>
      <c r="AE5" s="676"/>
      <c r="AF5" s="679"/>
      <c r="AG5" s="695"/>
      <c r="AH5" s="260"/>
      <c r="AI5" s="683"/>
      <c r="AJ5" s="696"/>
    </row>
    <row r="6" spans="1:36">
      <c r="A6" s="372" t="s">
        <v>202</v>
      </c>
      <c r="B6" s="621"/>
      <c r="C6" s="228"/>
      <c r="D6" s="414"/>
      <c r="E6" s="627"/>
      <c r="F6" s="694"/>
      <c r="G6" s="621"/>
      <c r="H6" s="672"/>
      <c r="I6" s="414"/>
      <c r="J6" s="630"/>
      <c r="K6" s="695"/>
      <c r="L6" s="716"/>
      <c r="M6" s="228"/>
      <c r="N6" s="414"/>
      <c r="O6" s="713"/>
      <c r="P6" s="676"/>
      <c r="Q6" s="621"/>
      <c r="R6" s="228"/>
      <c r="S6" s="414"/>
      <c r="T6" s="630"/>
      <c r="U6" s="696"/>
      <c r="V6" s="681"/>
      <c r="W6" s="695"/>
      <c r="X6" s="414"/>
      <c r="Y6" s="629"/>
      <c r="Z6" s="695"/>
      <c r="AA6" s="697"/>
      <c r="AB6" s="698"/>
      <c r="AC6" s="260"/>
      <c r="AD6" s="675"/>
      <c r="AE6" s="676"/>
      <c r="AF6" s="679"/>
      <c r="AG6" s="695"/>
      <c r="AH6" s="260"/>
      <c r="AI6" s="683"/>
      <c r="AJ6" s="696"/>
    </row>
    <row r="7" spans="1:36">
      <c r="A7" s="251" t="s">
        <v>203</v>
      </c>
      <c r="B7" s="622"/>
      <c r="C7" s="671"/>
      <c r="D7" s="722"/>
      <c r="E7" s="628"/>
      <c r="F7" s="700"/>
      <c r="G7" s="622"/>
      <c r="H7" s="674"/>
      <c r="I7" s="561"/>
      <c r="J7" s="631"/>
      <c r="K7" s="701"/>
      <c r="L7" s="699"/>
      <c r="M7" s="704"/>
      <c r="N7" s="722"/>
      <c r="O7" s="677"/>
      <c r="P7" s="678"/>
      <c r="Q7" s="622"/>
      <c r="R7" s="704"/>
      <c r="S7" s="561"/>
      <c r="T7" s="631"/>
      <c r="U7" s="702"/>
      <c r="V7" s="682"/>
      <c r="W7" s="674"/>
      <c r="X7" s="561"/>
      <c r="Y7" s="631"/>
      <c r="Z7" s="701"/>
      <c r="AA7" s="703"/>
      <c r="AB7" s="677"/>
      <c r="AC7" s="561"/>
      <c r="AD7" s="677"/>
      <c r="AE7" s="678"/>
      <c r="AF7" s="680"/>
      <c r="AG7" s="674"/>
      <c r="AH7" s="561"/>
      <c r="AI7" s="684"/>
      <c r="AJ7" s="702"/>
    </row>
    <row r="8" spans="1:36">
      <c r="B8" s="228"/>
      <c r="C8" s="228"/>
      <c r="D8" s="228"/>
      <c r="E8" s="228"/>
      <c r="F8" s="228"/>
      <c r="G8" s="228"/>
      <c r="H8" s="228"/>
      <c r="I8" s="228"/>
      <c r="J8" s="228"/>
      <c r="K8" s="228"/>
      <c r="L8" s="228"/>
      <c r="M8" s="228"/>
      <c r="N8" s="228"/>
      <c r="O8" s="228"/>
      <c r="P8" s="228"/>
      <c r="Q8" s="228"/>
      <c r="R8" s="228"/>
      <c r="S8" s="228"/>
      <c r="T8" s="228"/>
      <c r="U8" s="228"/>
      <c r="V8" s="228"/>
      <c r="W8" s="228"/>
      <c r="X8" s="228"/>
      <c r="Y8" s="228"/>
      <c r="Z8" s="228"/>
      <c r="AA8" s="228"/>
      <c r="AB8" s="228"/>
      <c r="AC8" s="228"/>
      <c r="AD8" s="228"/>
      <c r="AE8" s="228"/>
      <c r="AF8" s="228"/>
      <c r="AG8" s="228"/>
      <c r="AH8" s="228"/>
      <c r="AI8" s="228"/>
      <c r="AJ8" s="228"/>
    </row>
    <row r="9" spans="1:36">
      <c r="B9" s="228"/>
      <c r="C9" s="228"/>
      <c r="D9" s="228"/>
      <c r="E9" s="228"/>
      <c r="F9" s="228"/>
      <c r="G9" s="228"/>
      <c r="H9" s="228"/>
      <c r="I9" s="228"/>
      <c r="J9" s="228"/>
      <c r="K9" s="228"/>
      <c r="L9" s="228"/>
      <c r="M9" s="228"/>
      <c r="N9" s="228"/>
      <c r="O9" s="228"/>
      <c r="P9" s="228"/>
      <c r="Q9" s="228"/>
      <c r="R9" s="228"/>
      <c r="S9" s="228"/>
      <c r="T9" s="228"/>
      <c r="U9" s="228"/>
      <c r="V9" s="228"/>
      <c r="W9" s="228"/>
      <c r="X9" s="228"/>
      <c r="Y9" s="228"/>
      <c r="Z9" s="228"/>
      <c r="AA9" s="228"/>
      <c r="AB9" s="228"/>
      <c r="AC9" s="228"/>
      <c r="AD9" s="228"/>
      <c r="AE9" s="228"/>
      <c r="AF9" s="228"/>
      <c r="AG9" s="228"/>
      <c r="AH9" s="228"/>
      <c r="AI9" s="228"/>
      <c r="AJ9" s="228"/>
    </row>
    <row r="10" spans="1:36">
      <c r="B10" s="228"/>
      <c r="C10" s="228"/>
      <c r="D10" s="228"/>
      <c r="E10" s="228"/>
      <c r="F10" s="228"/>
      <c r="G10" s="228"/>
      <c r="H10" s="228"/>
      <c r="I10" s="228"/>
      <c r="J10" s="228"/>
      <c r="K10" s="228"/>
      <c r="L10" s="228"/>
      <c r="M10" s="228"/>
      <c r="N10" s="228"/>
      <c r="O10" s="228"/>
      <c r="P10" s="228"/>
      <c r="Q10" s="228"/>
      <c r="R10" s="228"/>
      <c r="S10" s="228"/>
      <c r="T10" s="228"/>
      <c r="U10" s="228"/>
      <c r="V10" s="228"/>
      <c r="W10" s="228"/>
      <c r="X10" s="228"/>
      <c r="Y10" s="228"/>
      <c r="Z10" s="228"/>
      <c r="AA10" s="228"/>
      <c r="AB10" s="228"/>
      <c r="AC10" s="228"/>
      <c r="AD10" s="228"/>
      <c r="AE10" s="228"/>
      <c r="AF10" s="228"/>
      <c r="AG10" s="228"/>
      <c r="AH10" s="228"/>
      <c r="AI10" s="228"/>
      <c r="AJ10" s="228"/>
    </row>
    <row r="11" spans="1:36">
      <c r="A11" s="206" t="s">
        <v>204</v>
      </c>
      <c r="B11" s="228"/>
      <c r="C11" s="228"/>
      <c r="D11" s="228"/>
      <c r="E11" s="228"/>
      <c r="F11" s="228"/>
      <c r="G11" s="601" t="s">
        <v>205</v>
      </c>
      <c r="H11" s="228"/>
      <c r="I11" s="228"/>
      <c r="J11" s="228"/>
      <c r="K11" s="228"/>
      <c r="L11" s="228"/>
      <c r="M11" s="228"/>
      <c r="N11" s="228"/>
      <c r="O11" s="382" t="s">
        <v>206</v>
      </c>
      <c r="P11" s="381" t="s">
        <v>207</v>
      </c>
      <c r="Q11" s="228"/>
      <c r="R11" s="228"/>
      <c r="S11" s="228"/>
      <c r="T11" s="228"/>
      <c r="U11" s="228"/>
      <c r="V11" s="228"/>
      <c r="W11" s="228"/>
      <c r="X11" s="228"/>
      <c r="Y11" s="228"/>
      <c r="Z11" s="228"/>
      <c r="AA11" s="228"/>
      <c r="AB11" s="228"/>
      <c r="AC11" s="228"/>
      <c r="AD11" s="228"/>
      <c r="AE11" s="228"/>
      <c r="AF11" s="228"/>
      <c r="AG11" s="228"/>
      <c r="AH11" s="228"/>
      <c r="AI11" s="228"/>
      <c r="AJ11" s="228"/>
    </row>
    <row r="12" spans="1:36">
      <c r="A12" t="s">
        <v>208</v>
      </c>
      <c r="B12" s="252"/>
      <c r="C12" s="252"/>
      <c r="D12" s="228"/>
      <c r="E12" s="228"/>
      <c r="F12" s="228"/>
      <c r="G12" s="381"/>
      <c r="H12" s="228"/>
      <c r="I12" s="228"/>
      <c r="J12" s="228"/>
      <c r="K12" s="228"/>
      <c r="L12" s="228"/>
      <c r="M12" s="228"/>
      <c r="N12" s="228"/>
      <c r="O12" s="228"/>
      <c r="P12" s="228"/>
      <c r="Q12" s="228"/>
      <c r="R12" s="228"/>
      <c r="S12" s="228"/>
      <c r="T12" s="228"/>
      <c r="U12" s="228"/>
      <c r="V12" s="228"/>
      <c r="W12" s="228"/>
      <c r="X12" s="228"/>
      <c r="Y12" s="228"/>
      <c r="Z12" s="228"/>
      <c r="AA12" s="228"/>
      <c r="AB12" s="228"/>
      <c r="AC12" s="228"/>
      <c r="AD12" s="228"/>
      <c r="AE12" s="228"/>
      <c r="AF12" s="228"/>
      <c r="AG12" s="228"/>
      <c r="AH12" s="228"/>
      <c r="AI12" s="228"/>
      <c r="AJ12" s="228"/>
    </row>
    <row r="13" spans="1:36">
      <c r="A13" t="s">
        <v>209</v>
      </c>
      <c r="B13" s="260"/>
      <c r="C13" s="260"/>
      <c r="D13" s="228"/>
      <c r="E13" s="228"/>
      <c r="F13" s="228"/>
      <c r="G13" s="381"/>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228"/>
      <c r="AF13" s="228"/>
      <c r="AG13" s="228"/>
      <c r="AH13" s="228"/>
      <c r="AI13" s="228"/>
      <c r="AJ13" s="228"/>
    </row>
    <row r="14" spans="1:36">
      <c r="A14" t="s">
        <v>210</v>
      </c>
      <c r="B14" s="261"/>
      <c r="C14" s="261"/>
      <c r="D14" s="228"/>
      <c r="E14" s="228"/>
      <c r="F14" s="228"/>
      <c r="G14" s="381"/>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28"/>
      <c r="AH14" s="228"/>
      <c r="AI14" s="228"/>
      <c r="AJ14" s="228"/>
    </row>
    <row r="15" spans="1:36">
      <c r="A15" t="s">
        <v>211</v>
      </c>
      <c r="B15" s="262"/>
      <c r="C15" s="262"/>
      <c r="D15" s="228"/>
      <c r="E15" s="228"/>
      <c r="F15" s="228"/>
      <c r="G15" s="381"/>
      <c r="H15" s="228"/>
      <c r="I15" s="228"/>
      <c r="J15" s="228"/>
      <c r="K15" s="228"/>
      <c r="L15" s="228"/>
      <c r="M15" s="228"/>
      <c r="N15" s="228"/>
      <c r="O15" s="228"/>
      <c r="P15" s="228"/>
      <c r="Q15" s="228"/>
      <c r="R15" s="228"/>
      <c r="S15" s="228"/>
      <c r="T15" s="228"/>
      <c r="U15" s="228"/>
      <c r="V15" s="228"/>
      <c r="W15" s="228"/>
      <c r="X15" s="228"/>
      <c r="Y15" s="228"/>
      <c r="Z15" s="228"/>
      <c r="AA15" s="228"/>
      <c r="AB15" s="228"/>
      <c r="AC15" s="228"/>
      <c r="AD15" s="228"/>
      <c r="AE15" s="228"/>
      <c r="AF15" s="228"/>
      <c r="AG15" s="228"/>
      <c r="AH15" s="228"/>
      <c r="AI15" s="228"/>
      <c r="AJ15" s="228"/>
    </row>
    <row r="16" spans="1:36">
      <c r="A16" t="s">
        <v>212</v>
      </c>
      <c r="B16" s="263"/>
      <c r="C16" s="263"/>
      <c r="D16" s="228"/>
      <c r="E16" s="228"/>
      <c r="F16" s="228"/>
      <c r="G16" s="381"/>
      <c r="H16" s="228"/>
      <c r="I16" s="228"/>
      <c r="J16" s="228"/>
      <c r="K16" s="228"/>
      <c r="L16" s="228"/>
      <c r="M16" s="228"/>
      <c r="N16" s="228"/>
      <c r="O16" s="228"/>
      <c r="P16" s="228"/>
      <c r="Q16" s="228"/>
      <c r="R16" s="228"/>
      <c r="S16" s="228"/>
      <c r="T16" s="228"/>
      <c r="U16" s="228"/>
      <c r="V16" s="228"/>
      <c r="W16" s="228"/>
      <c r="X16" s="228"/>
      <c r="Y16" s="228"/>
      <c r="Z16" s="228"/>
      <c r="AA16" s="228"/>
      <c r="AB16" s="228"/>
      <c r="AC16" s="228"/>
      <c r="AD16" s="228"/>
      <c r="AE16" s="228"/>
      <c r="AF16" s="228"/>
      <c r="AG16" s="228"/>
      <c r="AH16" s="228"/>
      <c r="AI16" s="228"/>
      <c r="AJ16" s="228"/>
    </row>
    <row r="17" spans="1:36">
      <c r="A17" t="s">
        <v>213</v>
      </c>
      <c r="B17" s="414"/>
      <c r="C17" s="414"/>
      <c r="D17" s="228"/>
      <c r="E17" s="228"/>
      <c r="F17" s="228"/>
      <c r="G17" s="545"/>
      <c r="H17" s="228"/>
      <c r="I17" s="228"/>
      <c r="J17" s="228"/>
      <c r="K17" s="228"/>
      <c r="L17" s="228"/>
      <c r="M17" s="228"/>
      <c r="N17" s="228"/>
      <c r="O17" s="228"/>
      <c r="P17" s="228"/>
      <c r="Q17" s="228"/>
      <c r="R17" s="228"/>
      <c r="S17" s="228"/>
      <c r="T17" s="228"/>
      <c r="U17" s="228"/>
      <c r="V17" s="228"/>
      <c r="W17" s="228"/>
      <c r="X17" s="228"/>
      <c r="Y17" s="228"/>
      <c r="Z17" s="228"/>
      <c r="AA17" s="228"/>
      <c r="AB17" s="228"/>
      <c r="AC17" s="228"/>
      <c r="AD17" s="228"/>
      <c r="AE17" s="228"/>
      <c r="AF17" s="228"/>
      <c r="AG17" s="228"/>
      <c r="AH17" s="228"/>
      <c r="AI17" s="228"/>
      <c r="AJ17" s="228"/>
    </row>
    <row r="18" spans="1:36">
      <c r="B18" s="228"/>
      <c r="C18" s="228"/>
      <c r="D18" s="228"/>
      <c r="E18" s="228"/>
      <c r="F18" s="228"/>
      <c r="G18" s="381"/>
      <c r="H18" s="228"/>
      <c r="I18" s="228"/>
      <c r="J18" s="228"/>
      <c r="K18" s="228"/>
      <c r="L18" s="228"/>
      <c r="M18" s="228"/>
      <c r="N18" s="228"/>
      <c r="O18" s="228"/>
      <c r="P18" s="228"/>
      <c r="Q18" s="228"/>
      <c r="R18" s="228"/>
      <c r="S18" s="228"/>
      <c r="T18" s="228"/>
      <c r="U18" s="228"/>
      <c r="V18" s="228"/>
      <c r="W18" s="228"/>
      <c r="X18" s="228"/>
      <c r="Y18" s="228"/>
      <c r="Z18" s="228"/>
      <c r="AA18" s="228"/>
      <c r="AB18" s="228"/>
      <c r="AC18" s="228"/>
      <c r="AD18" s="228"/>
      <c r="AE18" s="228"/>
      <c r="AF18" s="228"/>
      <c r="AG18" s="228"/>
      <c r="AH18" s="228"/>
      <c r="AI18" s="228"/>
      <c r="AJ18" s="228"/>
    </row>
    <row r="19" spans="1:36">
      <c r="B19" s="228"/>
      <c r="C19" s="228"/>
      <c r="D19" s="228"/>
      <c r="E19" s="228"/>
      <c r="F19" s="228"/>
      <c r="G19" s="381"/>
      <c r="H19" s="228"/>
      <c r="I19" s="228"/>
      <c r="J19" s="228"/>
      <c r="K19" s="228"/>
      <c r="L19" s="228"/>
      <c r="M19" s="228"/>
      <c r="N19" s="228"/>
      <c r="O19" s="228"/>
      <c r="P19" s="228"/>
      <c r="Q19" s="228"/>
      <c r="R19" s="228"/>
      <c r="S19" s="228"/>
      <c r="T19" s="228"/>
      <c r="U19" s="228"/>
      <c r="V19" s="228"/>
      <c r="W19" s="228"/>
      <c r="X19" s="228"/>
      <c r="Y19" s="228"/>
      <c r="Z19" s="228"/>
      <c r="AA19" s="228"/>
      <c r="AB19" s="228"/>
      <c r="AC19" s="228"/>
      <c r="AD19" s="228"/>
      <c r="AE19" s="228"/>
      <c r="AF19" s="228"/>
      <c r="AG19" s="228"/>
      <c r="AH19" s="228"/>
      <c r="AI19" s="228"/>
      <c r="AJ19" s="228"/>
    </row>
    <row r="20" spans="1:36">
      <c r="A20" t="s">
        <v>214</v>
      </c>
      <c r="B20" s="253"/>
      <c r="C20" s="253"/>
      <c r="D20" s="228"/>
      <c r="E20" s="228"/>
      <c r="F20" s="228"/>
      <c r="G20" s="381"/>
      <c r="H20" s="228"/>
      <c r="I20" s="228"/>
      <c r="J20" s="228"/>
      <c r="K20" s="228"/>
      <c r="L20" s="228"/>
      <c r="M20" s="228"/>
      <c r="N20" s="228"/>
      <c r="O20" s="228"/>
      <c r="P20" s="228"/>
      <c r="Q20" s="228"/>
      <c r="R20" s="228"/>
      <c r="S20" s="228"/>
      <c r="T20" s="228"/>
      <c r="U20" s="228"/>
      <c r="V20" s="228"/>
      <c r="W20" s="228"/>
      <c r="X20" s="228"/>
      <c r="Y20" s="228"/>
      <c r="Z20" s="228"/>
      <c r="AA20" s="228"/>
      <c r="AB20" s="228"/>
      <c r="AC20" s="228"/>
      <c r="AD20" s="228"/>
      <c r="AE20" s="228"/>
      <c r="AF20" s="228"/>
      <c r="AG20" s="228"/>
      <c r="AH20" s="228"/>
      <c r="AI20" s="228"/>
      <c r="AJ20" s="228"/>
    </row>
  </sheetData>
  <mergeCells count="21">
    <mergeCell ref="AF1:AJ1"/>
    <mergeCell ref="B2:C2"/>
    <mergeCell ref="D2:F2"/>
    <mergeCell ref="G2:H2"/>
    <mergeCell ref="I2:K2"/>
    <mergeCell ref="L2:M2"/>
    <mergeCell ref="N2:P2"/>
    <mergeCell ref="Q2:R2"/>
    <mergeCell ref="S2:U2"/>
    <mergeCell ref="V2:W2"/>
    <mergeCell ref="B1:F1"/>
    <mergeCell ref="G1:K1"/>
    <mergeCell ref="L1:P1"/>
    <mergeCell ref="Q1:U1"/>
    <mergeCell ref="V1:Z1"/>
    <mergeCell ref="AA1:AE1"/>
    <mergeCell ref="X2:Z2"/>
    <mergeCell ref="AA2:AB2"/>
    <mergeCell ref="AC2:AE2"/>
    <mergeCell ref="AF2:AG2"/>
    <mergeCell ref="AH2:A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2A92-4A01-4615-90D3-102263942417}">
  <sheetPr codeName="Sheet4"/>
  <dimension ref="A1:AL434"/>
  <sheetViews>
    <sheetView zoomScale="80" zoomScaleNormal="80" workbookViewId="0">
      <pane xSplit="2" ySplit="2" topLeftCell="C354" activePane="bottomRight" state="frozen"/>
      <selection pane="bottomRight" activeCell="X380" sqref="X380"/>
      <selection pane="bottomLeft" activeCell="A3" sqref="A3"/>
      <selection pane="topRight" activeCell="C1" sqref="C1"/>
    </sheetView>
  </sheetViews>
  <sheetFormatPr defaultColWidth="7.375" defaultRowHeight="0" customHeight="1" zeroHeight="1"/>
  <cols>
    <col min="1" max="1" width="14.375" style="50" customWidth="1"/>
    <col min="2" max="2" width="10.5" style="50" customWidth="1"/>
    <col min="3" max="3" width="9.375" style="49" customWidth="1"/>
    <col min="4" max="4" width="38.75" style="49" customWidth="1"/>
    <col min="5" max="5" width="5.375" style="44" customWidth="1"/>
    <col min="6" max="6" width="7.125" style="44" bestFit="1" customWidth="1"/>
    <col min="7" max="7" width="7" style="44" customWidth="1"/>
    <col min="8" max="8" width="6.5" style="44" customWidth="1"/>
    <col min="9" max="9" width="33.375" style="48" customWidth="1"/>
    <col min="10" max="10" width="9.375" style="48" customWidth="1"/>
    <col min="11" max="11" width="5.375" style="47" hidden="1" customWidth="1"/>
    <col min="12" max="12" width="9.125" style="47" customWidth="1"/>
    <col min="13" max="13" width="5.875" style="47" customWidth="1"/>
    <col min="14" max="14" width="8.125" style="93" hidden="1" customWidth="1"/>
    <col min="15" max="15" width="14.375" style="98" hidden="1" customWidth="1"/>
    <col min="16" max="16" width="9.375" style="46" customWidth="1"/>
    <col min="17" max="17" width="5.375" style="292" hidden="1" customWidth="1"/>
    <col min="18" max="18" width="5.375" style="45" customWidth="1"/>
    <col min="19" max="19" width="7.125" style="43" customWidth="1"/>
    <col min="20" max="20" width="6.875" style="91" customWidth="1"/>
    <col min="21" max="21" width="11.375" style="91" customWidth="1"/>
    <col min="22" max="23" width="10.5" style="44" customWidth="1"/>
    <col min="24" max="24" width="13.875" style="44" customWidth="1"/>
    <col min="25" max="25" width="26" style="44" customWidth="1"/>
    <col min="26" max="26" width="18.875" style="44" customWidth="1"/>
    <col min="27" max="28" width="10.5" style="44" hidden="1" customWidth="1"/>
    <col min="29" max="29" width="4.875" style="43" hidden="1" customWidth="1"/>
    <col min="30" max="30" width="6.375" style="43" hidden="1" customWidth="1"/>
    <col min="31" max="31" width="30.625" style="42" customWidth="1"/>
    <col min="32" max="32" width="57.125" style="41" customWidth="1"/>
    <col min="33" max="33" width="29.375" style="41" customWidth="1"/>
    <col min="34" max="34" width="33.375" style="41" customWidth="1"/>
    <col min="35" max="35" width="32.125" style="41" customWidth="1"/>
    <col min="36" max="37" width="17.125" style="41" customWidth="1"/>
    <col min="38" max="38" width="17.25" style="41" customWidth="1"/>
    <col min="39" max="16384" width="7.375" style="41"/>
  </cols>
  <sheetData>
    <row r="1" spans="1:38" s="61" customFormat="1" ht="29.1" customHeight="1">
      <c r="A1" s="69" t="s">
        <v>222</v>
      </c>
      <c r="B1" s="69" t="s">
        <v>223</v>
      </c>
      <c r="C1" s="68" t="s">
        <v>224</v>
      </c>
      <c r="D1" s="68" t="s">
        <v>225</v>
      </c>
      <c r="E1" s="61" t="s">
        <v>199</v>
      </c>
      <c r="F1" s="61" t="s">
        <v>226</v>
      </c>
      <c r="G1" s="61" t="s">
        <v>227</v>
      </c>
      <c r="H1" s="61" t="s">
        <v>228</v>
      </c>
      <c r="I1" s="67" t="s">
        <v>229</v>
      </c>
      <c r="J1" s="67" t="s">
        <v>230</v>
      </c>
      <c r="K1" s="66" t="s">
        <v>231</v>
      </c>
      <c r="L1" s="66" t="s">
        <v>231</v>
      </c>
      <c r="M1" s="66" t="s">
        <v>231</v>
      </c>
      <c r="N1" s="97" t="s">
        <v>232</v>
      </c>
      <c r="O1" s="100" t="s">
        <v>233</v>
      </c>
      <c r="P1" s="65" t="s">
        <v>234</v>
      </c>
      <c r="Q1" s="64" t="s">
        <v>235</v>
      </c>
      <c r="R1" s="64" t="s">
        <v>235</v>
      </c>
      <c r="S1" s="62" t="s">
        <v>236</v>
      </c>
      <c r="T1" s="96" t="s">
        <v>237</v>
      </c>
      <c r="U1" s="96" t="s">
        <v>238</v>
      </c>
      <c r="V1" s="61" t="s">
        <v>239</v>
      </c>
      <c r="W1" s="61" t="s">
        <v>240</v>
      </c>
      <c r="X1" s="61" t="s">
        <v>241</v>
      </c>
      <c r="Y1" s="63" t="s">
        <v>242</v>
      </c>
      <c r="Z1" s="63" t="s">
        <v>243</v>
      </c>
      <c r="AA1" s="61" t="s">
        <v>244</v>
      </c>
      <c r="AB1" s="61" t="s">
        <v>245</v>
      </c>
      <c r="AC1" s="850" t="s">
        <v>246</v>
      </c>
      <c r="AD1" s="850"/>
      <c r="AE1" s="61" t="s">
        <v>247</v>
      </c>
      <c r="AF1" s="61" t="s">
        <v>248</v>
      </c>
      <c r="AG1" s="61" t="s">
        <v>249</v>
      </c>
      <c r="AH1" s="61" t="s">
        <v>250</v>
      </c>
      <c r="AI1" s="61" t="s">
        <v>251</v>
      </c>
      <c r="AJ1" s="61" t="s">
        <v>252</v>
      </c>
      <c r="AK1" s="61" t="s">
        <v>253</v>
      </c>
      <c r="AL1" s="61" t="s">
        <v>254</v>
      </c>
    </row>
    <row r="2" spans="1:38" s="52" customFormat="1" ht="15.95" customHeight="1" thickBot="1">
      <c r="A2" s="60"/>
      <c r="B2" s="60"/>
      <c r="C2" s="59"/>
      <c r="D2" s="59"/>
      <c r="E2" s="53" t="s">
        <v>255</v>
      </c>
      <c r="F2" s="53" t="s">
        <v>256</v>
      </c>
      <c r="G2" s="53" t="s">
        <v>257</v>
      </c>
      <c r="H2" s="53" t="s">
        <v>257</v>
      </c>
      <c r="I2" s="58" t="s">
        <v>257</v>
      </c>
      <c r="J2" s="58" t="s">
        <v>255</v>
      </c>
      <c r="K2" s="57" t="s">
        <v>257</v>
      </c>
      <c r="L2" s="57" t="s">
        <v>257</v>
      </c>
      <c r="M2" s="57" t="s">
        <v>255</v>
      </c>
      <c r="N2" s="602" t="s">
        <v>256</v>
      </c>
      <c r="O2" s="603" t="s">
        <v>258</v>
      </c>
      <c r="P2" s="56" t="s">
        <v>257</v>
      </c>
      <c r="Q2" s="55" t="s">
        <v>257</v>
      </c>
      <c r="R2" s="55" t="s">
        <v>259</v>
      </c>
      <c r="S2" s="54" t="s">
        <v>257</v>
      </c>
      <c r="T2" s="92" t="s">
        <v>257</v>
      </c>
      <c r="U2" s="595" t="s">
        <v>256</v>
      </c>
      <c r="V2" s="53" t="s">
        <v>260</v>
      </c>
      <c r="W2" s="53" t="s">
        <v>261</v>
      </c>
      <c r="X2" s="53" t="s">
        <v>262</v>
      </c>
      <c r="Y2" s="53"/>
      <c r="Z2" s="53"/>
      <c r="AA2" s="53"/>
      <c r="AB2" s="53"/>
      <c r="AC2" s="851" t="s">
        <v>263</v>
      </c>
      <c r="AD2" s="851"/>
      <c r="AI2" s="52" t="s">
        <v>253</v>
      </c>
      <c r="AJ2" s="52" t="s">
        <v>264</v>
      </c>
      <c r="AK2" s="52" t="s">
        <v>265</v>
      </c>
    </row>
    <row r="3" spans="1:38" s="51" customFormat="1" ht="15.95" customHeight="1" thickBot="1">
      <c r="A3" s="50" t="s">
        <v>266</v>
      </c>
      <c r="B3" s="50" t="s">
        <v>267</v>
      </c>
      <c r="C3" s="85">
        <v>46083</v>
      </c>
      <c r="D3" s="852" t="s">
        <v>268</v>
      </c>
      <c r="E3" s="44">
        <v>65</v>
      </c>
      <c r="F3" s="44">
        <v>400</v>
      </c>
      <c r="G3" s="44">
        <v>80</v>
      </c>
      <c r="H3" s="44">
        <v>150</v>
      </c>
      <c r="I3" s="48" t="s">
        <v>269</v>
      </c>
      <c r="J3" s="48"/>
      <c r="K3" s="47" t="s">
        <v>270</v>
      </c>
      <c r="L3" s="47" t="s">
        <v>270</v>
      </c>
      <c r="M3" s="47" t="s">
        <v>270</v>
      </c>
      <c r="N3" s="93"/>
      <c r="O3" s="98"/>
      <c r="P3" s="46">
        <v>2</v>
      </c>
      <c r="Q3" s="45" t="s">
        <v>270</v>
      </c>
      <c r="R3" s="45" t="s">
        <v>270</v>
      </c>
      <c r="S3" s="43">
        <v>5</v>
      </c>
      <c r="T3" s="91"/>
      <c r="U3" s="91"/>
      <c r="V3" s="44" t="s">
        <v>271</v>
      </c>
      <c r="W3" s="44">
        <v>2</v>
      </c>
      <c r="X3" s="44">
        <v>10</v>
      </c>
      <c r="Y3" s="44" t="s">
        <v>270</v>
      </c>
      <c r="Z3" s="44" t="s">
        <v>270</v>
      </c>
      <c r="AA3" s="44" t="s">
        <v>272</v>
      </c>
      <c r="AB3" s="44" t="s">
        <v>273</v>
      </c>
      <c r="AC3" s="43"/>
      <c r="AD3" s="43"/>
      <c r="AE3" s="51" t="s">
        <v>274</v>
      </c>
      <c r="AF3" s="51" t="s">
        <v>275</v>
      </c>
      <c r="AH3" s="71" t="s">
        <v>276</v>
      </c>
    </row>
    <row r="4" spans="1:38" s="51" customFormat="1" ht="16.5" customHeight="1">
      <c r="A4" s="50" t="s">
        <v>277</v>
      </c>
      <c r="B4" s="50" t="s">
        <v>278</v>
      </c>
      <c r="C4" s="85">
        <v>46083</v>
      </c>
      <c r="D4" s="852"/>
      <c r="E4" s="44">
        <v>65</v>
      </c>
      <c r="F4" s="77">
        <v>500</v>
      </c>
      <c r="G4" s="44">
        <v>80</v>
      </c>
      <c r="H4" s="44">
        <v>150</v>
      </c>
      <c r="I4" s="48" t="s">
        <v>269</v>
      </c>
      <c r="J4" s="48"/>
      <c r="K4" s="47" t="s">
        <v>270</v>
      </c>
      <c r="L4" s="47" t="s">
        <v>270</v>
      </c>
      <c r="M4" s="47" t="s">
        <v>270</v>
      </c>
      <c r="N4" s="93"/>
      <c r="O4" s="98"/>
      <c r="P4" s="46">
        <v>2</v>
      </c>
      <c r="Q4" s="45" t="s">
        <v>270</v>
      </c>
      <c r="R4" s="45" t="s">
        <v>270</v>
      </c>
      <c r="S4" s="43">
        <v>5</v>
      </c>
      <c r="T4" s="91"/>
      <c r="U4" s="91"/>
      <c r="V4" s="44" t="s">
        <v>271</v>
      </c>
      <c r="W4" s="44">
        <v>2</v>
      </c>
      <c r="X4" s="44">
        <v>10</v>
      </c>
      <c r="Y4" s="44" t="s">
        <v>270</v>
      </c>
      <c r="Z4" s="44" t="s">
        <v>270</v>
      </c>
      <c r="AA4" s="44" t="s">
        <v>272</v>
      </c>
      <c r="AB4" s="44" t="s">
        <v>273</v>
      </c>
      <c r="AC4" s="43"/>
      <c r="AD4" s="43"/>
      <c r="AF4" s="51" t="s">
        <v>279</v>
      </c>
      <c r="AH4" s="71" t="s">
        <v>276</v>
      </c>
    </row>
    <row r="5" spans="1:38" s="51" customFormat="1" ht="20.100000000000001" customHeight="1">
      <c r="A5" s="50" t="s">
        <v>280</v>
      </c>
      <c r="B5" s="50" t="s">
        <v>281</v>
      </c>
      <c r="C5" s="85">
        <v>46084</v>
      </c>
      <c r="D5" s="853" t="s">
        <v>282</v>
      </c>
      <c r="E5" s="27">
        <v>65</v>
      </c>
      <c r="F5" s="27">
        <v>700</v>
      </c>
      <c r="G5" s="27">
        <v>80</v>
      </c>
      <c r="H5" s="44">
        <v>150</v>
      </c>
      <c r="I5" s="48" t="s">
        <v>269</v>
      </c>
      <c r="J5" s="28"/>
      <c r="K5" s="47" t="s">
        <v>270</v>
      </c>
      <c r="L5" s="47" t="s">
        <v>270</v>
      </c>
      <c r="M5" s="47" t="s">
        <v>270</v>
      </c>
      <c r="N5" s="93"/>
      <c r="O5" s="98"/>
      <c r="P5" s="46">
        <v>2</v>
      </c>
      <c r="Q5" s="654">
        <v>1</v>
      </c>
      <c r="R5" s="45" t="s">
        <v>270</v>
      </c>
      <c r="S5" s="43">
        <v>0</v>
      </c>
      <c r="T5" s="91"/>
      <c r="U5" s="91"/>
      <c r="V5" s="44" t="s">
        <v>271</v>
      </c>
      <c r="W5" s="44">
        <v>2</v>
      </c>
      <c r="X5" s="44">
        <v>10</v>
      </c>
      <c r="Y5" s="44" t="s">
        <v>270</v>
      </c>
      <c r="Z5" s="44" t="s">
        <v>270</v>
      </c>
      <c r="AA5" s="27" t="s">
        <v>272</v>
      </c>
      <c r="AB5" s="44" t="s">
        <v>273</v>
      </c>
      <c r="AC5" s="32"/>
      <c r="AD5" s="32"/>
      <c r="AE5" s="51" t="s">
        <v>283</v>
      </c>
    </row>
    <row r="6" spans="1:38" s="51" customFormat="1" ht="15.95" customHeight="1">
      <c r="A6" s="50" t="s">
        <v>284</v>
      </c>
      <c r="B6" s="50" t="s">
        <v>285</v>
      </c>
      <c r="C6" s="85">
        <v>46084</v>
      </c>
      <c r="D6" s="853"/>
      <c r="E6" s="27">
        <v>65</v>
      </c>
      <c r="F6" s="27">
        <v>700</v>
      </c>
      <c r="G6" s="27">
        <v>80</v>
      </c>
      <c r="H6" s="44">
        <v>150</v>
      </c>
      <c r="I6" s="48" t="s">
        <v>269</v>
      </c>
      <c r="J6" s="28"/>
      <c r="K6" s="29"/>
      <c r="L6" s="30"/>
      <c r="M6" s="30"/>
      <c r="N6" s="93"/>
      <c r="O6" s="98"/>
      <c r="P6" s="46">
        <v>2</v>
      </c>
      <c r="Q6" s="654">
        <v>0.5</v>
      </c>
      <c r="R6" s="31"/>
      <c r="S6" s="43">
        <v>0</v>
      </c>
      <c r="T6" s="91"/>
      <c r="U6" s="91"/>
      <c r="V6" s="44" t="s">
        <v>271</v>
      </c>
      <c r="W6" s="44">
        <v>2</v>
      </c>
      <c r="X6" s="44">
        <v>10</v>
      </c>
      <c r="Y6" s="44" t="s">
        <v>270</v>
      </c>
      <c r="Z6" s="44" t="s">
        <v>270</v>
      </c>
      <c r="AA6" s="27" t="s">
        <v>272</v>
      </c>
      <c r="AB6" s="44" t="s">
        <v>273</v>
      </c>
      <c r="AC6" s="32"/>
      <c r="AD6" s="32"/>
      <c r="AE6" s="79"/>
      <c r="AH6" s="51" t="s">
        <v>286</v>
      </c>
    </row>
    <row r="7" spans="1:38" s="51" customFormat="1" ht="15.95" customHeight="1">
      <c r="A7" s="50" t="s">
        <v>287</v>
      </c>
      <c r="B7" s="50" t="s">
        <v>288</v>
      </c>
      <c r="C7" s="85">
        <v>46084</v>
      </c>
      <c r="D7" s="853"/>
      <c r="E7" s="27">
        <v>65</v>
      </c>
      <c r="F7" s="27">
        <v>700</v>
      </c>
      <c r="G7" s="27">
        <v>80</v>
      </c>
      <c r="H7" s="44">
        <v>150</v>
      </c>
      <c r="I7" s="48" t="s">
        <v>269</v>
      </c>
      <c r="J7" s="28"/>
      <c r="K7" s="29"/>
      <c r="L7" s="30"/>
      <c r="M7" s="30"/>
      <c r="N7" s="93"/>
      <c r="O7" s="98"/>
      <c r="P7" s="46">
        <v>2</v>
      </c>
      <c r="Q7" s="654">
        <v>0</v>
      </c>
      <c r="R7" s="31"/>
      <c r="S7" s="43">
        <v>0</v>
      </c>
      <c r="T7" s="91"/>
      <c r="U7" s="91"/>
      <c r="V7" s="44" t="s">
        <v>271</v>
      </c>
      <c r="W7" s="44">
        <v>2</v>
      </c>
      <c r="X7" s="44">
        <v>10</v>
      </c>
      <c r="Y7" s="44" t="s">
        <v>270</v>
      </c>
      <c r="Z7" s="44" t="s">
        <v>270</v>
      </c>
      <c r="AA7" s="27" t="s">
        <v>272</v>
      </c>
      <c r="AB7" s="44" t="s">
        <v>273</v>
      </c>
      <c r="AC7" s="36"/>
      <c r="AD7" s="36"/>
      <c r="AE7" s="51" t="s">
        <v>289</v>
      </c>
    </row>
    <row r="8" spans="1:38" s="51" customFormat="1" ht="15.95" customHeight="1">
      <c r="A8" s="50" t="s">
        <v>290</v>
      </c>
      <c r="B8" s="50" t="s">
        <v>291</v>
      </c>
      <c r="C8" s="85">
        <v>46084</v>
      </c>
      <c r="D8" s="846" t="s">
        <v>292</v>
      </c>
      <c r="E8" s="846"/>
      <c r="F8" s="846"/>
      <c r="G8" s="846"/>
      <c r="H8" s="846"/>
      <c r="I8" s="846"/>
      <c r="J8" s="846"/>
      <c r="K8" s="846"/>
      <c r="L8" s="846"/>
      <c r="M8" s="846"/>
      <c r="N8" s="846"/>
      <c r="O8" s="846"/>
      <c r="P8" s="846"/>
      <c r="Q8" s="846"/>
      <c r="R8" s="846"/>
      <c r="S8" s="846"/>
      <c r="T8" s="846"/>
      <c r="U8" s="846"/>
      <c r="V8" s="846"/>
      <c r="W8" s="846"/>
      <c r="X8" s="846"/>
      <c r="Y8" s="846"/>
      <c r="Z8" s="846"/>
      <c r="AA8" s="846"/>
      <c r="AB8" s="846"/>
      <c r="AC8" s="32"/>
      <c r="AD8" s="32"/>
    </row>
    <row r="9" spans="1:38" s="71" customFormat="1" ht="15" customHeight="1">
      <c r="A9" s="50" t="s">
        <v>293</v>
      </c>
      <c r="B9" s="50" t="s">
        <v>294</v>
      </c>
      <c r="C9" s="85">
        <v>46085</v>
      </c>
      <c r="D9" s="848" t="s">
        <v>295</v>
      </c>
      <c r="E9" s="27">
        <v>65</v>
      </c>
      <c r="F9" s="78">
        <v>850</v>
      </c>
      <c r="G9" s="27">
        <v>150</v>
      </c>
      <c r="H9" s="78">
        <v>150</v>
      </c>
      <c r="I9" s="82" t="s">
        <v>296</v>
      </c>
      <c r="J9" s="28"/>
      <c r="K9" s="37"/>
      <c r="L9" s="30"/>
      <c r="M9" s="30"/>
      <c r="N9" s="94"/>
      <c r="O9" s="99"/>
      <c r="P9" s="46">
        <v>2</v>
      </c>
      <c r="Q9" s="31">
        <v>0</v>
      </c>
      <c r="R9" s="31"/>
      <c r="S9" s="43">
        <v>0</v>
      </c>
      <c r="T9" s="91"/>
      <c r="U9" s="91"/>
      <c r="V9" s="44" t="s">
        <v>271</v>
      </c>
      <c r="W9" s="44">
        <v>2</v>
      </c>
      <c r="X9" s="77">
        <v>15</v>
      </c>
      <c r="Y9" s="44" t="s">
        <v>270</v>
      </c>
      <c r="Z9" s="44" t="s">
        <v>270</v>
      </c>
      <c r="AA9" s="27" t="s">
        <v>272</v>
      </c>
      <c r="AB9" s="44" t="s">
        <v>273</v>
      </c>
      <c r="AC9" s="32"/>
      <c r="AD9" s="32"/>
      <c r="AE9" s="81" t="s">
        <v>297</v>
      </c>
      <c r="AF9" s="71" t="s">
        <v>298</v>
      </c>
    </row>
    <row r="10" spans="1:38" s="71" customFormat="1" ht="15.95" customHeight="1">
      <c r="A10" s="50" t="s">
        <v>299</v>
      </c>
      <c r="B10" s="50" t="s">
        <v>300</v>
      </c>
      <c r="C10" s="85">
        <v>46085</v>
      </c>
      <c r="D10" s="848"/>
      <c r="E10" s="27">
        <v>65</v>
      </c>
      <c r="F10" s="80">
        <v>850</v>
      </c>
      <c r="G10" s="27">
        <v>150</v>
      </c>
      <c r="H10" s="80">
        <v>150</v>
      </c>
      <c r="I10" s="48" t="s">
        <v>296</v>
      </c>
      <c r="J10" s="28"/>
      <c r="K10" s="37"/>
      <c r="L10" s="30"/>
      <c r="M10" s="30"/>
      <c r="N10" s="94"/>
      <c r="O10" s="99"/>
      <c r="P10" s="46">
        <v>2</v>
      </c>
      <c r="Q10" s="31">
        <v>0</v>
      </c>
      <c r="R10" s="31"/>
      <c r="S10" s="83">
        <v>20</v>
      </c>
      <c r="T10" s="91"/>
      <c r="U10" s="91"/>
      <c r="V10" s="44" t="s">
        <v>271</v>
      </c>
      <c r="W10" s="44">
        <v>2</v>
      </c>
      <c r="X10" s="44">
        <v>15</v>
      </c>
      <c r="Y10" s="44" t="s">
        <v>270</v>
      </c>
      <c r="Z10" s="44" t="s">
        <v>270</v>
      </c>
      <c r="AA10" s="27" t="s">
        <v>272</v>
      </c>
      <c r="AB10" s="44" t="s">
        <v>273</v>
      </c>
      <c r="AC10" s="32"/>
      <c r="AD10" s="32"/>
      <c r="AE10" s="84" t="s">
        <v>301</v>
      </c>
      <c r="AF10" s="71" t="s">
        <v>302</v>
      </c>
    </row>
    <row r="11" spans="1:38" s="71" customFormat="1" ht="15.95" customHeight="1">
      <c r="A11" s="50" t="s">
        <v>303</v>
      </c>
      <c r="B11" s="50" t="s">
        <v>304</v>
      </c>
      <c r="C11" s="85">
        <v>46085</v>
      </c>
      <c r="D11" s="848"/>
      <c r="E11" s="27">
        <v>65</v>
      </c>
      <c r="F11" s="80">
        <v>850</v>
      </c>
      <c r="G11" s="27">
        <v>150</v>
      </c>
      <c r="H11" s="80">
        <v>150</v>
      </c>
      <c r="I11" s="48" t="s">
        <v>296</v>
      </c>
      <c r="J11" s="28"/>
      <c r="K11" s="37"/>
      <c r="L11" s="30"/>
      <c r="M11" s="30"/>
      <c r="N11" s="94"/>
      <c r="O11" s="99"/>
      <c r="P11" s="46">
        <v>2</v>
      </c>
      <c r="Q11" s="31">
        <v>0</v>
      </c>
      <c r="R11" s="31"/>
      <c r="S11" s="43">
        <v>0</v>
      </c>
      <c r="T11" s="91"/>
      <c r="U11" s="91"/>
      <c r="V11" s="44" t="s">
        <v>271</v>
      </c>
      <c r="W11" s="44">
        <v>2</v>
      </c>
      <c r="X11" s="44">
        <v>15</v>
      </c>
      <c r="Y11" s="44" t="s">
        <v>270</v>
      </c>
      <c r="Z11" s="44" t="s">
        <v>270</v>
      </c>
      <c r="AA11" s="27" t="s">
        <v>272</v>
      </c>
      <c r="AB11" s="44" t="s">
        <v>273</v>
      </c>
      <c r="AC11" s="32"/>
      <c r="AD11" s="32"/>
      <c r="AE11" s="81" t="s">
        <v>305</v>
      </c>
      <c r="AF11" s="71" t="s">
        <v>306</v>
      </c>
    </row>
    <row r="12" spans="1:38" s="71" customFormat="1" ht="15.95" customHeight="1">
      <c r="A12" s="50" t="s">
        <v>307</v>
      </c>
      <c r="B12" s="50" t="s">
        <v>308</v>
      </c>
      <c r="C12" s="85">
        <v>46085</v>
      </c>
      <c r="D12" s="849" t="s">
        <v>309</v>
      </c>
      <c r="E12" s="846" t="s">
        <v>310</v>
      </c>
      <c r="F12" s="846"/>
      <c r="G12" s="846"/>
      <c r="H12" s="846"/>
      <c r="I12" s="846"/>
      <c r="J12" s="846"/>
      <c r="K12" s="846"/>
      <c r="L12" s="846"/>
      <c r="M12" s="846"/>
      <c r="N12" s="846"/>
      <c r="O12" s="846"/>
      <c r="P12" s="846"/>
      <c r="Q12" s="846"/>
      <c r="R12" s="846"/>
      <c r="S12" s="846"/>
      <c r="T12" s="846"/>
      <c r="U12" s="846"/>
      <c r="V12" s="846"/>
      <c r="W12" s="846"/>
      <c r="X12" s="846"/>
      <c r="Y12" s="846"/>
      <c r="Z12" s="846"/>
      <c r="AA12" s="846"/>
      <c r="AB12" s="846"/>
      <c r="AC12" s="32"/>
      <c r="AD12" s="32"/>
      <c r="AE12" s="81" t="s">
        <v>311</v>
      </c>
    </row>
    <row r="13" spans="1:38" s="71" customFormat="1" ht="15.95" customHeight="1">
      <c r="A13" s="50" t="s">
        <v>312</v>
      </c>
      <c r="B13" s="50" t="s">
        <v>313</v>
      </c>
      <c r="C13" s="85">
        <v>46086</v>
      </c>
      <c r="D13" s="849"/>
      <c r="E13" s="27">
        <v>65</v>
      </c>
      <c r="F13" s="80">
        <v>850</v>
      </c>
      <c r="G13" s="27">
        <v>150</v>
      </c>
      <c r="H13" s="80">
        <v>150</v>
      </c>
      <c r="I13" s="48" t="s">
        <v>296</v>
      </c>
      <c r="J13" s="33"/>
      <c r="K13" s="38"/>
      <c r="L13" s="34"/>
      <c r="M13" s="34"/>
      <c r="N13" s="93">
        <v>850</v>
      </c>
      <c r="O13" s="98"/>
      <c r="P13" s="46">
        <v>2</v>
      </c>
      <c r="Q13" s="31">
        <v>0</v>
      </c>
      <c r="R13" s="35"/>
      <c r="S13" s="43">
        <v>20</v>
      </c>
      <c r="T13" s="91"/>
      <c r="U13" s="91"/>
      <c r="V13" s="44" t="s">
        <v>271</v>
      </c>
      <c r="W13" s="44">
        <v>2</v>
      </c>
      <c r="X13" s="44">
        <v>15</v>
      </c>
      <c r="Y13" s="44" t="s">
        <v>270</v>
      </c>
      <c r="Z13" s="44" t="s">
        <v>270</v>
      </c>
      <c r="AA13" s="27" t="s">
        <v>272</v>
      </c>
      <c r="AB13" s="44" t="s">
        <v>273</v>
      </c>
      <c r="AC13" s="36"/>
      <c r="AD13" s="36"/>
      <c r="AE13" s="81" t="s">
        <v>311</v>
      </c>
      <c r="AF13" s="71" t="s">
        <v>314</v>
      </c>
    </row>
    <row r="14" spans="1:38" s="71" customFormat="1" ht="15.95" customHeight="1">
      <c r="A14" s="50" t="s">
        <v>315</v>
      </c>
      <c r="B14" s="50" t="s">
        <v>316</v>
      </c>
      <c r="C14" s="85">
        <v>46086</v>
      </c>
      <c r="D14" s="849"/>
      <c r="E14" s="846" t="s">
        <v>317</v>
      </c>
      <c r="F14" s="846"/>
      <c r="G14" s="846"/>
      <c r="H14" s="846"/>
      <c r="I14" s="846"/>
      <c r="J14" s="846"/>
      <c r="K14" s="846"/>
      <c r="L14" s="846"/>
      <c r="M14" s="846"/>
      <c r="N14" s="846"/>
      <c r="O14" s="846"/>
      <c r="P14" s="846"/>
      <c r="Q14" s="846"/>
      <c r="R14" s="846"/>
      <c r="S14" s="846"/>
      <c r="T14" s="846"/>
      <c r="U14" s="846"/>
      <c r="V14" s="846"/>
      <c r="W14" s="846"/>
      <c r="X14" s="846"/>
      <c r="Y14" s="846"/>
      <c r="Z14" s="846"/>
      <c r="AA14" s="846"/>
      <c r="AB14" s="846"/>
      <c r="AC14" s="32"/>
      <c r="AD14" s="32"/>
      <c r="AE14" s="81" t="s">
        <v>311</v>
      </c>
      <c r="AF14" s="71" t="s">
        <v>318</v>
      </c>
    </row>
    <row r="15" spans="1:38" s="71" customFormat="1" ht="15.95" customHeight="1">
      <c r="A15" s="50" t="s">
        <v>319</v>
      </c>
      <c r="B15" s="50" t="s">
        <v>320</v>
      </c>
      <c r="C15" s="85">
        <v>46086</v>
      </c>
      <c r="D15" s="849"/>
      <c r="E15" s="27">
        <v>65</v>
      </c>
      <c r="F15" s="80">
        <v>850</v>
      </c>
      <c r="G15" s="27">
        <v>150</v>
      </c>
      <c r="H15" s="80">
        <v>150</v>
      </c>
      <c r="I15" s="48" t="s">
        <v>296</v>
      </c>
      <c r="J15" s="28"/>
      <c r="K15" s="39"/>
      <c r="L15" s="30"/>
      <c r="M15" s="30"/>
      <c r="N15" s="93">
        <v>850</v>
      </c>
      <c r="O15" s="98"/>
      <c r="P15" s="46">
        <v>2</v>
      </c>
      <c r="Q15" s="31">
        <v>0</v>
      </c>
      <c r="R15" s="31"/>
      <c r="S15" s="43">
        <v>20</v>
      </c>
      <c r="T15" s="91"/>
      <c r="U15" s="91"/>
      <c r="V15" s="44" t="s">
        <v>271</v>
      </c>
      <c r="W15" s="44">
        <v>2</v>
      </c>
      <c r="X15" s="44">
        <v>15</v>
      </c>
      <c r="Y15" s="44" t="s">
        <v>270</v>
      </c>
      <c r="Z15" s="44" t="s">
        <v>270</v>
      </c>
      <c r="AA15" s="27" t="s">
        <v>272</v>
      </c>
      <c r="AB15" s="44" t="s">
        <v>273</v>
      </c>
      <c r="AC15" s="32"/>
      <c r="AD15" s="32"/>
      <c r="AE15" s="81" t="s">
        <v>321</v>
      </c>
    </row>
    <row r="16" spans="1:38" s="71" customFormat="1" ht="15.95" customHeight="1">
      <c r="A16" s="50"/>
      <c r="B16" s="50"/>
      <c r="C16" s="85">
        <v>46087</v>
      </c>
      <c r="D16" s="84" t="s">
        <v>322</v>
      </c>
      <c r="E16" s="846" t="s">
        <v>323</v>
      </c>
      <c r="F16" s="846"/>
      <c r="G16" s="846"/>
      <c r="H16" s="846"/>
      <c r="I16" s="846"/>
      <c r="J16" s="846"/>
      <c r="K16" s="846"/>
      <c r="L16" s="846"/>
      <c r="M16" s="846"/>
      <c r="N16" s="846"/>
      <c r="O16" s="846"/>
      <c r="P16" s="846"/>
      <c r="Q16" s="846"/>
      <c r="R16" s="846"/>
      <c r="S16" s="846"/>
      <c r="T16" s="846"/>
      <c r="U16" s="846"/>
      <c r="V16" s="846"/>
      <c r="W16" s="846"/>
      <c r="X16" s="846"/>
      <c r="Y16" s="846"/>
      <c r="Z16" s="846"/>
      <c r="AA16" s="846"/>
      <c r="AB16" s="846"/>
      <c r="AC16" s="32"/>
      <c r="AD16" s="32"/>
      <c r="AE16" s="87" t="s">
        <v>324</v>
      </c>
    </row>
    <row r="17" spans="1:32" s="71" customFormat="1" ht="15.95" customHeight="1">
      <c r="A17" s="50"/>
      <c r="B17" s="50"/>
      <c r="C17" s="85">
        <v>46090</v>
      </c>
      <c r="D17" s="90"/>
      <c r="E17" s="27">
        <v>65</v>
      </c>
      <c r="F17" s="27">
        <v>890</v>
      </c>
      <c r="G17" s="27">
        <v>150</v>
      </c>
      <c r="H17" s="27">
        <v>150</v>
      </c>
      <c r="I17" s="82" t="s">
        <v>325</v>
      </c>
      <c r="J17" s="27"/>
      <c r="K17" s="27"/>
      <c r="L17" s="27"/>
      <c r="M17" s="27"/>
      <c r="N17" s="93">
        <v>700</v>
      </c>
      <c r="O17" s="845" t="s">
        <v>326</v>
      </c>
      <c r="P17" s="845"/>
      <c r="Q17" s="845"/>
      <c r="R17" s="845"/>
      <c r="S17" s="845"/>
      <c r="T17" s="845"/>
      <c r="U17" s="845"/>
      <c r="V17" s="845"/>
      <c r="W17" s="845"/>
      <c r="X17" s="27">
        <v>20</v>
      </c>
      <c r="Y17" s="27"/>
      <c r="Z17" s="27"/>
      <c r="AA17" s="27"/>
      <c r="AB17" s="27"/>
      <c r="AC17" s="32"/>
      <c r="AD17" s="32"/>
      <c r="AE17" s="87"/>
    </row>
    <row r="18" spans="1:32" s="71" customFormat="1" ht="15.95" customHeight="1">
      <c r="A18" s="50"/>
      <c r="B18" s="50"/>
      <c r="C18" s="85">
        <v>46090</v>
      </c>
      <c r="E18" s="846" t="s">
        <v>327</v>
      </c>
      <c r="F18" s="846"/>
      <c r="G18" s="846"/>
      <c r="H18" s="846"/>
      <c r="I18" s="846"/>
      <c r="J18" s="846"/>
      <c r="K18" s="846"/>
      <c r="L18" s="846"/>
      <c r="M18" s="846"/>
      <c r="N18" s="846"/>
      <c r="O18" s="846"/>
      <c r="P18" s="846"/>
      <c r="Q18" s="846"/>
      <c r="R18" s="846"/>
      <c r="S18" s="846"/>
      <c r="T18" s="846"/>
      <c r="U18" s="846"/>
      <c r="V18" s="846"/>
      <c r="W18" s="846"/>
      <c r="X18" s="846"/>
      <c r="Y18" s="846"/>
      <c r="Z18" s="846"/>
      <c r="AA18" s="27"/>
      <c r="AB18" s="27"/>
      <c r="AC18" s="32"/>
      <c r="AD18" s="32"/>
      <c r="AE18" s="87" t="s">
        <v>328</v>
      </c>
    </row>
    <row r="19" spans="1:32" s="71" customFormat="1" ht="15.95" customHeight="1">
      <c r="A19" s="50" t="s">
        <v>329</v>
      </c>
      <c r="B19" s="50"/>
      <c r="C19" s="85">
        <v>46090</v>
      </c>
      <c r="D19" s="846" t="s">
        <v>330</v>
      </c>
      <c r="E19" s="27">
        <v>65</v>
      </c>
      <c r="F19" s="27">
        <v>890</v>
      </c>
      <c r="G19" s="27">
        <v>150</v>
      </c>
      <c r="H19" s="80">
        <v>150</v>
      </c>
      <c r="I19" s="48" t="s">
        <v>325</v>
      </c>
      <c r="J19" s="28"/>
      <c r="K19" s="39"/>
      <c r="L19" s="30"/>
      <c r="M19" s="30"/>
      <c r="N19" s="93">
        <v>700</v>
      </c>
      <c r="O19" s="604" t="s">
        <v>331</v>
      </c>
      <c r="P19" s="46">
        <v>2</v>
      </c>
      <c r="Q19" s="31">
        <v>0</v>
      </c>
      <c r="R19" s="31"/>
      <c r="S19" s="43">
        <v>20</v>
      </c>
      <c r="T19" s="95">
        <v>15</v>
      </c>
      <c r="U19" s="95"/>
      <c r="V19" s="44" t="s">
        <v>271</v>
      </c>
      <c r="W19" s="44">
        <v>2</v>
      </c>
      <c r="X19" s="44">
        <v>15</v>
      </c>
      <c r="Y19" s="44" t="s">
        <v>270</v>
      </c>
      <c r="Z19" s="44" t="s">
        <v>270</v>
      </c>
      <c r="AA19" s="27" t="s">
        <v>272</v>
      </c>
      <c r="AB19" s="44" t="s">
        <v>273</v>
      </c>
      <c r="AC19" s="32"/>
      <c r="AD19" s="32"/>
      <c r="AE19" s="71" t="s">
        <v>332</v>
      </c>
      <c r="AF19" s="71" t="s">
        <v>333</v>
      </c>
    </row>
    <row r="20" spans="1:32" s="71" customFormat="1" ht="15.95" customHeight="1">
      <c r="A20" s="50"/>
      <c r="B20" s="50"/>
      <c r="C20" s="85"/>
      <c r="D20" s="846"/>
      <c r="E20" s="27">
        <v>65</v>
      </c>
      <c r="F20" s="27">
        <v>890</v>
      </c>
      <c r="G20" s="27">
        <v>150</v>
      </c>
      <c r="H20" s="80">
        <v>150</v>
      </c>
      <c r="I20" s="48" t="s">
        <v>325</v>
      </c>
      <c r="J20" s="28"/>
      <c r="K20" s="39"/>
      <c r="L20" s="30"/>
      <c r="M20" s="30"/>
      <c r="N20" s="93">
        <v>700</v>
      </c>
      <c r="O20" s="846" t="s">
        <v>334</v>
      </c>
      <c r="P20" s="846"/>
      <c r="Q20" s="846"/>
      <c r="R20" s="846"/>
      <c r="S20" s="846"/>
      <c r="T20" s="846"/>
      <c r="U20" s="846"/>
      <c r="V20" s="846"/>
      <c r="W20" s="846"/>
      <c r="X20" s="44"/>
      <c r="Y20" s="44"/>
      <c r="Z20" s="44"/>
      <c r="AA20" s="27"/>
      <c r="AB20" s="44"/>
      <c r="AC20" s="32"/>
      <c r="AD20" s="32"/>
      <c r="AE20" s="87" t="s">
        <v>335</v>
      </c>
    </row>
    <row r="21" spans="1:32" s="71" customFormat="1" ht="15.95" customHeight="1">
      <c r="A21" s="50" t="s">
        <v>336</v>
      </c>
      <c r="B21" s="50"/>
      <c r="C21" s="85">
        <v>46091</v>
      </c>
      <c r="D21" s="846"/>
      <c r="E21" s="27">
        <v>65</v>
      </c>
      <c r="F21" s="27">
        <v>890</v>
      </c>
      <c r="G21" s="27">
        <v>150</v>
      </c>
      <c r="H21" s="80">
        <v>150</v>
      </c>
      <c r="I21" s="48" t="s">
        <v>325</v>
      </c>
      <c r="J21" s="33"/>
      <c r="K21" s="40"/>
      <c r="L21" s="34"/>
      <c r="M21" s="34"/>
      <c r="N21" s="93">
        <v>700</v>
      </c>
      <c r="O21" s="166" t="s">
        <v>331</v>
      </c>
      <c r="P21" s="46">
        <v>2</v>
      </c>
      <c r="Q21" s="31">
        <v>0</v>
      </c>
      <c r="R21" s="31"/>
      <c r="S21" s="43">
        <v>20</v>
      </c>
      <c r="T21" s="95">
        <v>5</v>
      </c>
      <c r="U21" s="95"/>
      <c r="V21" s="44" t="s">
        <v>271</v>
      </c>
      <c r="W21" s="44">
        <v>2</v>
      </c>
      <c r="X21" s="44">
        <v>15</v>
      </c>
      <c r="Y21" s="44" t="s">
        <v>270</v>
      </c>
      <c r="Z21" s="44" t="s">
        <v>270</v>
      </c>
      <c r="AA21" s="27" t="s">
        <v>272</v>
      </c>
      <c r="AB21" s="44" t="s">
        <v>273</v>
      </c>
      <c r="AC21" s="36"/>
      <c r="AD21" s="36"/>
      <c r="AE21" s="71" t="s">
        <v>332</v>
      </c>
      <c r="AF21" s="71" t="s">
        <v>333</v>
      </c>
    </row>
    <row r="22" spans="1:32" s="71" customFormat="1" ht="15.95" customHeight="1">
      <c r="A22" s="50" t="s">
        <v>337</v>
      </c>
      <c r="B22" s="50"/>
      <c r="C22" s="85">
        <v>46091</v>
      </c>
      <c r="D22" s="846"/>
      <c r="E22" s="27">
        <v>65</v>
      </c>
      <c r="F22" s="27">
        <v>890</v>
      </c>
      <c r="G22" s="27">
        <v>150</v>
      </c>
      <c r="H22" s="80">
        <v>150</v>
      </c>
      <c r="I22" s="48" t="s">
        <v>270</v>
      </c>
      <c r="J22" s="28"/>
      <c r="K22" s="39"/>
      <c r="L22" s="30"/>
      <c r="M22" s="30"/>
      <c r="N22" s="605" t="s">
        <v>270</v>
      </c>
      <c r="O22" s="847" t="s">
        <v>338</v>
      </c>
      <c r="P22" s="847"/>
      <c r="Q22" s="847"/>
      <c r="R22" s="847"/>
      <c r="S22" s="847"/>
      <c r="T22" s="847"/>
      <c r="U22" s="847"/>
      <c r="V22" s="847"/>
      <c r="W22" s="847"/>
      <c r="X22" s="44"/>
      <c r="Y22" s="44"/>
      <c r="Z22" s="44"/>
      <c r="AA22" s="27"/>
      <c r="AB22" s="44"/>
      <c r="AC22" s="32"/>
      <c r="AD22" s="32"/>
      <c r="AE22" s="87" t="s">
        <v>339</v>
      </c>
    </row>
    <row r="23" spans="1:32" s="71" customFormat="1" ht="15.95" customHeight="1">
      <c r="A23" s="50" t="s">
        <v>340</v>
      </c>
      <c r="B23" s="50"/>
      <c r="C23" s="85">
        <v>46091</v>
      </c>
      <c r="D23" s="846"/>
      <c r="E23" s="27">
        <v>65</v>
      </c>
      <c r="F23" s="27">
        <v>890</v>
      </c>
      <c r="G23" s="27">
        <v>150</v>
      </c>
      <c r="H23" s="80">
        <v>150</v>
      </c>
      <c r="I23" s="48" t="s">
        <v>325</v>
      </c>
      <c r="J23" s="28"/>
      <c r="K23" s="39"/>
      <c r="L23" s="30"/>
      <c r="M23" s="30"/>
      <c r="N23" s="170">
        <v>600</v>
      </c>
      <c r="O23" s="166" t="s">
        <v>341</v>
      </c>
      <c r="P23" s="46">
        <v>2</v>
      </c>
      <c r="Q23" s="31">
        <v>0</v>
      </c>
      <c r="R23" s="31"/>
      <c r="S23" s="43">
        <v>20</v>
      </c>
      <c r="T23" s="606">
        <v>5</v>
      </c>
      <c r="U23" s="606"/>
      <c r="V23" s="44" t="s">
        <v>271</v>
      </c>
      <c r="W23" s="44">
        <v>2</v>
      </c>
      <c r="X23" s="77">
        <v>5</v>
      </c>
      <c r="Y23" s="44" t="s">
        <v>270</v>
      </c>
      <c r="Z23" s="44" t="s">
        <v>270</v>
      </c>
      <c r="AA23" s="27" t="s">
        <v>272</v>
      </c>
      <c r="AB23" s="44" t="s">
        <v>273</v>
      </c>
      <c r="AC23" s="32"/>
      <c r="AD23" s="32"/>
      <c r="AE23" s="87"/>
    </row>
    <row r="24" spans="1:32" s="71" customFormat="1" ht="15.95" customHeight="1">
      <c r="A24" s="50"/>
      <c r="B24" s="50"/>
      <c r="C24" s="85"/>
      <c r="D24" s="266"/>
      <c r="E24" s="27"/>
      <c r="F24" s="27"/>
      <c r="G24" s="27"/>
      <c r="H24" s="80"/>
      <c r="I24" s="48"/>
      <c r="J24" s="28"/>
      <c r="K24" s="39"/>
      <c r="L24" s="30"/>
      <c r="M24" s="30"/>
      <c r="N24" s="170"/>
      <c r="O24" s="166"/>
      <c r="P24" s="46"/>
      <c r="Q24" s="31"/>
      <c r="R24" s="31"/>
      <c r="S24" s="43"/>
      <c r="T24" s="606"/>
      <c r="U24" s="606"/>
      <c r="V24" s="44"/>
      <c r="W24" s="44"/>
      <c r="X24" s="77"/>
      <c r="Y24" s="44"/>
      <c r="Z24" s="44"/>
      <c r="AA24" s="27"/>
      <c r="AB24" s="44"/>
      <c r="AC24" s="32"/>
      <c r="AD24" s="32"/>
      <c r="AE24" s="87"/>
    </row>
    <row r="25" spans="1:32" s="71" customFormat="1" ht="15.95" customHeight="1">
      <c r="A25" s="50" t="s">
        <v>342</v>
      </c>
      <c r="B25" s="50"/>
      <c r="C25" s="85">
        <v>46092</v>
      </c>
      <c r="D25" s="845" t="s">
        <v>343</v>
      </c>
      <c r="E25" s="27">
        <v>65</v>
      </c>
      <c r="F25" s="27">
        <v>890</v>
      </c>
      <c r="G25" s="27">
        <v>150</v>
      </c>
      <c r="H25" s="80">
        <v>150</v>
      </c>
      <c r="I25" s="48" t="s">
        <v>270</v>
      </c>
      <c r="J25" s="28"/>
      <c r="K25" s="39"/>
      <c r="L25" s="30"/>
      <c r="M25" s="30"/>
      <c r="N25" s="171" t="s">
        <v>270</v>
      </c>
      <c r="O25" s="847" t="s">
        <v>344</v>
      </c>
      <c r="P25" s="847"/>
      <c r="Q25" s="847"/>
      <c r="R25" s="847"/>
      <c r="S25" s="847"/>
      <c r="T25" s="847"/>
      <c r="U25" s="847"/>
      <c r="V25" s="847"/>
      <c r="W25" s="847"/>
      <c r="X25" s="77"/>
      <c r="Y25" s="44" t="s">
        <v>270</v>
      </c>
      <c r="Z25" s="44" t="s">
        <v>270</v>
      </c>
      <c r="AA25" s="27"/>
      <c r="AB25" s="44"/>
      <c r="AC25" s="32"/>
      <c r="AD25" s="32"/>
      <c r="AE25" s="87" t="s">
        <v>345</v>
      </c>
    </row>
    <row r="26" spans="1:32" s="71" customFormat="1" ht="15.95" customHeight="1">
      <c r="A26" s="50" t="s">
        <v>346</v>
      </c>
      <c r="B26" s="50"/>
      <c r="C26" s="85">
        <v>46092</v>
      </c>
      <c r="D26" s="845"/>
      <c r="E26" s="27">
        <v>65</v>
      </c>
      <c r="F26" s="27">
        <v>890</v>
      </c>
      <c r="G26" s="27">
        <v>150</v>
      </c>
      <c r="H26" s="80">
        <v>150</v>
      </c>
      <c r="I26" s="48" t="s">
        <v>270</v>
      </c>
      <c r="J26" s="28"/>
      <c r="K26" s="39"/>
      <c r="L26" s="30"/>
      <c r="M26" s="30"/>
      <c r="N26" s="171" t="s">
        <v>270</v>
      </c>
      <c r="O26" s="847" t="s">
        <v>347</v>
      </c>
      <c r="P26" s="847"/>
      <c r="Q26" s="847"/>
      <c r="R26" s="847"/>
      <c r="S26" s="847"/>
      <c r="T26" s="847"/>
      <c r="U26" s="847"/>
      <c r="V26" s="847"/>
      <c r="W26" s="847"/>
      <c r="X26" s="77"/>
      <c r="Y26" s="44" t="s">
        <v>270</v>
      </c>
      <c r="Z26" s="44" t="s">
        <v>270</v>
      </c>
      <c r="AA26" s="27"/>
      <c r="AB26" s="44"/>
      <c r="AC26" s="32"/>
      <c r="AD26" s="32"/>
      <c r="AE26" s="87" t="s">
        <v>345</v>
      </c>
    </row>
    <row r="27" spans="1:32" s="71" customFormat="1" ht="15.95" customHeight="1">
      <c r="A27" s="50" t="s">
        <v>348</v>
      </c>
      <c r="B27" s="50"/>
      <c r="C27" s="85">
        <v>46092</v>
      </c>
      <c r="D27" s="845"/>
      <c r="E27" s="27">
        <v>65</v>
      </c>
      <c r="F27" s="27">
        <v>890</v>
      </c>
      <c r="G27" s="78">
        <v>50</v>
      </c>
      <c r="H27" s="78">
        <v>50</v>
      </c>
      <c r="I27" s="48" t="s">
        <v>270</v>
      </c>
      <c r="J27" s="28"/>
      <c r="K27" s="39"/>
      <c r="L27" s="30"/>
      <c r="M27" s="30"/>
      <c r="N27" s="605" t="s">
        <v>270</v>
      </c>
      <c r="O27" s="847" t="s">
        <v>349</v>
      </c>
      <c r="P27" s="847"/>
      <c r="Q27" s="847"/>
      <c r="R27" s="847"/>
      <c r="S27" s="847"/>
      <c r="T27" s="847"/>
      <c r="U27" s="847"/>
      <c r="V27" s="847"/>
      <c r="W27" s="847"/>
      <c r="X27" s="280"/>
      <c r="Y27" s="44" t="s">
        <v>270</v>
      </c>
      <c r="Z27" s="44" t="s">
        <v>270</v>
      </c>
      <c r="AA27" s="27"/>
      <c r="AB27" s="44"/>
      <c r="AC27" s="32"/>
      <c r="AD27" s="32"/>
      <c r="AE27" s="87" t="s">
        <v>345</v>
      </c>
    </row>
    <row r="28" spans="1:32" s="71" customFormat="1" ht="15.95" customHeight="1">
      <c r="A28" s="50" t="s">
        <v>350</v>
      </c>
      <c r="B28" s="50"/>
      <c r="C28" s="85">
        <v>46093</v>
      </c>
      <c r="D28" s="845"/>
      <c r="E28" s="27">
        <v>200</v>
      </c>
      <c r="F28" s="27">
        <v>300</v>
      </c>
      <c r="G28" s="78">
        <v>150</v>
      </c>
      <c r="H28" s="78">
        <v>150</v>
      </c>
      <c r="I28" s="48" t="s">
        <v>270</v>
      </c>
      <c r="J28" s="28"/>
      <c r="K28" s="39"/>
      <c r="L28" s="30"/>
      <c r="M28" s="30"/>
      <c r="N28" s="605" t="s">
        <v>270</v>
      </c>
      <c r="O28" s="847" t="s">
        <v>351</v>
      </c>
      <c r="P28" s="847"/>
      <c r="Q28" s="847"/>
      <c r="R28" s="847"/>
      <c r="S28" s="847"/>
      <c r="T28" s="847"/>
      <c r="U28" s="847"/>
      <c r="V28" s="847"/>
      <c r="W28" s="847"/>
      <c r="X28" s="280">
        <v>20</v>
      </c>
      <c r="Y28" s="44" t="s">
        <v>270</v>
      </c>
      <c r="Z28" s="44" t="s">
        <v>270</v>
      </c>
      <c r="AA28" s="27"/>
      <c r="AB28" s="44"/>
      <c r="AC28" s="32"/>
      <c r="AD28" s="32"/>
      <c r="AE28" s="87" t="s">
        <v>345</v>
      </c>
    </row>
    <row r="29" spans="1:32" s="71" customFormat="1" ht="15.95" customHeight="1">
      <c r="A29" s="50" t="s">
        <v>352</v>
      </c>
      <c r="B29" s="50"/>
      <c r="C29" s="85">
        <v>46093</v>
      </c>
      <c r="D29" s="27"/>
      <c r="E29" s="27">
        <v>65</v>
      </c>
      <c r="F29" s="80">
        <v>890</v>
      </c>
      <c r="G29" s="27">
        <v>150</v>
      </c>
      <c r="H29" s="80">
        <v>150</v>
      </c>
      <c r="I29" s="48" t="s">
        <v>270</v>
      </c>
      <c r="J29" s="28"/>
      <c r="K29" s="39"/>
      <c r="L29" s="30"/>
      <c r="M29" s="30"/>
      <c r="N29" s="605" t="s">
        <v>270</v>
      </c>
      <c r="O29" s="175" t="s">
        <v>270</v>
      </c>
      <c r="P29" s="46">
        <v>2</v>
      </c>
      <c r="Q29" s="31">
        <v>0</v>
      </c>
      <c r="R29" s="35"/>
      <c r="S29" s="43">
        <v>20</v>
      </c>
      <c r="T29" s="606">
        <v>5</v>
      </c>
      <c r="U29" s="606"/>
      <c r="V29" s="44" t="s">
        <v>271</v>
      </c>
      <c r="W29" s="44">
        <v>2</v>
      </c>
      <c r="X29" s="44">
        <v>5</v>
      </c>
      <c r="Y29" s="44" t="s">
        <v>270</v>
      </c>
      <c r="Z29" s="44" t="s">
        <v>270</v>
      </c>
      <c r="AA29" s="27"/>
      <c r="AB29" s="44"/>
      <c r="AC29" s="32"/>
      <c r="AD29" s="32"/>
      <c r="AE29" s="87"/>
    </row>
    <row r="30" spans="1:32" s="71" customFormat="1" ht="15.95" customHeight="1">
      <c r="A30" s="50" t="s">
        <v>353</v>
      </c>
      <c r="B30" s="50"/>
      <c r="C30" s="85">
        <v>46093</v>
      </c>
      <c r="D30" s="844" t="s">
        <v>354</v>
      </c>
      <c r="E30" s="27">
        <v>65</v>
      </c>
      <c r="F30" s="80">
        <v>890</v>
      </c>
      <c r="G30" s="27">
        <v>150</v>
      </c>
      <c r="H30" s="80">
        <v>150</v>
      </c>
      <c r="I30" s="48" t="s">
        <v>325</v>
      </c>
      <c r="J30" s="28"/>
      <c r="K30" s="39"/>
      <c r="L30" s="30"/>
      <c r="M30" s="30"/>
      <c r="N30" s="170">
        <v>600</v>
      </c>
      <c r="O30" s="166" t="s">
        <v>355</v>
      </c>
      <c r="P30" s="46">
        <v>2</v>
      </c>
      <c r="Q30" s="31">
        <v>0</v>
      </c>
      <c r="R30" s="35"/>
      <c r="S30" s="83">
        <v>0</v>
      </c>
      <c r="T30" s="606">
        <v>5</v>
      </c>
      <c r="U30" s="606"/>
      <c r="V30" s="44" t="s">
        <v>271</v>
      </c>
      <c r="W30" s="44">
        <v>2</v>
      </c>
      <c r="X30" s="44">
        <v>5</v>
      </c>
      <c r="Y30" s="44" t="s">
        <v>270</v>
      </c>
      <c r="Z30" s="44" t="s">
        <v>270</v>
      </c>
      <c r="AA30" s="27"/>
      <c r="AB30" s="44"/>
      <c r="AC30" s="32"/>
      <c r="AD30" s="32"/>
      <c r="AE30" s="87" t="s">
        <v>356</v>
      </c>
      <c r="AF30" s="71" t="s">
        <v>298</v>
      </c>
    </row>
    <row r="31" spans="1:32" s="71" customFormat="1" ht="15.95" customHeight="1">
      <c r="A31" s="50" t="s">
        <v>357</v>
      </c>
      <c r="B31" s="50"/>
      <c r="C31" s="85">
        <v>46093</v>
      </c>
      <c r="D31" s="844"/>
      <c r="E31" s="27">
        <v>65</v>
      </c>
      <c r="F31" s="80">
        <v>890</v>
      </c>
      <c r="G31" s="27">
        <v>150</v>
      </c>
      <c r="H31" s="80">
        <v>150</v>
      </c>
      <c r="I31" s="48" t="s">
        <v>325</v>
      </c>
      <c r="J31" s="28"/>
      <c r="K31" s="39"/>
      <c r="L31" s="30"/>
      <c r="M31" s="30"/>
      <c r="N31" s="171">
        <v>600</v>
      </c>
      <c r="O31" s="166" t="s">
        <v>358</v>
      </c>
      <c r="P31" s="46">
        <v>2</v>
      </c>
      <c r="Q31" s="31">
        <v>0</v>
      </c>
      <c r="R31" s="35"/>
      <c r="S31" s="83">
        <v>10</v>
      </c>
      <c r="T31" s="606">
        <v>5</v>
      </c>
      <c r="U31" s="606"/>
      <c r="V31" s="44" t="s">
        <v>271</v>
      </c>
      <c r="W31" s="44">
        <v>2</v>
      </c>
      <c r="X31" s="44">
        <v>5</v>
      </c>
      <c r="Y31" s="44" t="s">
        <v>270</v>
      </c>
      <c r="Z31" s="44" t="s">
        <v>270</v>
      </c>
      <c r="AA31" s="27"/>
      <c r="AB31" s="44"/>
      <c r="AC31" s="32"/>
      <c r="AD31" s="32"/>
    </row>
    <row r="32" spans="1:32" s="71" customFormat="1" ht="15.95" customHeight="1">
      <c r="A32" s="50" t="s">
        <v>359</v>
      </c>
      <c r="B32" s="50"/>
      <c r="C32" s="85">
        <v>46094</v>
      </c>
      <c r="D32" s="844"/>
      <c r="E32" s="27">
        <v>65</v>
      </c>
      <c r="F32" s="80">
        <v>890</v>
      </c>
      <c r="G32" s="27">
        <v>150</v>
      </c>
      <c r="H32" s="80">
        <v>150</v>
      </c>
      <c r="I32" s="48" t="s">
        <v>325</v>
      </c>
      <c r="J32" s="28"/>
      <c r="K32" s="39"/>
      <c r="L32" s="30"/>
      <c r="M32" s="30"/>
      <c r="N32" s="171">
        <v>600</v>
      </c>
      <c r="O32" s="166" t="s">
        <v>360</v>
      </c>
      <c r="P32" s="46">
        <v>2</v>
      </c>
      <c r="Q32" s="31">
        <v>0</v>
      </c>
      <c r="R32" s="35"/>
      <c r="S32" s="83">
        <v>20</v>
      </c>
      <c r="T32" s="606">
        <v>5</v>
      </c>
      <c r="U32" s="606"/>
      <c r="V32" s="44" t="s">
        <v>271</v>
      </c>
      <c r="W32" s="44">
        <v>2</v>
      </c>
      <c r="X32" s="44">
        <v>5</v>
      </c>
      <c r="Y32" s="44" t="s">
        <v>270</v>
      </c>
      <c r="Z32" s="44" t="s">
        <v>270</v>
      </c>
      <c r="AA32" s="27"/>
      <c r="AB32" s="44"/>
      <c r="AC32" s="32"/>
      <c r="AD32" s="32"/>
      <c r="AE32" s="87" t="s">
        <v>361</v>
      </c>
    </row>
    <row r="33" spans="1:33" s="71" customFormat="1" ht="15.95" customHeight="1">
      <c r="A33" s="50" t="s">
        <v>362</v>
      </c>
      <c r="B33" s="50"/>
      <c r="C33" s="85">
        <v>46094</v>
      </c>
      <c r="D33" s="844"/>
      <c r="E33" s="27">
        <v>65</v>
      </c>
      <c r="F33" s="80">
        <v>890</v>
      </c>
      <c r="G33" s="27">
        <v>150</v>
      </c>
      <c r="H33" s="80">
        <v>150</v>
      </c>
      <c r="I33" s="48" t="s">
        <v>325</v>
      </c>
      <c r="J33" s="28"/>
      <c r="K33" s="39"/>
      <c r="L33" s="30"/>
      <c r="M33" s="30"/>
      <c r="N33" s="170">
        <v>700</v>
      </c>
      <c r="O33" s="166" t="s">
        <v>363</v>
      </c>
      <c r="P33" s="46">
        <v>2</v>
      </c>
      <c r="Q33" s="31">
        <v>0</v>
      </c>
      <c r="R33" s="35"/>
      <c r="S33" s="83">
        <v>20</v>
      </c>
      <c r="T33" s="607">
        <v>0</v>
      </c>
      <c r="U33" s="607"/>
      <c r="V33" s="44" t="s">
        <v>271</v>
      </c>
      <c r="W33" s="44">
        <v>2</v>
      </c>
      <c r="X33" s="44">
        <v>5</v>
      </c>
      <c r="Y33" s="44" t="s">
        <v>270</v>
      </c>
      <c r="Z33" s="44" t="s">
        <v>270</v>
      </c>
      <c r="AA33" s="27"/>
      <c r="AB33" s="44"/>
      <c r="AC33" s="32"/>
      <c r="AD33" s="32"/>
      <c r="AE33" s="87" t="s">
        <v>364</v>
      </c>
    </row>
    <row r="34" spans="1:33" s="71" customFormat="1" ht="15.95" customHeight="1">
      <c r="A34" s="50" t="s">
        <v>365</v>
      </c>
      <c r="B34" s="50"/>
      <c r="C34" s="85">
        <v>46094</v>
      </c>
      <c r="D34" s="844"/>
      <c r="E34" s="27">
        <v>65</v>
      </c>
      <c r="F34" s="80">
        <v>890</v>
      </c>
      <c r="G34" s="27">
        <v>150</v>
      </c>
      <c r="H34" s="80">
        <v>150</v>
      </c>
      <c r="I34" s="48" t="s">
        <v>325</v>
      </c>
      <c r="J34" s="28"/>
      <c r="K34" s="39"/>
      <c r="L34" s="30"/>
      <c r="M34" s="30"/>
      <c r="N34" s="170">
        <v>700</v>
      </c>
      <c r="O34" s="166" t="s">
        <v>366</v>
      </c>
      <c r="P34" s="46">
        <v>2</v>
      </c>
      <c r="Q34" s="31">
        <v>0</v>
      </c>
      <c r="R34" s="31"/>
      <c r="S34" s="83">
        <v>20</v>
      </c>
      <c r="T34" s="606">
        <v>5</v>
      </c>
      <c r="U34" s="606"/>
      <c r="V34" s="44" t="s">
        <v>271</v>
      </c>
      <c r="W34" s="44">
        <v>2</v>
      </c>
      <c r="X34" s="44">
        <v>5</v>
      </c>
      <c r="Y34" s="44" t="s">
        <v>270</v>
      </c>
      <c r="Z34" s="44" t="s">
        <v>270</v>
      </c>
      <c r="AA34" s="44" t="s">
        <v>270</v>
      </c>
      <c r="AB34" s="44" t="s">
        <v>270</v>
      </c>
      <c r="AC34" s="44" t="s">
        <v>270</v>
      </c>
      <c r="AD34" s="44" t="s">
        <v>270</v>
      </c>
      <c r="AE34" s="87"/>
    </row>
    <row r="35" spans="1:33" s="71" customFormat="1" ht="15.95" customHeight="1">
      <c r="A35" s="50" t="s">
        <v>367</v>
      </c>
      <c r="B35" s="50"/>
      <c r="C35" s="85">
        <v>46094</v>
      </c>
      <c r="D35" s="27"/>
      <c r="E35" s="27">
        <v>200</v>
      </c>
      <c r="F35" s="80">
        <v>890</v>
      </c>
      <c r="G35" s="27">
        <v>50</v>
      </c>
      <c r="H35" s="80">
        <v>50</v>
      </c>
      <c r="I35" s="48" t="s">
        <v>270</v>
      </c>
      <c r="J35" s="28"/>
      <c r="K35" s="39"/>
      <c r="L35" s="30"/>
      <c r="M35" s="30"/>
      <c r="N35" s="170" t="s">
        <v>270</v>
      </c>
      <c r="O35" s="837" t="s">
        <v>368</v>
      </c>
      <c r="P35" s="837"/>
      <c r="Q35" s="837"/>
      <c r="R35" s="837"/>
      <c r="S35" s="837"/>
      <c r="T35" s="837"/>
      <c r="U35" s="837"/>
      <c r="V35" s="837"/>
      <c r="W35" s="837"/>
      <c r="X35" s="44">
        <v>20</v>
      </c>
      <c r="Y35" s="44" t="s">
        <v>270</v>
      </c>
      <c r="Z35" s="44" t="s">
        <v>270</v>
      </c>
      <c r="AA35" s="27"/>
      <c r="AB35" s="44"/>
      <c r="AC35" s="32"/>
      <c r="AD35" s="32"/>
      <c r="AE35" s="87"/>
    </row>
    <row r="36" spans="1:33" s="71" customFormat="1" ht="15.95" customHeight="1">
      <c r="A36" s="50" t="s">
        <v>369</v>
      </c>
      <c r="B36" s="50"/>
      <c r="C36" s="85">
        <v>46096</v>
      </c>
      <c r="D36" s="844" t="s">
        <v>370</v>
      </c>
      <c r="E36" s="27">
        <v>65</v>
      </c>
      <c r="F36" s="80">
        <v>890</v>
      </c>
      <c r="G36" s="27">
        <v>150</v>
      </c>
      <c r="H36" s="80">
        <v>150</v>
      </c>
      <c r="I36" s="48" t="s">
        <v>325</v>
      </c>
      <c r="J36" s="28"/>
      <c r="K36" s="39"/>
      <c r="L36" s="30"/>
      <c r="M36" s="30"/>
      <c r="N36" s="605">
        <v>700</v>
      </c>
      <c r="O36" s="166" t="s">
        <v>371</v>
      </c>
      <c r="P36" s="46">
        <v>2</v>
      </c>
      <c r="Q36" s="31">
        <v>0</v>
      </c>
      <c r="R36" s="35"/>
      <c r="S36" s="83">
        <v>10</v>
      </c>
      <c r="T36" s="606">
        <v>5</v>
      </c>
      <c r="U36" s="606"/>
      <c r="V36" s="44" t="s">
        <v>271</v>
      </c>
      <c r="W36" s="44">
        <v>2</v>
      </c>
      <c r="X36" s="44">
        <v>5</v>
      </c>
      <c r="Y36" s="44" t="s">
        <v>270</v>
      </c>
      <c r="Z36" s="44" t="s">
        <v>270</v>
      </c>
      <c r="AA36" s="27"/>
      <c r="AB36" s="44"/>
      <c r="AC36" s="32"/>
      <c r="AD36" s="32"/>
      <c r="AE36" s="87"/>
    </row>
    <row r="37" spans="1:33" s="71" customFormat="1" ht="15.95" customHeight="1">
      <c r="A37" s="50" t="s">
        <v>372</v>
      </c>
      <c r="B37" s="50"/>
      <c r="C37" s="85">
        <v>46096</v>
      </c>
      <c r="D37" s="844"/>
      <c r="E37" s="27">
        <v>65</v>
      </c>
      <c r="F37" s="80">
        <v>890</v>
      </c>
      <c r="G37" s="27">
        <v>150</v>
      </c>
      <c r="H37" s="80">
        <v>150</v>
      </c>
      <c r="I37" s="48" t="s">
        <v>325</v>
      </c>
      <c r="J37" s="28"/>
      <c r="K37" s="39"/>
      <c r="L37" s="30"/>
      <c r="M37" s="30"/>
      <c r="N37" s="605">
        <v>700</v>
      </c>
      <c r="O37" s="166" t="s">
        <v>373</v>
      </c>
      <c r="P37" s="46">
        <v>2</v>
      </c>
      <c r="Q37" s="31">
        <v>0</v>
      </c>
      <c r="R37" s="35"/>
      <c r="S37" s="83">
        <v>10</v>
      </c>
      <c r="T37" s="606">
        <v>5</v>
      </c>
      <c r="U37" s="606"/>
      <c r="V37" s="44" t="s">
        <v>271</v>
      </c>
      <c r="W37" s="44">
        <v>2</v>
      </c>
      <c r="X37" s="44">
        <v>5</v>
      </c>
      <c r="Y37" s="44" t="s">
        <v>270</v>
      </c>
      <c r="Z37" s="44" t="s">
        <v>270</v>
      </c>
      <c r="AA37" s="27"/>
      <c r="AB37" s="44"/>
      <c r="AC37" s="32"/>
      <c r="AD37" s="32"/>
      <c r="AE37" s="87"/>
    </row>
    <row r="38" spans="1:33" s="71" customFormat="1" ht="15.95" customHeight="1">
      <c r="A38" s="50" t="s">
        <v>374</v>
      </c>
      <c r="B38" s="50"/>
      <c r="C38" s="85">
        <v>46096</v>
      </c>
      <c r="D38" s="844"/>
      <c r="E38" s="27">
        <v>65</v>
      </c>
      <c r="F38" s="80">
        <v>890</v>
      </c>
      <c r="G38" s="27">
        <v>150</v>
      </c>
      <c r="H38" s="80">
        <v>150</v>
      </c>
      <c r="I38" s="48" t="s">
        <v>325</v>
      </c>
      <c r="J38" s="28"/>
      <c r="K38" s="39"/>
      <c r="L38" s="30"/>
      <c r="M38" s="30"/>
      <c r="N38" s="605">
        <v>700</v>
      </c>
      <c r="O38" s="166" t="s">
        <v>375</v>
      </c>
      <c r="P38" s="46">
        <v>2</v>
      </c>
      <c r="Q38" s="31">
        <v>0</v>
      </c>
      <c r="R38" s="35"/>
      <c r="S38" s="83">
        <v>10</v>
      </c>
      <c r="T38" s="606">
        <v>5</v>
      </c>
      <c r="U38" s="606"/>
      <c r="V38" s="44" t="s">
        <v>271</v>
      </c>
      <c r="W38" s="44">
        <v>2</v>
      </c>
      <c r="X38" s="44">
        <v>5</v>
      </c>
      <c r="Y38" s="44" t="s">
        <v>270</v>
      </c>
      <c r="Z38" s="44" t="s">
        <v>270</v>
      </c>
      <c r="AA38" s="27"/>
      <c r="AB38" s="44"/>
      <c r="AC38" s="32"/>
      <c r="AD38" s="32"/>
      <c r="AE38" s="87"/>
    </row>
    <row r="39" spans="1:33" s="71" customFormat="1" ht="15.95" customHeight="1">
      <c r="A39" s="50" t="s">
        <v>376</v>
      </c>
      <c r="B39" s="50"/>
      <c r="C39" s="85">
        <v>46096</v>
      </c>
      <c r="D39" s="27"/>
      <c r="E39" s="27">
        <v>65</v>
      </c>
      <c r="F39" s="80">
        <v>890</v>
      </c>
      <c r="G39" s="27">
        <v>50</v>
      </c>
      <c r="H39" s="80">
        <v>50</v>
      </c>
      <c r="I39" s="48" t="s">
        <v>325</v>
      </c>
      <c r="J39" s="28"/>
      <c r="K39" s="39"/>
      <c r="L39" s="30"/>
      <c r="M39" s="30"/>
      <c r="N39" s="605">
        <v>890</v>
      </c>
      <c r="O39" s="837" t="s">
        <v>368</v>
      </c>
      <c r="P39" s="837"/>
      <c r="Q39" s="837"/>
      <c r="R39" s="837"/>
      <c r="S39" s="837"/>
      <c r="T39" s="837"/>
      <c r="U39" s="837"/>
      <c r="V39" s="837"/>
      <c r="W39" s="837"/>
      <c r="X39" s="44">
        <v>20</v>
      </c>
      <c r="Y39" s="44" t="s">
        <v>270</v>
      </c>
      <c r="Z39" s="44" t="s">
        <v>270</v>
      </c>
      <c r="AA39" s="27"/>
      <c r="AB39" s="44"/>
      <c r="AC39" s="32"/>
      <c r="AD39" s="32"/>
      <c r="AE39" s="87" t="s">
        <v>377</v>
      </c>
    </row>
    <row r="40" spans="1:33" s="71" customFormat="1" ht="15.95" customHeight="1">
      <c r="A40" s="50" t="s">
        <v>378</v>
      </c>
      <c r="B40" s="50"/>
      <c r="C40" s="85">
        <v>46097</v>
      </c>
      <c r="D40" s="857" t="s">
        <v>379</v>
      </c>
      <c r="E40" s="27">
        <v>65</v>
      </c>
      <c r="F40" s="27">
        <v>890</v>
      </c>
      <c r="G40" s="27">
        <v>150</v>
      </c>
      <c r="H40" s="80">
        <v>150</v>
      </c>
      <c r="I40" s="48" t="s">
        <v>325</v>
      </c>
      <c r="J40" s="28"/>
      <c r="K40" s="39"/>
      <c r="L40" s="30"/>
      <c r="M40" s="30"/>
      <c r="N40" s="170">
        <v>630</v>
      </c>
      <c r="O40" s="166" t="s">
        <v>331</v>
      </c>
      <c r="P40" s="46">
        <v>2</v>
      </c>
      <c r="Q40" s="31">
        <v>0</v>
      </c>
      <c r="R40" s="35"/>
      <c r="S40" s="43">
        <v>10</v>
      </c>
      <c r="T40" s="606">
        <v>5</v>
      </c>
      <c r="U40" s="606"/>
      <c r="V40" s="44" t="s">
        <v>271</v>
      </c>
      <c r="W40" s="44">
        <v>2</v>
      </c>
      <c r="X40" s="44">
        <v>5</v>
      </c>
      <c r="Y40" s="44" t="s">
        <v>270</v>
      </c>
      <c r="Z40" s="44" t="s">
        <v>270</v>
      </c>
      <c r="AA40" s="27" t="s">
        <v>272</v>
      </c>
      <c r="AB40" s="44" t="s">
        <v>273</v>
      </c>
      <c r="AC40" s="32"/>
      <c r="AD40" s="32"/>
      <c r="AE40" s="87"/>
    </row>
    <row r="41" spans="1:33" s="71" customFormat="1" ht="15.95" customHeight="1">
      <c r="A41" s="50" t="s">
        <v>380</v>
      </c>
      <c r="B41" s="50"/>
      <c r="C41" s="85">
        <v>46097</v>
      </c>
      <c r="D41" s="857"/>
      <c r="E41" s="27">
        <v>65</v>
      </c>
      <c r="F41" s="27">
        <v>890</v>
      </c>
      <c r="G41" s="27">
        <v>150</v>
      </c>
      <c r="H41" s="80">
        <v>150</v>
      </c>
      <c r="I41" s="48" t="s">
        <v>325</v>
      </c>
      <c r="J41" s="28"/>
      <c r="K41" s="39"/>
      <c r="L41" s="30"/>
      <c r="M41" s="30"/>
      <c r="N41" s="170">
        <v>660</v>
      </c>
      <c r="O41" s="166" t="s">
        <v>341</v>
      </c>
      <c r="P41" s="46">
        <v>2</v>
      </c>
      <c r="Q41" s="31">
        <v>0</v>
      </c>
      <c r="R41" s="35"/>
      <c r="S41" s="43">
        <v>10</v>
      </c>
      <c r="T41" s="606">
        <v>5</v>
      </c>
      <c r="U41" s="606"/>
      <c r="V41" s="44" t="s">
        <v>271</v>
      </c>
      <c r="W41" s="44">
        <v>2</v>
      </c>
      <c r="X41" s="44">
        <v>5</v>
      </c>
      <c r="Y41" s="44" t="s">
        <v>270</v>
      </c>
      <c r="Z41" s="44" t="s">
        <v>270</v>
      </c>
      <c r="AA41" s="27" t="s">
        <v>272</v>
      </c>
      <c r="AB41" s="44" t="s">
        <v>273</v>
      </c>
      <c r="AC41" s="36"/>
      <c r="AD41" s="36"/>
      <c r="AE41" s="87"/>
    </row>
    <row r="42" spans="1:33" s="71" customFormat="1" ht="15.95" customHeight="1">
      <c r="A42" s="50" t="s">
        <v>381</v>
      </c>
      <c r="B42" s="70"/>
      <c r="C42" s="85">
        <v>46097</v>
      </c>
      <c r="D42" s="857"/>
      <c r="E42" s="27">
        <v>65</v>
      </c>
      <c r="F42" s="27">
        <v>890</v>
      </c>
      <c r="G42" s="27">
        <v>150</v>
      </c>
      <c r="H42" s="80">
        <v>150</v>
      </c>
      <c r="I42" s="48" t="s">
        <v>325</v>
      </c>
      <c r="J42" s="73"/>
      <c r="K42" s="74"/>
      <c r="L42" s="74"/>
      <c r="M42" s="74"/>
      <c r="N42" s="170">
        <v>700</v>
      </c>
      <c r="O42" s="166" t="s">
        <v>355</v>
      </c>
      <c r="P42" s="46">
        <v>2</v>
      </c>
      <c r="Q42" s="31">
        <v>0</v>
      </c>
      <c r="R42" s="35"/>
      <c r="S42" s="43">
        <v>10</v>
      </c>
      <c r="T42" s="606">
        <v>5</v>
      </c>
      <c r="U42" s="606"/>
      <c r="V42" s="44" t="s">
        <v>271</v>
      </c>
      <c r="W42" s="44">
        <v>2</v>
      </c>
      <c r="X42" s="44">
        <v>5</v>
      </c>
      <c r="Y42" s="44" t="s">
        <v>270</v>
      </c>
      <c r="Z42" s="44" t="s">
        <v>270</v>
      </c>
      <c r="AA42" s="72"/>
      <c r="AB42" s="72"/>
      <c r="AC42" s="75"/>
      <c r="AD42" s="75"/>
      <c r="AE42" s="88"/>
    </row>
    <row r="43" spans="1:33" s="71" customFormat="1" ht="15.95" customHeight="1">
      <c r="A43" s="50" t="s">
        <v>382</v>
      </c>
      <c r="B43" s="70"/>
      <c r="C43" s="85">
        <v>46097</v>
      </c>
      <c r="D43" s="27"/>
      <c r="E43" s="27">
        <v>65</v>
      </c>
      <c r="F43" s="80">
        <v>890</v>
      </c>
      <c r="G43" s="27">
        <v>50</v>
      </c>
      <c r="H43" s="80">
        <v>50</v>
      </c>
      <c r="I43" s="48" t="s">
        <v>270</v>
      </c>
      <c r="J43" s="73"/>
      <c r="K43" s="74"/>
      <c r="L43" s="74"/>
      <c r="M43" s="74"/>
      <c r="N43" s="170" t="s">
        <v>270</v>
      </c>
      <c r="O43" s="837" t="s">
        <v>383</v>
      </c>
      <c r="P43" s="837"/>
      <c r="Q43" s="837"/>
      <c r="R43" s="837"/>
      <c r="S43" s="837"/>
      <c r="T43" s="837"/>
      <c r="U43" s="837"/>
      <c r="V43" s="837"/>
      <c r="W43" s="837"/>
      <c r="X43" s="44">
        <v>30</v>
      </c>
      <c r="Y43" s="44" t="s">
        <v>270</v>
      </c>
      <c r="Z43" s="44" t="s">
        <v>270</v>
      </c>
      <c r="AA43" s="72"/>
      <c r="AB43" s="72"/>
      <c r="AC43" s="75"/>
      <c r="AD43" s="75"/>
      <c r="AE43" s="88"/>
    </row>
    <row r="44" spans="1:33" s="71" customFormat="1" ht="15.95" customHeight="1">
      <c r="A44" s="50" t="s">
        <v>384</v>
      </c>
      <c r="B44" s="70"/>
      <c r="C44" s="85">
        <v>46098</v>
      </c>
      <c r="D44" s="857" t="s">
        <v>385</v>
      </c>
      <c r="E44" s="27">
        <v>65</v>
      </c>
      <c r="F44" s="27">
        <v>890</v>
      </c>
      <c r="G44" s="27">
        <v>150</v>
      </c>
      <c r="H44" s="80">
        <v>150</v>
      </c>
      <c r="I44" s="73" t="s">
        <v>386</v>
      </c>
      <c r="J44" s="73"/>
      <c r="K44" s="74"/>
      <c r="L44" s="74"/>
      <c r="M44" s="74"/>
      <c r="N44" s="93">
        <v>700</v>
      </c>
      <c r="O44" s="604" t="s">
        <v>270</v>
      </c>
      <c r="P44" s="46">
        <v>2</v>
      </c>
      <c r="Q44" s="31">
        <v>0</v>
      </c>
      <c r="R44" s="35"/>
      <c r="S44" s="43">
        <v>10</v>
      </c>
      <c r="T44" s="606">
        <v>5</v>
      </c>
      <c r="U44" s="606"/>
      <c r="V44" s="44" t="s">
        <v>271</v>
      </c>
      <c r="W44" s="44">
        <v>2</v>
      </c>
      <c r="X44" s="44">
        <v>5</v>
      </c>
      <c r="Y44" s="44" t="s">
        <v>270</v>
      </c>
      <c r="Z44" s="44" t="s">
        <v>270</v>
      </c>
      <c r="AA44" s="72"/>
      <c r="AB44" s="72"/>
      <c r="AC44" s="75"/>
      <c r="AD44" s="75"/>
      <c r="AE44" s="88" t="s">
        <v>387</v>
      </c>
    </row>
    <row r="45" spans="1:33" s="71" customFormat="1" ht="15.95" customHeight="1">
      <c r="A45" s="50" t="s">
        <v>388</v>
      </c>
      <c r="B45" s="70"/>
      <c r="C45" s="85">
        <v>46098</v>
      </c>
      <c r="D45" s="857"/>
      <c r="E45" s="27">
        <v>65</v>
      </c>
      <c r="F45" s="27">
        <v>890</v>
      </c>
      <c r="G45" s="27">
        <v>150</v>
      </c>
      <c r="H45" s="80">
        <v>150</v>
      </c>
      <c r="I45" s="73" t="s">
        <v>389</v>
      </c>
      <c r="J45" s="73"/>
      <c r="K45" s="74"/>
      <c r="L45" s="74"/>
      <c r="M45" s="74"/>
      <c r="N45" s="170">
        <v>750</v>
      </c>
      <c r="O45" s="604" t="s">
        <v>270</v>
      </c>
      <c r="P45" s="46">
        <v>2</v>
      </c>
      <c r="Q45" s="31">
        <v>0</v>
      </c>
      <c r="R45" s="35"/>
      <c r="S45" s="43">
        <v>10</v>
      </c>
      <c r="T45" s="606">
        <v>5</v>
      </c>
      <c r="U45" s="606"/>
      <c r="V45" s="44" t="s">
        <v>271</v>
      </c>
      <c r="W45" s="44">
        <v>2</v>
      </c>
      <c r="X45" s="44">
        <v>5</v>
      </c>
      <c r="Y45" s="44" t="s">
        <v>270</v>
      </c>
      <c r="Z45" s="44" t="s">
        <v>270</v>
      </c>
      <c r="AA45" s="72"/>
      <c r="AB45" s="72"/>
      <c r="AC45" s="75"/>
      <c r="AD45" s="75"/>
      <c r="AE45" s="88"/>
    </row>
    <row r="46" spans="1:33" s="51" customFormat="1" ht="15.95" customHeight="1">
      <c r="A46" s="50" t="s">
        <v>390</v>
      </c>
      <c r="B46" s="50"/>
      <c r="C46" s="85">
        <v>46098</v>
      </c>
      <c r="D46" s="857"/>
      <c r="E46" s="27">
        <v>65</v>
      </c>
      <c r="F46" s="27">
        <v>890</v>
      </c>
      <c r="G46" s="27">
        <v>150</v>
      </c>
      <c r="H46" s="80">
        <v>150</v>
      </c>
      <c r="I46" s="73" t="s">
        <v>391</v>
      </c>
      <c r="J46" s="48"/>
      <c r="K46" s="47"/>
      <c r="L46" s="47"/>
      <c r="M46" s="47"/>
      <c r="N46" s="93">
        <v>750</v>
      </c>
      <c r="O46" s="604" t="s">
        <v>270</v>
      </c>
      <c r="P46" s="46">
        <v>2</v>
      </c>
      <c r="Q46" s="31">
        <v>0</v>
      </c>
      <c r="R46" s="35"/>
      <c r="S46" s="43">
        <v>10</v>
      </c>
      <c r="T46" s="606">
        <v>5</v>
      </c>
      <c r="U46" s="606"/>
      <c r="V46" s="44" t="s">
        <v>271</v>
      </c>
      <c r="W46" s="77">
        <v>3</v>
      </c>
      <c r="X46" s="44">
        <v>5</v>
      </c>
      <c r="Y46" s="44" t="s">
        <v>270</v>
      </c>
      <c r="Z46" s="44" t="s">
        <v>270</v>
      </c>
      <c r="AA46" s="44"/>
      <c r="AB46" s="44"/>
      <c r="AC46" s="43"/>
      <c r="AD46" s="43"/>
      <c r="AE46" s="89"/>
    </row>
    <row r="47" spans="1:33" s="51" customFormat="1" ht="15.95" customHeight="1">
      <c r="A47" s="50" t="s">
        <v>392</v>
      </c>
      <c r="B47" s="50"/>
      <c r="C47" s="85">
        <v>46098</v>
      </c>
      <c r="D47" s="27"/>
      <c r="E47" s="27">
        <v>65</v>
      </c>
      <c r="F47" s="80">
        <v>890</v>
      </c>
      <c r="G47" s="27">
        <v>50</v>
      </c>
      <c r="H47" s="80">
        <v>50</v>
      </c>
      <c r="I47" s="48" t="s">
        <v>270</v>
      </c>
      <c r="J47" s="73"/>
      <c r="K47" s="74"/>
      <c r="L47" s="74"/>
      <c r="M47" s="74"/>
      <c r="N47" s="170" t="s">
        <v>270</v>
      </c>
      <c r="O47" s="837" t="s">
        <v>383</v>
      </c>
      <c r="P47" s="837"/>
      <c r="Q47" s="837"/>
      <c r="R47" s="837"/>
      <c r="S47" s="837"/>
      <c r="T47" s="837"/>
      <c r="U47" s="837"/>
      <c r="V47" s="837"/>
      <c r="W47" s="837"/>
      <c r="X47" s="44">
        <v>30</v>
      </c>
      <c r="Y47" s="44" t="s">
        <v>270</v>
      </c>
      <c r="Z47" s="44" t="s">
        <v>270</v>
      </c>
      <c r="AA47" s="44"/>
      <c r="AB47" s="44"/>
      <c r="AC47" s="43"/>
      <c r="AD47" s="43"/>
      <c r="AE47" s="89"/>
    </row>
    <row r="48" spans="1:33" s="51" customFormat="1" ht="15.95" customHeight="1">
      <c r="A48" s="50" t="s">
        <v>393</v>
      </c>
      <c r="B48" s="50"/>
      <c r="C48" s="85">
        <v>46099</v>
      </c>
      <c r="D48" s="281" t="s">
        <v>394</v>
      </c>
      <c r="E48" s="27">
        <v>65</v>
      </c>
      <c r="F48" s="27">
        <v>890</v>
      </c>
      <c r="G48" s="27">
        <v>150</v>
      </c>
      <c r="H48" s="80">
        <v>150</v>
      </c>
      <c r="I48" s="73" t="s">
        <v>395</v>
      </c>
      <c r="J48" s="48"/>
      <c r="K48" s="47"/>
      <c r="L48" s="47"/>
      <c r="M48" s="47"/>
      <c r="N48" s="93">
        <v>750</v>
      </c>
      <c r="O48" s="604" t="s">
        <v>270</v>
      </c>
      <c r="P48" s="46">
        <v>2</v>
      </c>
      <c r="Q48" s="31">
        <v>0</v>
      </c>
      <c r="R48" s="35"/>
      <c r="S48" s="43">
        <v>10</v>
      </c>
      <c r="T48" s="606">
        <v>5</v>
      </c>
      <c r="U48" s="606"/>
      <c r="V48" s="44" t="s">
        <v>271</v>
      </c>
      <c r="W48" s="211">
        <v>3</v>
      </c>
      <c r="X48" s="44">
        <v>5</v>
      </c>
      <c r="Y48" s="44" t="s">
        <v>270</v>
      </c>
      <c r="Z48" s="44" t="s">
        <v>270</v>
      </c>
      <c r="AA48" s="44"/>
      <c r="AB48" s="44"/>
      <c r="AC48" s="43"/>
      <c r="AD48" s="43"/>
      <c r="AE48" s="89" t="s">
        <v>396</v>
      </c>
      <c r="AF48" s="51" t="s">
        <v>397</v>
      </c>
      <c r="AG48" s="51" t="s">
        <v>398</v>
      </c>
    </row>
    <row r="49" spans="1:35" s="51" customFormat="1" ht="15.95" customHeight="1">
      <c r="A49" s="50" t="s">
        <v>399</v>
      </c>
      <c r="B49" s="50"/>
      <c r="C49" s="85">
        <v>46099</v>
      </c>
      <c r="D49" s="281" t="s">
        <v>400</v>
      </c>
      <c r="E49" s="27">
        <v>65</v>
      </c>
      <c r="F49" s="27">
        <v>890</v>
      </c>
      <c r="G49" s="27">
        <v>150</v>
      </c>
      <c r="H49" s="214">
        <v>180</v>
      </c>
      <c r="I49" s="73" t="s">
        <v>395</v>
      </c>
      <c r="J49" s="48"/>
      <c r="K49" s="47"/>
      <c r="L49" s="47"/>
      <c r="M49" s="47"/>
      <c r="N49" s="93">
        <v>750</v>
      </c>
      <c r="O49" s="604" t="s">
        <v>270</v>
      </c>
      <c r="P49" s="212">
        <v>4</v>
      </c>
      <c r="Q49" s="31">
        <v>0</v>
      </c>
      <c r="R49" s="35"/>
      <c r="S49" s="43">
        <v>10</v>
      </c>
      <c r="T49" s="606">
        <v>5</v>
      </c>
      <c r="U49" s="606"/>
      <c r="V49" s="44" t="s">
        <v>271</v>
      </c>
      <c r="W49" s="211">
        <v>3</v>
      </c>
      <c r="X49" s="44">
        <v>5</v>
      </c>
      <c r="Y49" s="44" t="s">
        <v>270</v>
      </c>
      <c r="Z49" s="44" t="s">
        <v>401</v>
      </c>
      <c r="AA49" s="44"/>
      <c r="AB49" s="44"/>
      <c r="AC49" s="43"/>
      <c r="AD49" s="43"/>
      <c r="AE49" s="89" t="s">
        <v>402</v>
      </c>
      <c r="AF49" s="51" t="s">
        <v>403</v>
      </c>
      <c r="AG49" s="51" t="s">
        <v>404</v>
      </c>
    </row>
    <row r="50" spans="1:35" s="51" customFormat="1" ht="15.95" customHeight="1">
      <c r="A50" s="50" t="s">
        <v>405</v>
      </c>
      <c r="B50" s="50"/>
      <c r="C50" s="85">
        <v>46099</v>
      </c>
      <c r="D50" s="281"/>
      <c r="E50" s="27">
        <v>65</v>
      </c>
      <c r="F50" s="80">
        <v>890</v>
      </c>
      <c r="G50" s="27">
        <v>50</v>
      </c>
      <c r="H50" s="80">
        <v>50</v>
      </c>
      <c r="I50" s="48" t="s">
        <v>270</v>
      </c>
      <c r="J50" s="73"/>
      <c r="K50" s="74"/>
      <c r="L50" s="74"/>
      <c r="M50" s="74"/>
      <c r="N50" s="170" t="s">
        <v>270</v>
      </c>
      <c r="O50" s="837" t="s">
        <v>368</v>
      </c>
      <c r="P50" s="837"/>
      <c r="Q50" s="837"/>
      <c r="R50" s="837"/>
      <c r="S50" s="837"/>
      <c r="T50" s="837"/>
      <c r="U50" s="837"/>
      <c r="V50" s="837"/>
      <c r="W50" s="837"/>
      <c r="X50" s="44">
        <v>20</v>
      </c>
      <c r="AA50" s="44"/>
      <c r="AB50" s="44"/>
      <c r="AC50" s="43"/>
      <c r="AD50" s="43"/>
      <c r="AE50" s="89"/>
    </row>
    <row r="51" spans="1:35" s="51" customFormat="1" ht="15.95" customHeight="1">
      <c r="A51" s="50" t="s">
        <v>406</v>
      </c>
      <c r="B51" s="50" t="s">
        <v>399</v>
      </c>
      <c r="C51" s="85">
        <v>46100</v>
      </c>
      <c r="D51" s="281" t="s">
        <v>407</v>
      </c>
      <c r="E51" s="27">
        <v>65</v>
      </c>
      <c r="F51" s="27">
        <v>890</v>
      </c>
      <c r="G51" s="27">
        <v>150</v>
      </c>
      <c r="H51" s="80">
        <v>180</v>
      </c>
      <c r="I51" s="73" t="s">
        <v>408</v>
      </c>
      <c r="J51" s="48"/>
      <c r="K51" s="47"/>
      <c r="L51" s="47"/>
      <c r="M51" s="47"/>
      <c r="N51" s="213">
        <v>700</v>
      </c>
      <c r="O51" s="604" t="s">
        <v>270</v>
      </c>
      <c r="P51" s="230">
        <v>4</v>
      </c>
      <c r="Q51" s="31">
        <v>0</v>
      </c>
      <c r="R51" s="35"/>
      <c r="S51" s="43">
        <v>10</v>
      </c>
      <c r="T51" s="606">
        <v>5</v>
      </c>
      <c r="U51" s="606"/>
      <c r="V51" s="44" t="s">
        <v>271</v>
      </c>
      <c r="W51" s="44">
        <v>3</v>
      </c>
      <c r="X51" s="44">
        <v>5</v>
      </c>
      <c r="Y51" s="44" t="s">
        <v>270</v>
      </c>
      <c r="Z51" s="44" t="s">
        <v>401</v>
      </c>
      <c r="AA51" s="44"/>
      <c r="AB51" s="44"/>
      <c r="AC51" s="43"/>
      <c r="AD51" s="43"/>
      <c r="AE51" s="51" t="s">
        <v>409</v>
      </c>
      <c r="AF51" s="51" t="s">
        <v>410</v>
      </c>
    </row>
    <row r="52" spans="1:35" s="51" customFormat="1" ht="15.95" customHeight="1">
      <c r="A52" s="50" t="s">
        <v>411</v>
      </c>
      <c r="B52" s="50" t="s">
        <v>406</v>
      </c>
      <c r="C52" s="85">
        <v>46100</v>
      </c>
      <c r="D52" s="215" t="s">
        <v>412</v>
      </c>
      <c r="E52" s="27">
        <v>65</v>
      </c>
      <c r="F52" s="27">
        <v>890</v>
      </c>
      <c r="G52" s="27">
        <v>150</v>
      </c>
      <c r="H52" s="80">
        <v>180</v>
      </c>
      <c r="I52" s="73" t="s">
        <v>408</v>
      </c>
      <c r="J52" s="48"/>
      <c r="K52" s="47"/>
      <c r="L52" s="47"/>
      <c r="M52" s="47"/>
      <c r="N52" s="605">
        <v>700</v>
      </c>
      <c r="O52" s="604" t="s">
        <v>270</v>
      </c>
      <c r="P52" s="230">
        <v>4</v>
      </c>
      <c r="Q52" s="31">
        <v>0</v>
      </c>
      <c r="R52" s="35"/>
      <c r="S52" s="43">
        <v>10</v>
      </c>
      <c r="T52" s="95">
        <v>3</v>
      </c>
      <c r="U52" s="95"/>
      <c r="V52" s="44" t="s">
        <v>271</v>
      </c>
      <c r="W52" s="44">
        <v>3</v>
      </c>
      <c r="X52" s="44">
        <v>5</v>
      </c>
      <c r="Y52" s="44" t="s">
        <v>270</v>
      </c>
      <c r="Z52" s="44" t="s">
        <v>270</v>
      </c>
      <c r="AA52" s="44"/>
      <c r="AB52" s="44"/>
      <c r="AC52" s="43"/>
      <c r="AD52" s="43"/>
      <c r="AE52" s="51" t="s">
        <v>413</v>
      </c>
      <c r="AF52" s="51" t="s">
        <v>414</v>
      </c>
    </row>
    <row r="53" spans="1:35" s="51" customFormat="1" ht="15.95" customHeight="1">
      <c r="A53" s="50" t="s">
        <v>415</v>
      </c>
      <c r="B53" s="50" t="s">
        <v>406</v>
      </c>
      <c r="C53" s="85">
        <v>46100</v>
      </c>
      <c r="D53" s="49"/>
      <c r="E53" s="27">
        <v>65</v>
      </c>
      <c r="F53" s="27">
        <v>890</v>
      </c>
      <c r="G53" s="27">
        <v>150</v>
      </c>
      <c r="H53" s="80">
        <v>180</v>
      </c>
      <c r="I53" s="73" t="s">
        <v>408</v>
      </c>
      <c r="J53" s="48"/>
      <c r="K53" s="47"/>
      <c r="L53" s="47"/>
      <c r="M53" s="47"/>
      <c r="N53" s="605">
        <v>700</v>
      </c>
      <c r="O53" s="604" t="s">
        <v>270</v>
      </c>
      <c r="P53" s="230">
        <v>4</v>
      </c>
      <c r="Q53" s="31">
        <v>0</v>
      </c>
      <c r="R53" s="35"/>
      <c r="S53" s="43">
        <v>10</v>
      </c>
      <c r="T53" s="95">
        <v>3</v>
      </c>
      <c r="U53" s="95"/>
      <c r="V53" s="44" t="s">
        <v>271</v>
      </c>
      <c r="W53" s="44">
        <v>3</v>
      </c>
      <c r="X53" s="44">
        <v>5</v>
      </c>
      <c r="Y53" s="44" t="s">
        <v>270</v>
      </c>
      <c r="Z53" s="44" t="s">
        <v>401</v>
      </c>
      <c r="AA53" s="44"/>
      <c r="AB53" s="44"/>
      <c r="AC53" s="43"/>
      <c r="AD53" s="43"/>
      <c r="AE53" s="51" t="s">
        <v>416</v>
      </c>
      <c r="AF53" s="51" t="s">
        <v>417</v>
      </c>
    </row>
    <row r="54" spans="1:35" s="51" customFormat="1" ht="15.95" customHeight="1">
      <c r="A54" s="50" t="s">
        <v>418</v>
      </c>
      <c r="B54" s="50"/>
      <c r="C54" s="85">
        <v>46100</v>
      </c>
      <c r="D54" s="49"/>
      <c r="E54" s="27">
        <v>65</v>
      </c>
      <c r="F54" s="80">
        <v>890</v>
      </c>
      <c r="G54" s="27">
        <v>50</v>
      </c>
      <c r="H54" s="80">
        <v>50</v>
      </c>
      <c r="I54" s="48" t="s">
        <v>270</v>
      </c>
      <c r="J54" s="73"/>
      <c r="K54" s="74"/>
      <c r="L54" s="74"/>
      <c r="M54" s="74"/>
      <c r="N54" s="170" t="s">
        <v>270</v>
      </c>
      <c r="O54" s="832" t="s">
        <v>368</v>
      </c>
      <c r="P54" s="832"/>
      <c r="Q54" s="832"/>
      <c r="R54" s="832"/>
      <c r="S54" s="832"/>
      <c r="T54" s="832"/>
      <c r="U54" s="832"/>
      <c r="V54" s="832"/>
      <c r="W54" s="832"/>
      <c r="X54" s="44">
        <v>20</v>
      </c>
      <c r="Y54" s="44"/>
      <c r="Z54" s="44"/>
      <c r="AA54" s="44"/>
      <c r="AB54" s="44"/>
      <c r="AC54" s="43"/>
      <c r="AD54" s="43"/>
    </row>
    <row r="55" spans="1:35" s="51" customFormat="1" ht="15.95" customHeight="1">
      <c r="A55" s="50" t="s">
        <v>419</v>
      </c>
      <c r="B55" s="50" t="s">
        <v>406</v>
      </c>
      <c r="C55" s="85">
        <v>46101</v>
      </c>
      <c r="D55" s="215" t="s">
        <v>420</v>
      </c>
      <c r="E55" s="27">
        <v>65</v>
      </c>
      <c r="F55" s="27">
        <v>890</v>
      </c>
      <c r="G55" s="27">
        <v>150</v>
      </c>
      <c r="H55" s="80">
        <v>180</v>
      </c>
      <c r="I55" s="73" t="s">
        <v>408</v>
      </c>
      <c r="J55" s="48"/>
      <c r="K55" s="47"/>
      <c r="L55" s="47"/>
      <c r="M55" s="47"/>
      <c r="N55" s="605">
        <v>700</v>
      </c>
      <c r="O55" s="604" t="s">
        <v>270</v>
      </c>
      <c r="P55" s="230">
        <v>4</v>
      </c>
      <c r="Q55" s="31">
        <v>0</v>
      </c>
      <c r="R55" s="35"/>
      <c r="S55" s="43">
        <v>10</v>
      </c>
      <c r="T55" s="606">
        <v>3</v>
      </c>
      <c r="U55" s="606"/>
      <c r="V55" s="44" t="s">
        <v>271</v>
      </c>
      <c r="W55" s="44">
        <v>3</v>
      </c>
      <c r="X55" s="44">
        <v>5</v>
      </c>
      <c r="Y55" s="44" t="s">
        <v>270</v>
      </c>
      <c r="Z55" s="44" t="s">
        <v>421</v>
      </c>
      <c r="AA55" s="44"/>
      <c r="AB55" s="44"/>
      <c r="AC55" s="43"/>
      <c r="AD55" s="43"/>
      <c r="AE55" s="51" t="s">
        <v>422</v>
      </c>
    </row>
    <row r="56" spans="1:35" s="51" customFormat="1" ht="15.95" customHeight="1">
      <c r="A56" s="50" t="s">
        <v>423</v>
      </c>
      <c r="B56" s="50"/>
      <c r="C56" s="85">
        <v>46101</v>
      </c>
      <c r="D56" s="215" t="s">
        <v>424</v>
      </c>
      <c r="E56" s="27">
        <v>65</v>
      </c>
      <c r="F56" s="27">
        <v>890</v>
      </c>
      <c r="G56" s="27">
        <v>150</v>
      </c>
      <c r="H56" s="80">
        <v>180</v>
      </c>
      <c r="I56" s="73" t="s">
        <v>408</v>
      </c>
      <c r="J56" s="48"/>
      <c r="K56" s="47"/>
      <c r="L56" s="47"/>
      <c r="M56" s="47"/>
      <c r="N56" s="605">
        <v>700</v>
      </c>
      <c r="O56" s="604" t="s">
        <v>270</v>
      </c>
      <c r="P56" s="230">
        <v>4</v>
      </c>
      <c r="Q56" s="31">
        <v>0</v>
      </c>
      <c r="R56" s="35"/>
      <c r="S56" s="43">
        <v>10</v>
      </c>
      <c r="T56" s="606">
        <v>3</v>
      </c>
      <c r="U56" s="606">
        <v>5</v>
      </c>
      <c r="V56" s="44" t="s">
        <v>271</v>
      </c>
      <c r="W56" s="44">
        <v>3</v>
      </c>
      <c r="X56" s="44">
        <v>5</v>
      </c>
      <c r="Y56" s="44" t="s">
        <v>270</v>
      </c>
      <c r="Z56" s="44" t="s">
        <v>401</v>
      </c>
      <c r="AA56" s="44"/>
      <c r="AB56" s="44"/>
      <c r="AC56" s="43"/>
      <c r="AD56" s="43"/>
      <c r="AE56" s="222" t="s">
        <v>425</v>
      </c>
      <c r="AF56" s="226" t="s">
        <v>426</v>
      </c>
      <c r="AG56" s="51" t="s">
        <v>427</v>
      </c>
    </row>
    <row r="57" spans="1:35" s="51" customFormat="1" ht="15.95" customHeight="1">
      <c r="A57" s="50" t="s">
        <v>428</v>
      </c>
      <c r="B57" s="50"/>
      <c r="C57" s="85">
        <v>46101</v>
      </c>
      <c r="D57" s="49"/>
      <c r="E57" s="27">
        <v>65</v>
      </c>
      <c r="F57" s="80">
        <v>890</v>
      </c>
      <c r="G57" s="27">
        <v>50</v>
      </c>
      <c r="H57" s="80">
        <v>50</v>
      </c>
      <c r="I57" s="48" t="s">
        <v>270</v>
      </c>
      <c r="J57" s="73"/>
      <c r="K57" s="74"/>
      <c r="L57" s="74"/>
      <c r="M57" s="74"/>
      <c r="N57" s="605" t="s">
        <v>270</v>
      </c>
      <c r="O57" s="832" t="s">
        <v>368</v>
      </c>
      <c r="P57" s="832"/>
      <c r="Q57" s="832"/>
      <c r="R57" s="832"/>
      <c r="S57" s="832"/>
      <c r="T57" s="832"/>
      <c r="U57" s="832"/>
      <c r="V57" s="832"/>
      <c r="W57" s="832"/>
      <c r="X57" s="44">
        <v>20</v>
      </c>
      <c r="Y57" s="44"/>
      <c r="Z57" s="44"/>
      <c r="AA57" s="44"/>
      <c r="AB57" s="44"/>
      <c r="AC57" s="43"/>
      <c r="AD57" s="43"/>
      <c r="AF57" s="226"/>
    </row>
    <row r="58" spans="1:35" s="51" customFormat="1" ht="15.95" customHeight="1">
      <c r="A58" s="50" t="s">
        <v>429</v>
      </c>
      <c r="B58" s="50" t="s">
        <v>423</v>
      </c>
      <c r="C58" s="85">
        <v>46103</v>
      </c>
      <c r="D58" s="215"/>
      <c r="E58" s="27">
        <v>65</v>
      </c>
      <c r="F58" s="27">
        <v>890</v>
      </c>
      <c r="G58" s="27">
        <v>150</v>
      </c>
      <c r="H58" s="80">
        <v>180</v>
      </c>
      <c r="I58" s="73" t="s">
        <v>408</v>
      </c>
      <c r="J58" s="48"/>
      <c r="K58" s="47"/>
      <c r="L58" s="47"/>
      <c r="M58" s="47"/>
      <c r="N58" s="605">
        <v>700</v>
      </c>
      <c r="O58" s="604" t="s">
        <v>270</v>
      </c>
      <c r="P58" s="230">
        <v>4</v>
      </c>
      <c r="Q58" s="31">
        <v>0</v>
      </c>
      <c r="R58" s="35"/>
      <c r="S58" s="43">
        <v>10</v>
      </c>
      <c r="T58" s="606">
        <v>3</v>
      </c>
      <c r="U58" s="606">
        <v>5</v>
      </c>
      <c r="V58" s="44" t="s">
        <v>271</v>
      </c>
      <c r="W58" s="44">
        <v>3</v>
      </c>
      <c r="X58" s="44">
        <v>5</v>
      </c>
      <c r="Y58" s="77" t="s">
        <v>430</v>
      </c>
      <c r="Z58" s="44" t="s">
        <v>401</v>
      </c>
      <c r="AA58" s="44"/>
      <c r="AB58" s="44"/>
      <c r="AC58" s="43"/>
      <c r="AD58" s="43"/>
      <c r="AE58" s="51" t="s">
        <v>431</v>
      </c>
      <c r="AF58" s="51" t="s">
        <v>432</v>
      </c>
    </row>
    <row r="59" spans="1:35" s="51" customFormat="1" ht="15.95" customHeight="1">
      <c r="A59" s="50" t="s">
        <v>433</v>
      </c>
      <c r="B59" s="50" t="s">
        <v>423</v>
      </c>
      <c r="C59" s="85">
        <v>46103</v>
      </c>
      <c r="D59" s="215" t="s">
        <v>434</v>
      </c>
      <c r="E59" s="27">
        <v>65</v>
      </c>
      <c r="F59" s="27">
        <v>890</v>
      </c>
      <c r="G59" s="27">
        <v>150</v>
      </c>
      <c r="H59" s="80">
        <v>180</v>
      </c>
      <c r="I59" s="73" t="s">
        <v>408</v>
      </c>
      <c r="J59" s="48"/>
      <c r="K59" s="47"/>
      <c r="L59" s="47"/>
      <c r="M59" s="47"/>
      <c r="N59" s="605">
        <v>700</v>
      </c>
      <c r="O59" s="604" t="s">
        <v>270</v>
      </c>
      <c r="P59" s="230">
        <v>4</v>
      </c>
      <c r="Q59" s="31">
        <v>0</v>
      </c>
      <c r="R59" s="35"/>
      <c r="S59" s="43">
        <v>10</v>
      </c>
      <c r="T59" s="606">
        <v>3</v>
      </c>
      <c r="U59" s="606">
        <v>5</v>
      </c>
      <c r="V59" s="44" t="s">
        <v>271</v>
      </c>
      <c r="W59" s="77">
        <v>5</v>
      </c>
      <c r="X59" s="44">
        <v>5</v>
      </c>
      <c r="Y59" s="44" t="s">
        <v>430</v>
      </c>
      <c r="Z59" s="44" t="s">
        <v>401</v>
      </c>
      <c r="AA59" s="44"/>
      <c r="AB59" s="44"/>
      <c r="AC59" s="43"/>
      <c r="AD59" s="43"/>
      <c r="AF59" s="51" t="s">
        <v>435</v>
      </c>
      <c r="AI59" s="51" t="s">
        <v>436</v>
      </c>
    </row>
    <row r="60" spans="1:35" s="51" customFormat="1" ht="15" customHeight="1">
      <c r="A60" s="50" t="s">
        <v>437</v>
      </c>
      <c r="B60" s="50" t="s">
        <v>433</v>
      </c>
      <c r="C60" s="85">
        <v>46103</v>
      </c>
      <c r="D60" s="215" t="s">
        <v>438</v>
      </c>
      <c r="E60" s="27">
        <v>65</v>
      </c>
      <c r="F60" s="27">
        <v>890</v>
      </c>
      <c r="G60" s="27">
        <v>150</v>
      </c>
      <c r="H60" s="80">
        <v>180</v>
      </c>
      <c r="I60" s="73" t="s">
        <v>408</v>
      </c>
      <c r="J60" s="48"/>
      <c r="K60" s="47"/>
      <c r="L60" s="47"/>
      <c r="M60" s="47"/>
      <c r="N60" s="605">
        <v>700</v>
      </c>
      <c r="O60" s="604" t="s">
        <v>270</v>
      </c>
      <c r="P60" s="230">
        <v>4</v>
      </c>
      <c r="Q60" s="31">
        <v>0</v>
      </c>
      <c r="R60" s="45"/>
      <c r="S60" s="83">
        <v>5</v>
      </c>
      <c r="T60" s="606">
        <v>3</v>
      </c>
      <c r="U60" s="606">
        <v>5</v>
      </c>
      <c r="V60" s="44" t="s">
        <v>271</v>
      </c>
      <c r="W60" s="44">
        <v>5</v>
      </c>
      <c r="X60" s="44">
        <v>5</v>
      </c>
      <c r="Y60" s="44" t="s">
        <v>430</v>
      </c>
      <c r="Z60" s="44" t="s">
        <v>401</v>
      </c>
      <c r="AA60" s="44"/>
      <c r="AB60" s="44"/>
      <c r="AC60" s="43"/>
      <c r="AD60" s="43"/>
      <c r="AE60" s="51" t="s">
        <v>439</v>
      </c>
      <c r="AF60" s="51" t="s">
        <v>440</v>
      </c>
      <c r="AI60" s="51" t="s">
        <v>441</v>
      </c>
    </row>
    <row r="61" spans="1:35" s="51" customFormat="1" ht="15.95" customHeight="1">
      <c r="A61" s="50" t="s">
        <v>442</v>
      </c>
      <c r="B61" s="50"/>
      <c r="C61" s="85">
        <v>46103</v>
      </c>
      <c r="D61" s="49"/>
      <c r="E61" s="27">
        <v>65</v>
      </c>
      <c r="F61" s="80">
        <v>890</v>
      </c>
      <c r="G61" s="27">
        <v>50</v>
      </c>
      <c r="H61" s="80">
        <v>50</v>
      </c>
      <c r="I61" s="48" t="s">
        <v>270</v>
      </c>
      <c r="J61" s="73"/>
      <c r="K61" s="74"/>
      <c r="L61" s="74"/>
      <c r="M61" s="74"/>
      <c r="N61" s="605" t="s">
        <v>270</v>
      </c>
      <c r="O61" s="832" t="s">
        <v>368</v>
      </c>
      <c r="P61" s="832"/>
      <c r="Q61" s="832"/>
      <c r="R61" s="832"/>
      <c r="S61" s="832"/>
      <c r="T61" s="832"/>
      <c r="U61" s="832"/>
      <c r="V61" s="832"/>
      <c r="W61" s="832"/>
      <c r="X61" s="44">
        <v>20</v>
      </c>
      <c r="Y61" s="44" t="s">
        <v>270</v>
      </c>
      <c r="Z61" s="44" t="s">
        <v>270</v>
      </c>
      <c r="AA61" s="44"/>
      <c r="AB61" s="44"/>
      <c r="AC61" s="43"/>
      <c r="AD61" s="43"/>
      <c r="AF61" s="226"/>
    </row>
    <row r="62" spans="1:35" s="51" customFormat="1" ht="15.95" customHeight="1">
      <c r="A62" s="50" t="s">
        <v>443</v>
      </c>
      <c r="B62" s="50" t="s">
        <v>433</v>
      </c>
      <c r="C62" s="85">
        <v>46104</v>
      </c>
      <c r="D62" s="215" t="s">
        <v>444</v>
      </c>
      <c r="E62" s="27">
        <v>65</v>
      </c>
      <c r="F62" s="27">
        <v>890</v>
      </c>
      <c r="G62" s="27">
        <v>150</v>
      </c>
      <c r="H62" s="80">
        <v>180</v>
      </c>
      <c r="I62" s="73" t="s">
        <v>408</v>
      </c>
      <c r="J62" s="48"/>
      <c r="K62" s="47"/>
      <c r="L62" s="47"/>
      <c r="M62" s="47"/>
      <c r="N62" s="605">
        <v>700</v>
      </c>
      <c r="O62" s="604" t="s">
        <v>270</v>
      </c>
      <c r="P62" s="230">
        <v>4</v>
      </c>
      <c r="Q62" s="31">
        <v>0</v>
      </c>
      <c r="R62" s="45"/>
      <c r="S62" s="83">
        <v>15</v>
      </c>
      <c r="T62" s="606">
        <v>3</v>
      </c>
      <c r="U62" s="606">
        <v>5</v>
      </c>
      <c r="V62" s="44" t="s">
        <v>271</v>
      </c>
      <c r="W62" s="44">
        <v>5</v>
      </c>
      <c r="X62" s="44">
        <v>5</v>
      </c>
      <c r="Y62" s="44" t="s">
        <v>430</v>
      </c>
      <c r="Z62" s="44" t="s">
        <v>401</v>
      </c>
      <c r="AA62" s="44"/>
      <c r="AB62" s="44"/>
      <c r="AC62" s="43"/>
      <c r="AD62" s="43"/>
      <c r="AE62" s="51" t="s">
        <v>445</v>
      </c>
    </row>
    <row r="63" spans="1:35" s="51" customFormat="1" ht="15.95" customHeight="1">
      <c r="A63" s="50" t="s">
        <v>446</v>
      </c>
      <c r="B63" s="50" t="s">
        <v>433</v>
      </c>
      <c r="C63" s="85">
        <v>46104</v>
      </c>
      <c r="D63" s="215" t="s">
        <v>447</v>
      </c>
      <c r="E63" s="27">
        <v>65</v>
      </c>
      <c r="F63" s="27">
        <v>890</v>
      </c>
      <c r="G63" s="27">
        <v>150</v>
      </c>
      <c r="H63" s="80">
        <v>180</v>
      </c>
      <c r="I63" s="73" t="s">
        <v>408</v>
      </c>
      <c r="J63" s="48"/>
      <c r="K63" s="47"/>
      <c r="L63" s="47"/>
      <c r="M63" s="47"/>
      <c r="N63" s="605">
        <v>700</v>
      </c>
      <c r="O63" s="604" t="s">
        <v>270</v>
      </c>
      <c r="P63" s="230">
        <v>4</v>
      </c>
      <c r="Q63" s="31">
        <v>0</v>
      </c>
      <c r="R63" s="45"/>
      <c r="S63" s="43">
        <v>15</v>
      </c>
      <c r="T63" s="606">
        <v>3</v>
      </c>
      <c r="U63" s="606">
        <v>5</v>
      </c>
      <c r="V63" s="44" t="s">
        <v>271</v>
      </c>
      <c r="W63" s="44">
        <v>5</v>
      </c>
      <c r="X63" s="77">
        <v>15</v>
      </c>
      <c r="Y63" s="44" t="s">
        <v>430</v>
      </c>
      <c r="Z63" s="44" t="s">
        <v>401</v>
      </c>
      <c r="AA63" s="44"/>
      <c r="AB63" s="44"/>
      <c r="AC63" s="43"/>
      <c r="AD63" s="43"/>
      <c r="AE63" s="51" t="s">
        <v>448</v>
      </c>
      <c r="AF63" s="51" t="s">
        <v>449</v>
      </c>
    </row>
    <row r="64" spans="1:35" s="51" customFormat="1" ht="15.95" customHeight="1">
      <c r="A64" s="50" t="s">
        <v>450</v>
      </c>
      <c r="B64" s="50" t="s">
        <v>433</v>
      </c>
      <c r="C64" s="85">
        <v>46105</v>
      </c>
      <c r="D64" s="215" t="s">
        <v>451</v>
      </c>
      <c r="E64" s="27">
        <v>65</v>
      </c>
      <c r="F64" s="27">
        <v>890</v>
      </c>
      <c r="G64" s="27">
        <v>150</v>
      </c>
      <c r="H64" s="80">
        <v>180</v>
      </c>
      <c r="I64" s="73" t="s">
        <v>408</v>
      </c>
      <c r="J64" s="48"/>
      <c r="K64" s="47"/>
      <c r="L64" s="47"/>
      <c r="M64" s="47"/>
      <c r="N64" s="605">
        <v>700</v>
      </c>
      <c r="O64" s="604" t="s">
        <v>270</v>
      </c>
      <c r="P64" s="230">
        <v>4</v>
      </c>
      <c r="Q64" s="31">
        <v>0</v>
      </c>
      <c r="R64" s="45"/>
      <c r="S64" s="43">
        <v>10</v>
      </c>
      <c r="T64" s="606">
        <v>3</v>
      </c>
      <c r="U64" s="606">
        <v>5</v>
      </c>
      <c r="V64" s="44" t="s">
        <v>271</v>
      </c>
      <c r="W64" s="44">
        <v>5</v>
      </c>
      <c r="X64" s="77">
        <v>5</v>
      </c>
      <c r="Y64" s="44" t="s">
        <v>430</v>
      </c>
      <c r="Z64" s="44" t="s">
        <v>401</v>
      </c>
      <c r="AA64" s="44"/>
      <c r="AB64" s="44"/>
      <c r="AC64" s="43"/>
      <c r="AD64" s="43"/>
      <c r="AE64" s="51" t="s">
        <v>452</v>
      </c>
      <c r="AF64" s="51" t="s">
        <v>453</v>
      </c>
      <c r="AH64" s="51" t="s">
        <v>454</v>
      </c>
    </row>
    <row r="65" spans="1:33" s="51" customFormat="1" ht="15.95" customHeight="1">
      <c r="A65" s="50" t="s">
        <v>455</v>
      </c>
      <c r="B65" s="50" t="s">
        <v>433</v>
      </c>
      <c r="C65" s="85">
        <v>46105</v>
      </c>
      <c r="D65" s="215" t="s">
        <v>456</v>
      </c>
      <c r="E65" s="27">
        <v>65</v>
      </c>
      <c r="F65" s="27">
        <v>890</v>
      </c>
      <c r="G65" s="27">
        <v>150</v>
      </c>
      <c r="H65" s="80">
        <v>180</v>
      </c>
      <c r="I65" s="73" t="s">
        <v>408</v>
      </c>
      <c r="J65" s="48"/>
      <c r="K65" s="47"/>
      <c r="L65" s="47"/>
      <c r="M65" s="47"/>
      <c r="N65" s="605">
        <v>700</v>
      </c>
      <c r="O65" s="604" t="s">
        <v>270</v>
      </c>
      <c r="P65" s="230">
        <v>4</v>
      </c>
      <c r="Q65" s="31">
        <v>0</v>
      </c>
      <c r="R65" s="45"/>
      <c r="S65" s="43">
        <v>10</v>
      </c>
      <c r="T65" s="95">
        <v>1</v>
      </c>
      <c r="U65" s="606">
        <v>5</v>
      </c>
      <c r="V65" s="44" t="s">
        <v>271</v>
      </c>
      <c r="W65" s="44">
        <v>5</v>
      </c>
      <c r="X65" s="44">
        <v>5</v>
      </c>
      <c r="Y65" s="44" t="s">
        <v>430</v>
      </c>
      <c r="Z65" s="44" t="s">
        <v>401</v>
      </c>
      <c r="AA65" s="44"/>
      <c r="AB65" s="44"/>
      <c r="AC65" s="43"/>
      <c r="AD65" s="43"/>
    </row>
    <row r="66" spans="1:33" s="51" customFormat="1" ht="31.5" customHeight="1">
      <c r="A66" s="50" t="s">
        <v>457</v>
      </c>
      <c r="B66" s="50" t="s">
        <v>433</v>
      </c>
      <c r="C66" s="85">
        <v>46105</v>
      </c>
      <c r="D66" s="215" t="s">
        <v>458</v>
      </c>
      <c r="E66" s="27">
        <v>65</v>
      </c>
      <c r="F66" s="27">
        <v>890</v>
      </c>
      <c r="G66" s="27">
        <v>150</v>
      </c>
      <c r="H66" s="80">
        <v>180</v>
      </c>
      <c r="I66" s="73" t="s">
        <v>408</v>
      </c>
      <c r="J66" s="48"/>
      <c r="K66" s="47"/>
      <c r="L66" s="47"/>
      <c r="M66" s="47"/>
      <c r="N66" s="605">
        <v>700</v>
      </c>
      <c r="O66" s="604" t="s">
        <v>270</v>
      </c>
      <c r="P66" s="230">
        <v>4</v>
      </c>
      <c r="Q66" s="31">
        <v>0</v>
      </c>
      <c r="R66" s="45"/>
      <c r="S66" s="43">
        <v>10</v>
      </c>
      <c r="T66" s="95">
        <v>3</v>
      </c>
      <c r="U66" s="606">
        <v>5</v>
      </c>
      <c r="V66" s="44" t="s">
        <v>271</v>
      </c>
      <c r="W66" s="44">
        <v>5</v>
      </c>
      <c r="X66" s="72" t="s">
        <v>459</v>
      </c>
      <c r="Y66" s="44" t="s">
        <v>430</v>
      </c>
      <c r="Z66" s="44" t="s">
        <v>401</v>
      </c>
      <c r="AA66" s="44"/>
      <c r="AB66" s="44"/>
      <c r="AC66" s="43"/>
      <c r="AD66" s="43"/>
      <c r="AF66" s="51" t="s">
        <v>460</v>
      </c>
    </row>
    <row r="67" spans="1:33" s="51" customFormat="1" ht="15.95" customHeight="1">
      <c r="A67" s="50" t="s">
        <v>461</v>
      </c>
      <c r="B67" s="50" t="s">
        <v>457</v>
      </c>
      <c r="C67" s="85">
        <v>46105</v>
      </c>
      <c r="D67" s="215" t="s">
        <v>462</v>
      </c>
      <c r="E67" s="27">
        <v>65</v>
      </c>
      <c r="F67" s="27">
        <v>890</v>
      </c>
      <c r="G67" s="27">
        <v>150</v>
      </c>
      <c r="H67" s="80">
        <v>180</v>
      </c>
      <c r="I67" s="73" t="s">
        <v>408</v>
      </c>
      <c r="J67" s="48"/>
      <c r="K67" s="47"/>
      <c r="L67" s="47"/>
      <c r="M67" s="47"/>
      <c r="N67" s="605">
        <v>700</v>
      </c>
      <c r="O67" s="604" t="s">
        <v>270</v>
      </c>
      <c r="P67" s="230">
        <v>4</v>
      </c>
      <c r="Q67" s="31">
        <v>0</v>
      </c>
      <c r="R67" s="45"/>
      <c r="S67" s="43">
        <v>10</v>
      </c>
      <c r="T67" s="606">
        <v>3</v>
      </c>
      <c r="U67" s="606">
        <v>5</v>
      </c>
      <c r="V67" s="44" t="s">
        <v>271</v>
      </c>
      <c r="W67" s="44">
        <v>5</v>
      </c>
      <c r="X67" s="44">
        <v>5</v>
      </c>
      <c r="Y67" s="44" t="s">
        <v>270</v>
      </c>
      <c r="Z67" s="44" t="s">
        <v>401</v>
      </c>
      <c r="AA67" s="44"/>
      <c r="AB67" s="44"/>
      <c r="AC67" s="43"/>
      <c r="AD67" s="43"/>
    </row>
    <row r="68" spans="1:33" s="51" customFormat="1" ht="15.95" customHeight="1">
      <c r="A68" t="s">
        <v>463</v>
      </c>
      <c r="B68" s="50"/>
      <c r="C68" s="85">
        <v>46105</v>
      </c>
      <c r="D68" s="215" t="s">
        <v>464</v>
      </c>
      <c r="E68" s="27">
        <v>65</v>
      </c>
      <c r="F68" s="80">
        <v>890</v>
      </c>
      <c r="G68" s="27">
        <v>50</v>
      </c>
      <c r="H68" s="80">
        <v>50</v>
      </c>
      <c r="I68" s="48" t="s">
        <v>270</v>
      </c>
      <c r="J68" s="73"/>
      <c r="K68" s="74"/>
      <c r="L68" s="74"/>
      <c r="M68" s="74"/>
      <c r="N68" s="605" t="s">
        <v>270</v>
      </c>
      <c r="O68" s="832" t="s">
        <v>368</v>
      </c>
      <c r="P68" s="832"/>
      <c r="Q68" s="832"/>
      <c r="R68" s="832"/>
      <c r="S68" s="832"/>
      <c r="T68" s="832"/>
      <c r="U68" s="832"/>
      <c r="V68" s="832"/>
      <c r="W68" s="832"/>
      <c r="X68" s="44">
        <v>20</v>
      </c>
      <c r="Y68" s="44" t="s">
        <v>270</v>
      </c>
      <c r="Z68" s="44" t="s">
        <v>270</v>
      </c>
      <c r="AA68" s="44"/>
      <c r="AB68" s="44"/>
      <c r="AC68" s="43"/>
      <c r="AD68" s="43"/>
      <c r="AE68" s="51" t="s">
        <v>465</v>
      </c>
    </row>
    <row r="69" spans="1:33" s="51" customFormat="1" ht="15.95" customHeight="1">
      <c r="A69" s="50" t="s">
        <v>466</v>
      </c>
      <c r="B69" s="50" t="s">
        <v>457</v>
      </c>
      <c r="C69" s="85">
        <v>46106</v>
      </c>
      <c r="D69" s="250" t="s">
        <v>467</v>
      </c>
      <c r="E69" s="27">
        <v>65</v>
      </c>
      <c r="F69" s="27">
        <v>890</v>
      </c>
      <c r="G69" s="27">
        <v>150</v>
      </c>
      <c r="H69" s="80">
        <v>180</v>
      </c>
      <c r="I69" s="73" t="s">
        <v>408</v>
      </c>
      <c r="J69" s="48"/>
      <c r="K69" s="47"/>
      <c r="L69" s="47"/>
      <c r="M69" s="47"/>
      <c r="N69" s="605">
        <v>700</v>
      </c>
      <c r="O69" s="604" t="s">
        <v>270</v>
      </c>
      <c r="P69" s="230">
        <v>4</v>
      </c>
      <c r="Q69" s="31">
        <v>0</v>
      </c>
      <c r="R69" s="45"/>
      <c r="S69" s="43">
        <v>10</v>
      </c>
      <c r="T69" s="606">
        <v>3</v>
      </c>
      <c r="U69" s="606">
        <v>5</v>
      </c>
      <c r="V69" s="44" t="s">
        <v>271</v>
      </c>
      <c r="W69" s="44">
        <v>5</v>
      </c>
      <c r="X69" s="211">
        <v>5</v>
      </c>
      <c r="Y69" s="44" t="s">
        <v>430</v>
      </c>
      <c r="Z69" s="44" t="s">
        <v>401</v>
      </c>
      <c r="AA69" s="44"/>
      <c r="AB69" s="44"/>
      <c r="AC69" s="43"/>
      <c r="AD69" s="43"/>
      <c r="AE69" s="51" t="s">
        <v>468</v>
      </c>
      <c r="AF69" s="51" t="s">
        <v>469</v>
      </c>
    </row>
    <row r="70" spans="1:33" s="51" customFormat="1" ht="15.95" customHeight="1">
      <c r="A70" s="294" t="s">
        <v>470</v>
      </c>
      <c r="B70" s="50" t="s">
        <v>457</v>
      </c>
      <c r="C70" s="85">
        <v>46106</v>
      </c>
      <c r="D70" s="215" t="s">
        <v>471</v>
      </c>
      <c r="E70" s="27">
        <v>65</v>
      </c>
      <c r="F70" s="27">
        <v>890</v>
      </c>
      <c r="G70" s="27">
        <v>150</v>
      </c>
      <c r="H70" s="80">
        <v>180</v>
      </c>
      <c r="I70" s="73" t="s">
        <v>408</v>
      </c>
      <c r="J70" s="48"/>
      <c r="K70" s="47"/>
      <c r="L70" s="47"/>
      <c r="M70" s="47"/>
      <c r="N70" s="605">
        <v>700</v>
      </c>
      <c r="O70" s="604" t="s">
        <v>270</v>
      </c>
      <c r="P70" s="230">
        <v>4</v>
      </c>
      <c r="Q70" s="31">
        <v>0</v>
      </c>
      <c r="R70" s="45"/>
      <c r="S70" s="43">
        <v>10</v>
      </c>
      <c r="T70" s="95">
        <v>1.5</v>
      </c>
      <c r="U70" s="606">
        <v>5</v>
      </c>
      <c r="V70" s="44" t="s">
        <v>271</v>
      </c>
      <c r="W70" s="44">
        <v>5</v>
      </c>
      <c r="X70" s="77">
        <v>10</v>
      </c>
      <c r="Y70" s="44" t="s">
        <v>430</v>
      </c>
      <c r="Z70" s="44" t="s">
        <v>401</v>
      </c>
      <c r="AA70" s="44"/>
      <c r="AB70" s="44"/>
      <c r="AC70" s="43"/>
      <c r="AD70" s="43"/>
      <c r="AE70" s="51" t="s">
        <v>468</v>
      </c>
      <c r="AF70" s="51" t="s">
        <v>298</v>
      </c>
    </row>
    <row r="71" spans="1:33" s="51" customFormat="1" ht="15.95" hidden="1" customHeight="1">
      <c r="A71" s="50" t="s">
        <v>472</v>
      </c>
      <c r="B71" s="50" t="s">
        <v>461</v>
      </c>
      <c r="C71" s="85">
        <v>46108</v>
      </c>
      <c r="D71" s="215" t="s">
        <v>473</v>
      </c>
      <c r="E71" s="27">
        <v>65</v>
      </c>
      <c r="F71" s="27">
        <v>890</v>
      </c>
      <c r="G71" s="27">
        <v>150</v>
      </c>
      <c r="H71" s="80">
        <v>180</v>
      </c>
      <c r="I71" s="73" t="s">
        <v>408</v>
      </c>
      <c r="J71" s="48"/>
      <c r="K71" s="47"/>
      <c r="L71" s="47"/>
      <c r="M71" s="47"/>
      <c r="N71" s="605">
        <v>700</v>
      </c>
      <c r="O71" s="604" t="s">
        <v>270</v>
      </c>
      <c r="P71" s="230">
        <v>4</v>
      </c>
      <c r="Q71" s="31">
        <v>0</v>
      </c>
      <c r="R71" s="45"/>
      <c r="S71" s="43">
        <v>10</v>
      </c>
      <c r="T71" s="606">
        <v>3</v>
      </c>
      <c r="U71" s="606">
        <v>5</v>
      </c>
      <c r="V71" s="44" t="s">
        <v>271</v>
      </c>
      <c r="W71" s="44">
        <v>5</v>
      </c>
      <c r="X71" s="44">
        <v>5</v>
      </c>
      <c r="Y71" s="44" t="s">
        <v>270</v>
      </c>
      <c r="Z71" s="44" t="s">
        <v>401</v>
      </c>
      <c r="AA71" s="44"/>
      <c r="AB71" s="44"/>
      <c r="AC71" s="43"/>
      <c r="AD71" s="43"/>
    </row>
    <row r="72" spans="1:33" s="51" customFormat="1" ht="15.95" customHeight="1">
      <c r="A72" s="50" t="s">
        <v>474</v>
      </c>
      <c r="B72" s="50" t="s">
        <v>461</v>
      </c>
      <c r="C72" s="85">
        <v>46108</v>
      </c>
      <c r="D72" s="215" t="s">
        <v>473</v>
      </c>
      <c r="E72" s="27">
        <v>65</v>
      </c>
      <c r="F72" s="27">
        <v>890</v>
      </c>
      <c r="G72" s="27">
        <v>150</v>
      </c>
      <c r="H72" s="80">
        <v>180</v>
      </c>
      <c r="I72" s="73" t="s">
        <v>408</v>
      </c>
      <c r="J72" s="48"/>
      <c r="K72" s="47"/>
      <c r="L72" s="47"/>
      <c r="M72" s="47"/>
      <c r="N72" s="605">
        <v>700</v>
      </c>
      <c r="O72" s="604" t="s">
        <v>270</v>
      </c>
      <c r="P72" s="230">
        <v>4</v>
      </c>
      <c r="Q72" s="31">
        <v>0</v>
      </c>
      <c r="R72" s="45"/>
      <c r="S72" s="43">
        <v>10</v>
      </c>
      <c r="T72" s="606">
        <v>3</v>
      </c>
      <c r="U72" s="606">
        <v>5</v>
      </c>
      <c r="V72" s="44" t="s">
        <v>271</v>
      </c>
      <c r="W72" s="44">
        <v>5</v>
      </c>
      <c r="X72" s="44">
        <v>5</v>
      </c>
      <c r="Y72" s="44" t="s">
        <v>270</v>
      </c>
      <c r="Z72" s="44" t="s">
        <v>401</v>
      </c>
      <c r="AA72" s="44"/>
      <c r="AB72" s="44"/>
      <c r="AC72" s="43"/>
      <c r="AD72" s="43"/>
    </row>
    <row r="73" spans="1:33" s="51" customFormat="1" ht="15.95" customHeight="1">
      <c r="A73" s="293" t="s">
        <v>475</v>
      </c>
      <c r="B73" s="50" t="s">
        <v>461</v>
      </c>
      <c r="C73" s="85">
        <v>46111</v>
      </c>
      <c r="D73" s="215" t="s">
        <v>473</v>
      </c>
      <c r="E73" s="27">
        <v>65</v>
      </c>
      <c r="F73" s="27">
        <v>890</v>
      </c>
      <c r="G73" s="27">
        <v>150</v>
      </c>
      <c r="H73" s="80">
        <v>180</v>
      </c>
      <c r="I73" s="73" t="s">
        <v>408</v>
      </c>
      <c r="J73" s="48"/>
      <c r="K73" s="47"/>
      <c r="L73" s="47"/>
      <c r="M73" s="47"/>
      <c r="N73" s="605">
        <v>700</v>
      </c>
      <c r="O73" s="604" t="s">
        <v>270</v>
      </c>
      <c r="P73" s="230">
        <v>4</v>
      </c>
      <c r="Q73" s="31">
        <v>0</v>
      </c>
      <c r="R73" s="45"/>
      <c r="S73" s="43">
        <v>10</v>
      </c>
      <c r="T73" s="606">
        <v>3</v>
      </c>
      <c r="U73" s="606">
        <v>5</v>
      </c>
      <c r="V73" s="44" t="s">
        <v>271</v>
      </c>
      <c r="W73" s="44">
        <v>5</v>
      </c>
      <c r="X73" s="44">
        <v>5</v>
      </c>
      <c r="Y73" s="44" t="s">
        <v>270</v>
      </c>
      <c r="Z73" s="44" t="s">
        <v>401</v>
      </c>
      <c r="AA73" s="44"/>
      <c r="AB73" s="44"/>
      <c r="AC73" s="43"/>
      <c r="AD73" s="43"/>
      <c r="AE73" s="51" t="s">
        <v>476</v>
      </c>
      <c r="AF73" s="51" t="s">
        <v>477</v>
      </c>
    </row>
    <row r="74" spans="1:33" s="51" customFormat="1" ht="15.95" customHeight="1">
      <c r="A74" s="50" t="s">
        <v>478</v>
      </c>
      <c r="B74" s="50"/>
      <c r="C74" s="85">
        <v>46111</v>
      </c>
      <c r="D74" s="49"/>
      <c r="E74" s="27">
        <v>65</v>
      </c>
      <c r="F74" s="80">
        <v>890</v>
      </c>
      <c r="G74" s="27">
        <v>50</v>
      </c>
      <c r="H74" s="80">
        <v>50</v>
      </c>
      <c r="I74" s="48" t="s">
        <v>270</v>
      </c>
      <c r="J74" s="73"/>
      <c r="K74" s="74"/>
      <c r="L74" s="74"/>
      <c r="M74" s="74"/>
      <c r="N74" s="605" t="s">
        <v>270</v>
      </c>
      <c r="O74" s="832" t="s">
        <v>368</v>
      </c>
      <c r="P74" s="832"/>
      <c r="Q74" s="832"/>
      <c r="R74" s="832"/>
      <c r="S74" s="832"/>
      <c r="T74" s="832"/>
      <c r="U74" s="832"/>
      <c r="V74" s="832"/>
      <c r="W74" s="832"/>
      <c r="X74" s="44">
        <v>20</v>
      </c>
      <c r="Y74" s="44" t="s">
        <v>270</v>
      </c>
      <c r="Z74" s="44" t="s">
        <v>270</v>
      </c>
      <c r="AA74" s="44"/>
      <c r="AB74" s="44"/>
      <c r="AC74" s="43"/>
      <c r="AD74" s="43"/>
    </row>
    <row r="75" spans="1:33" s="51" customFormat="1" ht="15.95" customHeight="1">
      <c r="A75" s="293" t="s">
        <v>479</v>
      </c>
      <c r="B75" s="50" t="s">
        <v>461</v>
      </c>
      <c r="C75" s="85">
        <v>46112</v>
      </c>
      <c r="D75" s="49" t="s">
        <v>480</v>
      </c>
      <c r="E75" s="27">
        <v>65</v>
      </c>
      <c r="F75" s="27">
        <v>890</v>
      </c>
      <c r="G75" s="27">
        <v>150</v>
      </c>
      <c r="H75" s="80">
        <v>180</v>
      </c>
      <c r="I75" s="73" t="s">
        <v>408</v>
      </c>
      <c r="J75" s="48"/>
      <c r="K75" s="47"/>
      <c r="L75" s="47"/>
      <c r="M75" s="47"/>
      <c r="N75" s="605">
        <v>700</v>
      </c>
      <c r="O75" s="604" t="s">
        <v>270</v>
      </c>
      <c r="P75" s="230">
        <v>4</v>
      </c>
      <c r="Q75" s="31">
        <v>0</v>
      </c>
      <c r="R75" s="45"/>
      <c r="S75" s="43">
        <v>10</v>
      </c>
      <c r="T75" s="606">
        <v>3</v>
      </c>
      <c r="U75" s="606">
        <v>5</v>
      </c>
      <c r="V75" s="44" t="s">
        <v>271</v>
      </c>
      <c r="W75" s="44">
        <v>5</v>
      </c>
      <c r="X75" s="44">
        <v>5</v>
      </c>
      <c r="Y75" s="44" t="s">
        <v>270</v>
      </c>
      <c r="Z75" s="44" t="s">
        <v>401</v>
      </c>
      <c r="AA75" s="44"/>
      <c r="AB75" s="44"/>
      <c r="AC75" s="43"/>
      <c r="AD75" s="43"/>
    </row>
    <row r="76" spans="1:33" s="51" customFormat="1" ht="15.95" customHeight="1">
      <c r="A76" s="294" t="s">
        <v>481</v>
      </c>
      <c r="B76" s="50" t="s">
        <v>461</v>
      </c>
      <c r="C76" s="85">
        <v>46112</v>
      </c>
      <c r="D76" s="49" t="s">
        <v>482</v>
      </c>
      <c r="E76" s="27">
        <v>65</v>
      </c>
      <c r="F76" s="27">
        <v>890</v>
      </c>
      <c r="G76" s="27">
        <v>150</v>
      </c>
      <c r="H76" s="80">
        <v>180</v>
      </c>
      <c r="I76" s="73" t="s">
        <v>408</v>
      </c>
      <c r="J76" s="48"/>
      <c r="K76" s="47"/>
      <c r="L76" s="47"/>
      <c r="M76" s="47"/>
      <c r="N76" s="605">
        <v>700</v>
      </c>
      <c r="O76" s="604" t="s">
        <v>270</v>
      </c>
      <c r="P76" s="267">
        <v>4</v>
      </c>
      <c r="Q76" s="31">
        <v>0</v>
      </c>
      <c r="R76" s="45"/>
      <c r="S76" s="83">
        <v>20</v>
      </c>
      <c r="T76" s="606">
        <v>3</v>
      </c>
      <c r="U76" s="606">
        <v>5</v>
      </c>
      <c r="V76" s="44" t="s">
        <v>271</v>
      </c>
      <c r="W76" s="44">
        <v>5</v>
      </c>
      <c r="X76" s="44">
        <v>5</v>
      </c>
      <c r="Y76" s="44" t="s">
        <v>270</v>
      </c>
      <c r="Z76" s="44" t="s">
        <v>401</v>
      </c>
      <c r="AA76" s="44"/>
      <c r="AB76" s="44"/>
      <c r="AC76" s="43"/>
      <c r="AD76" s="43"/>
    </row>
    <row r="77" spans="1:33" s="51" customFormat="1" ht="15.95" customHeight="1">
      <c r="A77" s="293" t="s">
        <v>483</v>
      </c>
      <c r="B77" s="50" t="s">
        <v>461</v>
      </c>
      <c r="C77" s="85">
        <v>46112</v>
      </c>
      <c r="D77" s="49" t="s">
        <v>484</v>
      </c>
      <c r="E77" s="27">
        <v>65</v>
      </c>
      <c r="F77" s="27">
        <v>890</v>
      </c>
      <c r="G77" s="27">
        <v>150</v>
      </c>
      <c r="H77" s="80">
        <v>180</v>
      </c>
      <c r="I77" s="73" t="s">
        <v>408</v>
      </c>
      <c r="J77" s="48"/>
      <c r="K77" s="47"/>
      <c r="L77" s="47"/>
      <c r="M77" s="47"/>
      <c r="N77" s="605">
        <v>700</v>
      </c>
      <c r="O77" s="604" t="s">
        <v>270</v>
      </c>
      <c r="P77" s="267">
        <v>4</v>
      </c>
      <c r="Q77" s="31">
        <v>0</v>
      </c>
      <c r="R77" s="45"/>
      <c r="S77" s="270">
        <v>10</v>
      </c>
      <c r="T77" s="606">
        <v>3</v>
      </c>
      <c r="U77" s="95">
        <v>3</v>
      </c>
      <c r="V77" s="44" t="s">
        <v>271</v>
      </c>
      <c r="W77" s="44">
        <v>5</v>
      </c>
      <c r="X77" s="44">
        <v>5</v>
      </c>
      <c r="Y77" s="44" t="s">
        <v>270</v>
      </c>
      <c r="Z77" s="44" t="s">
        <v>401</v>
      </c>
      <c r="AA77" s="44"/>
      <c r="AB77" s="44"/>
      <c r="AC77" s="43"/>
      <c r="AD77" s="43"/>
      <c r="AF77" s="51" t="s">
        <v>485</v>
      </c>
    </row>
    <row r="78" spans="1:33" s="51" customFormat="1" ht="15.95" customHeight="1">
      <c r="A78" s="294" t="s">
        <v>486</v>
      </c>
      <c r="B78" s="50" t="s">
        <v>461</v>
      </c>
      <c r="C78" s="85">
        <v>46112</v>
      </c>
      <c r="D78" s="49" t="s">
        <v>484</v>
      </c>
      <c r="E78" s="27">
        <v>65</v>
      </c>
      <c r="F78" s="27">
        <v>890</v>
      </c>
      <c r="G78" s="27">
        <v>150</v>
      </c>
      <c r="H78" s="80">
        <v>180</v>
      </c>
      <c r="I78" s="73" t="s">
        <v>408</v>
      </c>
      <c r="J78" s="48"/>
      <c r="K78" s="47"/>
      <c r="L78" s="47"/>
      <c r="M78" s="47"/>
      <c r="N78" s="605">
        <v>700</v>
      </c>
      <c r="O78" s="604" t="s">
        <v>270</v>
      </c>
      <c r="P78" s="267">
        <v>4</v>
      </c>
      <c r="Q78" s="31">
        <v>0</v>
      </c>
      <c r="R78" s="45"/>
      <c r="S78" s="270">
        <v>10</v>
      </c>
      <c r="T78" s="95">
        <v>1</v>
      </c>
      <c r="U78" s="272">
        <v>3</v>
      </c>
      <c r="V78" s="44" t="s">
        <v>271</v>
      </c>
      <c r="W78" s="44">
        <v>5</v>
      </c>
      <c r="X78" s="44">
        <v>5</v>
      </c>
      <c r="Y78" s="44" t="s">
        <v>270</v>
      </c>
      <c r="Z78" s="44" t="s">
        <v>401</v>
      </c>
      <c r="AA78" s="44"/>
      <c r="AB78" s="44"/>
      <c r="AC78" s="43"/>
      <c r="AD78" s="43"/>
      <c r="AF78" s="51" t="s">
        <v>487</v>
      </c>
    </row>
    <row r="79" spans="1:33" s="51" customFormat="1" ht="15.95" customHeight="1">
      <c r="A79" s="50" t="s">
        <v>488</v>
      </c>
      <c r="B79" s="50"/>
      <c r="C79" s="85">
        <v>46112</v>
      </c>
      <c r="D79" s="49"/>
      <c r="E79" s="27">
        <v>65</v>
      </c>
      <c r="F79" s="80">
        <v>890</v>
      </c>
      <c r="G79" s="27">
        <v>50</v>
      </c>
      <c r="H79" s="80">
        <v>50</v>
      </c>
      <c r="I79" s="48" t="s">
        <v>270</v>
      </c>
      <c r="J79" s="73"/>
      <c r="K79" s="74"/>
      <c r="L79" s="74"/>
      <c r="M79" s="74"/>
      <c r="N79" s="605" t="s">
        <v>270</v>
      </c>
      <c r="O79" s="832" t="s">
        <v>368</v>
      </c>
      <c r="P79" s="832"/>
      <c r="Q79" s="832"/>
      <c r="R79" s="832"/>
      <c r="S79" s="832"/>
      <c r="T79" s="832"/>
      <c r="U79" s="832"/>
      <c r="V79" s="832"/>
      <c r="W79" s="832"/>
      <c r="X79" s="44">
        <v>20</v>
      </c>
      <c r="Y79" s="44" t="s">
        <v>270</v>
      </c>
      <c r="Z79" s="44" t="s">
        <v>270</v>
      </c>
      <c r="AA79" s="44"/>
      <c r="AB79" s="44"/>
      <c r="AC79" s="43"/>
      <c r="AD79" s="43"/>
    </row>
    <row r="80" spans="1:33" s="51" customFormat="1" ht="15.95" customHeight="1">
      <c r="A80" s="293" t="s">
        <v>489</v>
      </c>
      <c r="B80" s="50" t="s">
        <v>461</v>
      </c>
      <c r="C80" s="85">
        <v>46113</v>
      </c>
      <c r="D80" s="49" t="s">
        <v>490</v>
      </c>
      <c r="E80" s="27">
        <v>65</v>
      </c>
      <c r="F80" s="27">
        <v>890</v>
      </c>
      <c r="G80" s="27">
        <v>150</v>
      </c>
      <c r="H80" s="80">
        <v>180</v>
      </c>
      <c r="I80" s="73" t="s">
        <v>408</v>
      </c>
      <c r="J80" s="48"/>
      <c r="K80" s="47"/>
      <c r="L80" s="47"/>
      <c r="M80" s="47"/>
      <c r="N80" s="605">
        <v>700</v>
      </c>
      <c r="O80" s="604" t="s">
        <v>270</v>
      </c>
      <c r="P80" s="267">
        <v>4</v>
      </c>
      <c r="Q80" s="31">
        <v>0</v>
      </c>
      <c r="R80" s="45"/>
      <c r="S80" s="270">
        <v>10</v>
      </c>
      <c r="T80" s="277">
        <v>2</v>
      </c>
      <c r="U80" s="272">
        <v>3</v>
      </c>
      <c r="V80" s="44" t="s">
        <v>271</v>
      </c>
      <c r="W80" s="44">
        <v>5</v>
      </c>
      <c r="X80" s="44">
        <v>5</v>
      </c>
      <c r="Y80" s="44" t="s">
        <v>270</v>
      </c>
      <c r="Z80" s="44" t="s">
        <v>401</v>
      </c>
      <c r="AA80" s="44"/>
      <c r="AB80" s="44"/>
      <c r="AC80" s="43"/>
      <c r="AD80" s="43"/>
      <c r="AE80" s="51" t="s">
        <v>491</v>
      </c>
      <c r="AF80" s="51" t="s">
        <v>492</v>
      </c>
      <c r="AG80" s="51" t="s">
        <v>493</v>
      </c>
    </row>
    <row r="81" spans="1:35" s="51" customFormat="1" ht="15.95" customHeight="1">
      <c r="A81" s="294" t="s">
        <v>494</v>
      </c>
      <c r="B81" s="50" t="s">
        <v>461</v>
      </c>
      <c r="C81" s="85">
        <v>46113</v>
      </c>
      <c r="D81" s="49" t="s">
        <v>495</v>
      </c>
      <c r="E81" s="27">
        <v>65</v>
      </c>
      <c r="F81" s="27">
        <v>890</v>
      </c>
      <c r="G81" s="27">
        <v>150</v>
      </c>
      <c r="H81" s="80">
        <v>180</v>
      </c>
      <c r="I81" s="73" t="s">
        <v>408</v>
      </c>
      <c r="J81" s="48"/>
      <c r="K81" s="47"/>
      <c r="L81" s="47"/>
      <c r="M81" s="47"/>
      <c r="N81" s="605">
        <v>700</v>
      </c>
      <c r="O81" s="604" t="s">
        <v>270</v>
      </c>
      <c r="P81" s="267">
        <v>4</v>
      </c>
      <c r="Q81" s="31">
        <v>0</v>
      </c>
      <c r="R81" s="45"/>
      <c r="S81" s="276">
        <v>0</v>
      </c>
      <c r="T81" s="606">
        <v>3</v>
      </c>
      <c r="U81" s="272">
        <v>3</v>
      </c>
      <c r="V81" s="44" t="s">
        <v>271</v>
      </c>
      <c r="W81" s="44">
        <v>5</v>
      </c>
      <c r="X81" s="44">
        <v>5</v>
      </c>
      <c r="Y81" s="44" t="s">
        <v>270</v>
      </c>
      <c r="Z81" s="44" t="s">
        <v>401</v>
      </c>
      <c r="AA81" s="44"/>
      <c r="AB81" s="44"/>
      <c r="AC81" s="43"/>
      <c r="AD81" s="43"/>
      <c r="AF81" s="51" t="s">
        <v>496</v>
      </c>
    </row>
    <row r="82" spans="1:35" s="51" customFormat="1" ht="15.95" customHeight="1">
      <c r="A82" s="294" t="s">
        <v>497</v>
      </c>
      <c r="B82" s="50" t="s">
        <v>461</v>
      </c>
      <c r="C82" s="85">
        <v>46113</v>
      </c>
      <c r="D82" s="49" t="s">
        <v>498</v>
      </c>
      <c r="E82" s="27">
        <v>65</v>
      </c>
      <c r="F82" s="27">
        <v>890</v>
      </c>
      <c r="G82" s="27">
        <v>150</v>
      </c>
      <c r="H82" s="80">
        <v>180</v>
      </c>
      <c r="I82" s="73" t="s">
        <v>408</v>
      </c>
      <c r="J82" s="48"/>
      <c r="K82" s="47"/>
      <c r="L82" s="47"/>
      <c r="M82" s="47"/>
      <c r="N82" s="605">
        <v>700</v>
      </c>
      <c r="O82" s="604" t="s">
        <v>270</v>
      </c>
      <c r="P82" s="267">
        <v>4</v>
      </c>
      <c r="Q82" s="31">
        <v>0</v>
      </c>
      <c r="R82" s="45"/>
      <c r="S82" s="655">
        <v>10</v>
      </c>
      <c r="T82" s="277" t="s">
        <v>499</v>
      </c>
      <c r="U82" s="272">
        <v>3</v>
      </c>
      <c r="V82" s="44" t="s">
        <v>271</v>
      </c>
      <c r="W82" s="44">
        <v>5</v>
      </c>
      <c r="X82" s="44">
        <v>5</v>
      </c>
      <c r="Y82" s="44" t="s">
        <v>270</v>
      </c>
      <c r="Z82" s="44" t="s">
        <v>401</v>
      </c>
      <c r="AA82" s="44"/>
      <c r="AB82" s="44"/>
      <c r="AC82" s="43"/>
      <c r="AD82" s="43"/>
      <c r="AE82" s="51" t="s">
        <v>500</v>
      </c>
    </row>
    <row r="83" spans="1:35" s="51" customFormat="1" ht="15.95" customHeight="1">
      <c r="A83" s="294" t="s">
        <v>501</v>
      </c>
      <c r="B83" s="50" t="s">
        <v>489</v>
      </c>
      <c r="C83" s="85">
        <v>46113</v>
      </c>
      <c r="D83" s="49" t="s">
        <v>502</v>
      </c>
      <c r="E83" s="27">
        <v>65</v>
      </c>
      <c r="F83" s="27">
        <v>890</v>
      </c>
      <c r="G83" s="27">
        <v>150</v>
      </c>
      <c r="H83" s="80">
        <v>180</v>
      </c>
      <c r="I83" s="73" t="s">
        <v>408</v>
      </c>
      <c r="J83" s="48"/>
      <c r="K83" s="47"/>
      <c r="L83" s="47"/>
      <c r="M83" s="47"/>
      <c r="N83" s="605">
        <v>700</v>
      </c>
      <c r="O83" s="604" t="s">
        <v>270</v>
      </c>
      <c r="P83" s="267">
        <v>4</v>
      </c>
      <c r="Q83" s="31">
        <v>0</v>
      </c>
      <c r="R83" s="45"/>
      <c r="S83" s="276" t="s">
        <v>503</v>
      </c>
      <c r="T83" s="606">
        <v>2</v>
      </c>
      <c r="U83" s="272">
        <v>3</v>
      </c>
      <c r="V83" s="44" t="s">
        <v>271</v>
      </c>
      <c r="W83" s="44">
        <v>5</v>
      </c>
      <c r="X83" s="44">
        <v>5</v>
      </c>
      <c r="Y83" s="44" t="s">
        <v>270</v>
      </c>
      <c r="Z83" s="44" t="s">
        <v>401</v>
      </c>
      <c r="AA83" s="44"/>
      <c r="AB83" s="44"/>
      <c r="AC83" s="43"/>
      <c r="AD83" s="43"/>
      <c r="AE83" s="51" t="s">
        <v>504</v>
      </c>
    </row>
    <row r="84" spans="1:35" s="51" customFormat="1" ht="15.95" customHeight="1">
      <c r="A84" s="294" t="s">
        <v>505</v>
      </c>
      <c r="B84" s="50" t="s">
        <v>489</v>
      </c>
      <c r="C84" s="85">
        <v>46113</v>
      </c>
      <c r="D84" s="49" t="s">
        <v>506</v>
      </c>
      <c r="E84" s="27">
        <v>65</v>
      </c>
      <c r="F84" s="27">
        <v>890</v>
      </c>
      <c r="G84" s="27">
        <v>150</v>
      </c>
      <c r="H84" s="80">
        <v>180</v>
      </c>
      <c r="I84" s="73" t="s">
        <v>408</v>
      </c>
      <c r="J84" s="48"/>
      <c r="K84" s="47"/>
      <c r="L84" s="47"/>
      <c r="M84" s="47"/>
      <c r="N84" s="605">
        <v>700</v>
      </c>
      <c r="O84" s="604" t="s">
        <v>270</v>
      </c>
      <c r="P84" s="267">
        <v>4</v>
      </c>
      <c r="Q84" s="31">
        <v>0</v>
      </c>
      <c r="R84" s="45"/>
      <c r="S84" s="276" t="s">
        <v>503</v>
      </c>
      <c r="T84" s="606">
        <v>2</v>
      </c>
      <c r="U84" s="272">
        <v>3</v>
      </c>
      <c r="V84" s="44" t="s">
        <v>271</v>
      </c>
      <c r="W84" s="44">
        <v>5</v>
      </c>
      <c r="X84" s="44">
        <v>5</v>
      </c>
      <c r="Y84" s="44" t="s">
        <v>270</v>
      </c>
      <c r="Z84" s="44" t="s">
        <v>401</v>
      </c>
      <c r="AA84" s="44"/>
      <c r="AB84" s="44"/>
      <c r="AC84" s="43"/>
      <c r="AD84" s="43"/>
      <c r="AE84" s="51" t="s">
        <v>504</v>
      </c>
    </row>
    <row r="85" spans="1:35" s="51" customFormat="1" ht="15.95" customHeight="1">
      <c r="A85" s="294" t="s">
        <v>507</v>
      </c>
      <c r="B85" s="50" t="s">
        <v>489</v>
      </c>
      <c r="C85" s="85">
        <v>46114</v>
      </c>
      <c r="D85" s="49" t="s">
        <v>508</v>
      </c>
      <c r="E85" s="27">
        <v>65</v>
      </c>
      <c r="F85" s="27">
        <v>890</v>
      </c>
      <c r="G85" s="27">
        <v>150</v>
      </c>
      <c r="H85" s="80">
        <v>180</v>
      </c>
      <c r="I85" s="73" t="s">
        <v>408</v>
      </c>
      <c r="J85" s="48"/>
      <c r="K85" s="47"/>
      <c r="L85" s="47"/>
      <c r="M85" s="47"/>
      <c r="N85" s="605">
        <v>700</v>
      </c>
      <c r="O85" s="604" t="s">
        <v>270</v>
      </c>
      <c r="P85" s="267">
        <v>4</v>
      </c>
      <c r="Q85" s="31">
        <v>0</v>
      </c>
      <c r="R85" s="45"/>
      <c r="S85" s="43">
        <v>10</v>
      </c>
      <c r="T85" s="95">
        <v>1</v>
      </c>
      <c r="U85" s="272">
        <v>3</v>
      </c>
      <c r="V85" s="44" t="s">
        <v>271</v>
      </c>
      <c r="W85" s="44">
        <v>5</v>
      </c>
      <c r="X85" s="44">
        <v>5</v>
      </c>
      <c r="Y85" s="44" t="s">
        <v>270</v>
      </c>
      <c r="Z85" s="44" t="s">
        <v>401</v>
      </c>
      <c r="AA85" s="44"/>
      <c r="AB85" s="44"/>
      <c r="AC85" s="43"/>
      <c r="AD85" s="43"/>
      <c r="AE85" s="51" t="s">
        <v>509</v>
      </c>
      <c r="AF85" s="51" t="s">
        <v>298</v>
      </c>
    </row>
    <row r="86" spans="1:35" s="51" customFormat="1" ht="15.95" customHeight="1">
      <c r="A86" s="295" t="s">
        <v>510</v>
      </c>
      <c r="B86" s="50" t="s">
        <v>489</v>
      </c>
      <c r="C86" s="85">
        <v>46114</v>
      </c>
      <c r="D86" s="49"/>
      <c r="E86" s="27">
        <v>65</v>
      </c>
      <c r="F86" s="27">
        <v>890</v>
      </c>
      <c r="G86" s="27">
        <v>150</v>
      </c>
      <c r="H86" s="80">
        <v>180</v>
      </c>
      <c r="I86" s="73" t="s">
        <v>408</v>
      </c>
      <c r="J86" s="48"/>
      <c r="K86" s="47"/>
      <c r="L86" s="47"/>
      <c r="M86" s="47"/>
      <c r="N86" s="605">
        <v>700</v>
      </c>
      <c r="O86" s="604" t="s">
        <v>270</v>
      </c>
      <c r="P86" s="267">
        <v>4</v>
      </c>
      <c r="Q86" s="31">
        <v>0</v>
      </c>
      <c r="R86" s="45"/>
      <c r="S86" s="43">
        <v>10</v>
      </c>
      <c r="T86" s="95">
        <v>3</v>
      </c>
      <c r="U86" s="272">
        <v>3</v>
      </c>
      <c r="V86" s="44" t="s">
        <v>271</v>
      </c>
      <c r="W86" s="44">
        <v>5</v>
      </c>
      <c r="X86" s="44">
        <v>5</v>
      </c>
      <c r="Y86" s="44" t="s">
        <v>270</v>
      </c>
      <c r="Z86" s="44" t="s">
        <v>401</v>
      </c>
      <c r="AA86" s="44"/>
      <c r="AB86" s="44"/>
      <c r="AC86" s="43"/>
      <c r="AD86" s="43"/>
      <c r="AF86" s="51" t="s">
        <v>511</v>
      </c>
    </row>
    <row r="87" spans="1:35" s="51" customFormat="1" ht="15.95" customHeight="1">
      <c r="A87" s="295" t="s">
        <v>512</v>
      </c>
      <c r="B87" s="50" t="s">
        <v>489</v>
      </c>
      <c r="C87" s="85">
        <v>46114</v>
      </c>
      <c r="D87" s="49" t="s">
        <v>513</v>
      </c>
      <c r="E87" s="27">
        <v>65</v>
      </c>
      <c r="F87" s="27">
        <v>890</v>
      </c>
      <c r="G87" s="27">
        <v>150</v>
      </c>
      <c r="H87" s="80">
        <v>180</v>
      </c>
      <c r="I87" s="73" t="s">
        <v>408</v>
      </c>
      <c r="J87" s="48"/>
      <c r="K87" s="47"/>
      <c r="L87" s="47"/>
      <c r="M87" s="47"/>
      <c r="N87" s="605">
        <v>700</v>
      </c>
      <c r="O87" s="604" t="s">
        <v>270</v>
      </c>
      <c r="P87" s="267">
        <v>4</v>
      </c>
      <c r="Q87" s="31">
        <v>0</v>
      </c>
      <c r="R87" s="45"/>
      <c r="S87" s="43">
        <v>10</v>
      </c>
      <c r="T87" s="95">
        <v>3</v>
      </c>
      <c r="U87" s="272">
        <v>3</v>
      </c>
      <c r="V87" s="44" t="s">
        <v>271</v>
      </c>
      <c r="W87" s="44">
        <v>5</v>
      </c>
      <c r="X87" s="44">
        <v>5</v>
      </c>
      <c r="Y87" s="44" t="s">
        <v>270</v>
      </c>
      <c r="Z87" s="44" t="s">
        <v>401</v>
      </c>
      <c r="AA87" s="44"/>
      <c r="AB87" s="44"/>
      <c r="AC87" s="43"/>
      <c r="AD87" s="43"/>
      <c r="AF87" s="51" t="s">
        <v>514</v>
      </c>
    </row>
    <row r="88" spans="1:35" s="51" customFormat="1" ht="15.95" customHeight="1">
      <c r="A88" s="656" t="s">
        <v>515</v>
      </c>
      <c r="B88" s="50" t="s">
        <v>489</v>
      </c>
      <c r="C88" s="85">
        <v>46115</v>
      </c>
      <c r="D88" s="49" t="s">
        <v>516</v>
      </c>
      <c r="E88" s="27">
        <v>65</v>
      </c>
      <c r="F88" s="27">
        <v>890</v>
      </c>
      <c r="G88" s="27">
        <v>150</v>
      </c>
      <c r="H88" s="80">
        <v>180</v>
      </c>
      <c r="I88" s="73" t="s">
        <v>408</v>
      </c>
      <c r="J88" s="48"/>
      <c r="K88" s="47"/>
      <c r="L88" s="47"/>
      <c r="M88" s="47"/>
      <c r="N88" s="605">
        <v>700</v>
      </c>
      <c r="O88" s="604" t="s">
        <v>270</v>
      </c>
      <c r="P88" s="267">
        <v>4</v>
      </c>
      <c r="Q88" s="31">
        <v>0</v>
      </c>
      <c r="R88" s="45"/>
      <c r="S88" s="43">
        <v>10</v>
      </c>
      <c r="T88" s="95">
        <v>3</v>
      </c>
      <c r="U88" s="272">
        <v>3</v>
      </c>
      <c r="V88" s="44" t="s">
        <v>271</v>
      </c>
      <c r="W88" s="44">
        <v>5</v>
      </c>
      <c r="X88" s="44">
        <v>5</v>
      </c>
      <c r="Y88" s="44" t="s">
        <v>270</v>
      </c>
      <c r="Z88" s="44" t="s">
        <v>401</v>
      </c>
      <c r="AA88" s="44"/>
      <c r="AB88" s="44"/>
      <c r="AC88" s="43"/>
      <c r="AD88" s="43"/>
      <c r="AF88" s="51" t="s">
        <v>517</v>
      </c>
    </row>
    <row r="89" spans="1:35" s="51" customFormat="1" ht="15.95" customHeight="1">
      <c r="A89" s="340" t="s">
        <v>518</v>
      </c>
      <c r="B89" s="50" t="s">
        <v>489</v>
      </c>
      <c r="C89" s="85">
        <v>46115</v>
      </c>
      <c r="D89" s="49" t="s">
        <v>519</v>
      </c>
      <c r="E89" s="27">
        <v>65</v>
      </c>
      <c r="F89" s="27">
        <v>890</v>
      </c>
      <c r="G89" s="27">
        <v>150</v>
      </c>
      <c r="H89" s="80">
        <v>180</v>
      </c>
      <c r="I89" s="278" t="s">
        <v>520</v>
      </c>
      <c r="J89" s="48"/>
      <c r="K89" s="47"/>
      <c r="L89" s="47"/>
      <c r="M89" s="47"/>
      <c r="N89" s="605">
        <v>700</v>
      </c>
      <c r="O89" s="604" t="s">
        <v>270</v>
      </c>
      <c r="P89" s="267">
        <v>4</v>
      </c>
      <c r="Q89" s="31">
        <v>0</v>
      </c>
      <c r="R89" s="45"/>
      <c r="S89" s="43">
        <v>10</v>
      </c>
      <c r="T89" s="272">
        <v>3</v>
      </c>
      <c r="U89" s="95">
        <v>10</v>
      </c>
      <c r="V89" s="44" t="s">
        <v>271</v>
      </c>
      <c r="W89" s="44">
        <v>5</v>
      </c>
      <c r="X89" s="44">
        <v>5</v>
      </c>
      <c r="Y89" s="44" t="s">
        <v>270</v>
      </c>
      <c r="Z89" s="44" t="s">
        <v>401</v>
      </c>
      <c r="AA89" s="44"/>
      <c r="AB89" s="44"/>
      <c r="AC89" s="43"/>
      <c r="AD89" s="43"/>
      <c r="AF89" s="51" t="s">
        <v>521</v>
      </c>
    </row>
    <row r="90" spans="1:35" s="51" customFormat="1" ht="15.95" customHeight="1">
      <c r="A90" s="657" t="s">
        <v>522</v>
      </c>
      <c r="B90" s="50" t="s">
        <v>489</v>
      </c>
      <c r="C90" s="85">
        <v>46115</v>
      </c>
      <c r="D90" s="49" t="s">
        <v>523</v>
      </c>
      <c r="E90" s="27">
        <v>65</v>
      </c>
      <c r="F90" s="27">
        <v>890</v>
      </c>
      <c r="G90" s="27">
        <v>150</v>
      </c>
      <c r="H90" s="80">
        <v>180</v>
      </c>
      <c r="I90" s="279" t="s">
        <v>520</v>
      </c>
      <c r="J90" s="48"/>
      <c r="K90" s="47"/>
      <c r="L90" s="47"/>
      <c r="M90" s="47"/>
      <c r="N90" s="605">
        <v>700</v>
      </c>
      <c r="O90" s="604" t="s">
        <v>270</v>
      </c>
      <c r="P90" s="267">
        <v>4</v>
      </c>
      <c r="Q90" s="31">
        <v>0</v>
      </c>
      <c r="R90" s="45"/>
      <c r="S90" s="43">
        <v>10</v>
      </c>
      <c r="T90" s="272">
        <v>3</v>
      </c>
      <c r="U90" s="272">
        <v>10</v>
      </c>
      <c r="V90" s="44" t="s">
        <v>271</v>
      </c>
      <c r="W90" s="44">
        <v>5</v>
      </c>
      <c r="X90" s="44">
        <v>5</v>
      </c>
      <c r="Y90" s="44" t="s">
        <v>270</v>
      </c>
      <c r="Z90" s="44" t="s">
        <v>401</v>
      </c>
      <c r="AA90" s="44"/>
      <c r="AB90" s="44"/>
      <c r="AC90" s="43"/>
      <c r="AD90" s="43"/>
      <c r="AF90" s="51" t="s">
        <v>524</v>
      </c>
    </row>
    <row r="91" spans="1:35" s="51" customFormat="1" ht="15.95" customHeight="1">
      <c r="A91" s="294" t="s">
        <v>525</v>
      </c>
      <c r="B91" s="50" t="s">
        <v>522</v>
      </c>
      <c r="C91" s="85">
        <v>46115</v>
      </c>
      <c r="D91" s="49" t="s">
        <v>526</v>
      </c>
      <c r="E91" s="27">
        <v>65</v>
      </c>
      <c r="F91" s="27">
        <v>890</v>
      </c>
      <c r="G91" s="27">
        <v>150</v>
      </c>
      <c r="H91" s="80">
        <v>180</v>
      </c>
      <c r="I91" s="279" t="s">
        <v>520</v>
      </c>
      <c r="J91" s="48"/>
      <c r="K91" s="47"/>
      <c r="L91" s="47"/>
      <c r="M91" s="47"/>
      <c r="N91" s="605">
        <v>700</v>
      </c>
      <c r="O91" s="604" t="s">
        <v>270</v>
      </c>
      <c r="P91" s="267">
        <v>4</v>
      </c>
      <c r="Q91" s="31">
        <v>0</v>
      </c>
      <c r="R91" s="45"/>
      <c r="S91" s="43">
        <v>10</v>
      </c>
      <c r="T91" s="95">
        <v>1</v>
      </c>
      <c r="U91" s="272">
        <v>10</v>
      </c>
      <c r="V91" s="44" t="s">
        <v>271</v>
      </c>
      <c r="W91" s="44">
        <v>5</v>
      </c>
      <c r="X91" s="44">
        <v>5</v>
      </c>
      <c r="Y91" s="44" t="s">
        <v>270</v>
      </c>
      <c r="Z91" s="44" t="s">
        <v>401</v>
      </c>
      <c r="AA91" s="44"/>
      <c r="AB91" s="44"/>
      <c r="AC91" s="43"/>
      <c r="AD91" s="43"/>
    </row>
    <row r="92" spans="1:35" s="51" customFormat="1" ht="15.95" customHeight="1">
      <c r="A92" s="50" t="s">
        <v>527</v>
      </c>
      <c r="B92" s="50"/>
      <c r="C92" s="85">
        <v>46115</v>
      </c>
      <c r="E92" s="27">
        <v>65</v>
      </c>
      <c r="F92" s="80">
        <v>890</v>
      </c>
      <c r="G92" s="27">
        <v>50</v>
      </c>
      <c r="H92" s="80">
        <v>50</v>
      </c>
      <c r="I92" s="48" t="s">
        <v>270</v>
      </c>
      <c r="J92" s="73"/>
      <c r="K92" s="74"/>
      <c r="L92" s="74"/>
      <c r="M92" s="74"/>
      <c r="N92" s="605" t="s">
        <v>270</v>
      </c>
      <c r="O92" s="832" t="s">
        <v>368</v>
      </c>
      <c r="P92" s="832"/>
      <c r="Q92" s="832"/>
      <c r="R92" s="832"/>
      <c r="S92" s="832"/>
      <c r="T92" s="832"/>
      <c r="U92" s="832"/>
      <c r="V92" s="832"/>
      <c r="W92" s="832"/>
      <c r="X92" s="44">
        <v>20</v>
      </c>
      <c r="Y92" s="44" t="s">
        <v>270</v>
      </c>
      <c r="Z92" s="44" t="s">
        <v>270</v>
      </c>
      <c r="AA92" s="44"/>
      <c r="AB92" s="44"/>
      <c r="AC92" s="43"/>
      <c r="AD92" s="43"/>
    </row>
    <row r="93" spans="1:35" s="51" customFormat="1" ht="15.95" customHeight="1">
      <c r="A93" s="293" t="s">
        <v>528</v>
      </c>
      <c r="B93" s="50" t="s">
        <v>522</v>
      </c>
      <c r="C93" s="85">
        <v>46116</v>
      </c>
      <c r="D93" s="49"/>
      <c r="E93" s="27">
        <v>65</v>
      </c>
      <c r="F93" s="27">
        <v>890</v>
      </c>
      <c r="G93" s="27">
        <v>150</v>
      </c>
      <c r="H93" s="80">
        <v>180</v>
      </c>
      <c r="I93" s="279" t="s">
        <v>520</v>
      </c>
      <c r="J93" s="48"/>
      <c r="K93" s="47"/>
      <c r="L93" s="47"/>
      <c r="M93" s="47"/>
      <c r="N93" s="605">
        <v>700</v>
      </c>
      <c r="O93" s="604" t="s">
        <v>270</v>
      </c>
      <c r="P93" s="267">
        <v>4</v>
      </c>
      <c r="Q93" s="31">
        <v>0</v>
      </c>
      <c r="R93" s="45"/>
      <c r="S93" s="43">
        <v>10</v>
      </c>
      <c r="T93" s="95">
        <v>2</v>
      </c>
      <c r="U93" s="272">
        <v>10</v>
      </c>
      <c r="V93" s="44" t="s">
        <v>271</v>
      </c>
      <c r="W93" s="44">
        <v>5</v>
      </c>
      <c r="X93" s="44">
        <v>5</v>
      </c>
      <c r="Y93" s="44" t="s">
        <v>270</v>
      </c>
      <c r="Z93" s="44" t="s">
        <v>401</v>
      </c>
      <c r="AA93" s="44"/>
      <c r="AB93" s="44"/>
      <c r="AC93" s="43"/>
      <c r="AD93" s="43"/>
      <c r="AF93" s="51" t="s">
        <v>529</v>
      </c>
      <c r="AI93" s="51" t="s">
        <v>530</v>
      </c>
    </row>
    <row r="94" spans="1:35" s="51" customFormat="1" ht="15.95" customHeight="1">
      <c r="A94" s="294" t="s">
        <v>531</v>
      </c>
      <c r="B94" s="50" t="s">
        <v>528</v>
      </c>
      <c r="C94" s="85">
        <v>46116</v>
      </c>
      <c r="D94" s="49" t="s">
        <v>532</v>
      </c>
      <c r="E94" s="27">
        <v>65</v>
      </c>
      <c r="F94" s="27">
        <v>890</v>
      </c>
      <c r="G94" s="27">
        <v>150</v>
      </c>
      <c r="H94" s="80">
        <v>180</v>
      </c>
      <c r="I94" s="279" t="s">
        <v>520</v>
      </c>
      <c r="J94" s="48"/>
      <c r="K94" s="47"/>
      <c r="L94" s="47"/>
      <c r="M94" s="47"/>
      <c r="N94" s="605">
        <v>700</v>
      </c>
      <c r="O94" s="604" t="s">
        <v>270</v>
      </c>
      <c r="P94" s="267">
        <v>4</v>
      </c>
      <c r="Q94" s="31">
        <v>0</v>
      </c>
      <c r="R94" s="45"/>
      <c r="S94" s="43">
        <v>10</v>
      </c>
      <c r="T94" s="272">
        <v>2</v>
      </c>
      <c r="U94" s="272">
        <v>10</v>
      </c>
      <c r="V94" s="44" t="s">
        <v>271</v>
      </c>
      <c r="W94" s="44">
        <v>5</v>
      </c>
      <c r="X94" s="44">
        <v>5</v>
      </c>
      <c r="Y94" s="44" t="s">
        <v>270</v>
      </c>
      <c r="Z94" s="44" t="s">
        <v>401</v>
      </c>
      <c r="AA94" s="44"/>
      <c r="AB94" s="44"/>
      <c r="AC94" s="43"/>
      <c r="AD94" s="43"/>
      <c r="AF94" s="51" t="s">
        <v>533</v>
      </c>
    </row>
    <row r="95" spans="1:35" s="51" customFormat="1" ht="15.95" customHeight="1">
      <c r="A95" s="295" t="s">
        <v>534</v>
      </c>
      <c r="B95" s="50" t="s">
        <v>528</v>
      </c>
      <c r="C95" s="85">
        <v>46116</v>
      </c>
      <c r="D95" s="49"/>
      <c r="E95" s="27">
        <v>65</v>
      </c>
      <c r="F95" s="27">
        <v>890</v>
      </c>
      <c r="G95" s="27">
        <v>150</v>
      </c>
      <c r="H95" s="80">
        <v>180</v>
      </c>
      <c r="I95" s="279" t="s">
        <v>520</v>
      </c>
      <c r="J95" s="48"/>
      <c r="K95" s="47"/>
      <c r="L95" s="47"/>
      <c r="M95" s="47"/>
      <c r="N95" s="605">
        <v>700</v>
      </c>
      <c r="O95" s="604" t="s">
        <v>270</v>
      </c>
      <c r="P95" s="267">
        <v>4</v>
      </c>
      <c r="Q95" s="31">
        <v>0</v>
      </c>
      <c r="R95" s="45"/>
      <c r="S95" s="43">
        <v>10</v>
      </c>
      <c r="T95" s="95">
        <v>3</v>
      </c>
      <c r="U95" s="272">
        <v>10</v>
      </c>
      <c r="V95" s="44" t="s">
        <v>271</v>
      </c>
      <c r="W95" s="44">
        <v>5</v>
      </c>
      <c r="X95" s="44">
        <v>5</v>
      </c>
      <c r="Y95" s="44" t="s">
        <v>270</v>
      </c>
      <c r="Z95" s="44" t="s">
        <v>401</v>
      </c>
      <c r="AA95" s="44"/>
      <c r="AB95" s="44"/>
      <c r="AC95" s="43"/>
      <c r="AD95" s="43"/>
    </row>
    <row r="96" spans="1:35" s="51" customFormat="1" ht="15.95" customHeight="1">
      <c r="A96" s="50" t="s">
        <v>535</v>
      </c>
      <c r="B96" s="50"/>
      <c r="C96" s="85">
        <v>46116</v>
      </c>
      <c r="D96" s="49"/>
      <c r="E96" s="27">
        <v>65</v>
      </c>
      <c r="F96" s="80">
        <v>890</v>
      </c>
      <c r="G96" s="27">
        <v>50</v>
      </c>
      <c r="H96" s="80">
        <v>50</v>
      </c>
      <c r="I96" s="48" t="s">
        <v>270</v>
      </c>
      <c r="J96" s="73"/>
      <c r="K96" s="74"/>
      <c r="L96" s="74"/>
      <c r="M96" s="74"/>
      <c r="N96" s="605" t="s">
        <v>270</v>
      </c>
      <c r="O96" s="832" t="s">
        <v>368</v>
      </c>
      <c r="P96" s="832"/>
      <c r="Q96" s="832"/>
      <c r="R96" s="832"/>
      <c r="S96" s="832"/>
      <c r="T96" s="832"/>
      <c r="U96" s="832"/>
      <c r="V96" s="832"/>
      <c r="W96" s="832"/>
      <c r="X96" s="44">
        <v>20</v>
      </c>
      <c r="Y96" s="44" t="s">
        <v>270</v>
      </c>
      <c r="Z96" s="44" t="s">
        <v>270</v>
      </c>
      <c r="AA96" s="44"/>
      <c r="AB96" s="44"/>
      <c r="AC96" s="43"/>
      <c r="AD96" s="43"/>
    </row>
    <row r="97" spans="1:38" s="51" customFormat="1" ht="15.95" customHeight="1">
      <c r="A97" s="293" t="s">
        <v>536</v>
      </c>
      <c r="B97" s="50" t="s">
        <v>528</v>
      </c>
      <c r="C97" s="85">
        <v>46117</v>
      </c>
      <c r="D97" s="49" t="s">
        <v>537</v>
      </c>
      <c r="E97" s="27">
        <v>65</v>
      </c>
      <c r="F97" s="27">
        <v>890</v>
      </c>
      <c r="G97" s="27">
        <v>150</v>
      </c>
      <c r="H97" s="80">
        <v>180</v>
      </c>
      <c r="I97" s="279" t="s">
        <v>520</v>
      </c>
      <c r="J97" s="48"/>
      <c r="K97" s="47"/>
      <c r="L97" s="47"/>
      <c r="M97" s="47"/>
      <c r="N97" s="605">
        <v>700</v>
      </c>
      <c r="O97" s="604" t="s">
        <v>270</v>
      </c>
      <c r="P97" s="267">
        <v>4</v>
      </c>
      <c r="Q97" s="31">
        <v>0</v>
      </c>
      <c r="R97" s="45"/>
      <c r="S97" s="43">
        <v>10</v>
      </c>
      <c r="T97" s="272">
        <v>3</v>
      </c>
      <c r="U97" s="272">
        <v>10</v>
      </c>
      <c r="V97" s="44" t="s">
        <v>271</v>
      </c>
      <c r="W97" s="44">
        <v>5</v>
      </c>
      <c r="X97" s="44">
        <v>5</v>
      </c>
      <c r="Y97" s="44" t="s">
        <v>270</v>
      </c>
      <c r="Z97" s="44" t="s">
        <v>401</v>
      </c>
      <c r="AA97" s="44"/>
      <c r="AB97" s="44"/>
      <c r="AC97" s="43"/>
      <c r="AD97" s="43"/>
      <c r="AE97" s="222" t="s">
        <v>538</v>
      </c>
    </row>
    <row r="98" spans="1:38" s="51" customFormat="1" ht="15.95" customHeight="1">
      <c r="A98" s="293" t="s">
        <v>539</v>
      </c>
      <c r="B98" s="50" t="s">
        <v>536</v>
      </c>
      <c r="C98" s="85">
        <v>46117</v>
      </c>
      <c r="D98" s="49" t="s">
        <v>540</v>
      </c>
      <c r="E98" s="27">
        <v>65</v>
      </c>
      <c r="F98" s="27">
        <v>890</v>
      </c>
      <c r="G98" s="27">
        <v>150</v>
      </c>
      <c r="H98" s="80">
        <v>180</v>
      </c>
      <c r="I98" s="279" t="s">
        <v>520</v>
      </c>
      <c r="J98" s="48"/>
      <c r="K98" s="47"/>
      <c r="L98" s="47"/>
      <c r="M98" s="47"/>
      <c r="N98" s="605">
        <v>700</v>
      </c>
      <c r="O98" s="166" t="s">
        <v>368</v>
      </c>
      <c r="P98" s="267">
        <v>4</v>
      </c>
      <c r="Q98" s="31">
        <v>0</v>
      </c>
      <c r="R98" s="45"/>
      <c r="S98" s="43">
        <v>10</v>
      </c>
      <c r="T98" s="272">
        <v>3</v>
      </c>
      <c r="U98" s="272">
        <v>10</v>
      </c>
      <c r="V98" s="44" t="s">
        <v>271</v>
      </c>
      <c r="W98" s="44">
        <v>5</v>
      </c>
      <c r="X98" s="44">
        <v>5</v>
      </c>
      <c r="Y98" s="44" t="s">
        <v>270</v>
      </c>
      <c r="Z98" s="44" t="s">
        <v>401</v>
      </c>
      <c r="AA98" s="44"/>
      <c r="AB98" s="44"/>
      <c r="AC98" s="43"/>
      <c r="AD98" s="43"/>
      <c r="AE98" s="51" t="s">
        <v>541</v>
      </c>
    </row>
    <row r="99" spans="1:38" s="51" customFormat="1" ht="15.95" customHeight="1">
      <c r="A99" s="293" t="s">
        <v>542</v>
      </c>
      <c r="B99" s="50" t="s">
        <v>539</v>
      </c>
      <c r="C99" s="85">
        <v>46117</v>
      </c>
      <c r="D99" s="49" t="s">
        <v>516</v>
      </c>
      <c r="E99" s="27">
        <v>65</v>
      </c>
      <c r="F99" s="27">
        <v>890</v>
      </c>
      <c r="G99" s="27">
        <v>150</v>
      </c>
      <c r="H99" s="80">
        <v>180</v>
      </c>
      <c r="I99" s="279" t="s">
        <v>520</v>
      </c>
      <c r="J99" s="48"/>
      <c r="K99" s="47"/>
      <c r="L99" s="47"/>
      <c r="M99" s="47"/>
      <c r="N99" s="605">
        <v>700</v>
      </c>
      <c r="O99" s="166" t="s">
        <v>368</v>
      </c>
      <c r="P99" s="267">
        <v>4</v>
      </c>
      <c r="Q99" s="31">
        <v>0</v>
      </c>
      <c r="R99" s="45"/>
      <c r="S99" s="43">
        <v>10</v>
      </c>
      <c r="T99" s="272">
        <v>3</v>
      </c>
      <c r="U99" s="272">
        <v>10</v>
      </c>
      <c r="V99" s="44" t="s">
        <v>271</v>
      </c>
      <c r="W99" s="44">
        <v>5</v>
      </c>
      <c r="X99" s="44">
        <v>5</v>
      </c>
      <c r="Y99" s="44" t="s">
        <v>270</v>
      </c>
      <c r="Z99" s="44" t="s">
        <v>401</v>
      </c>
      <c r="AA99" s="44"/>
      <c r="AB99" s="44"/>
      <c r="AC99" s="43"/>
      <c r="AD99" s="43"/>
    </row>
    <row r="100" spans="1:38" s="51" customFormat="1" ht="15.95" customHeight="1">
      <c r="A100" s="50" t="s">
        <v>543</v>
      </c>
      <c r="B100" s="50"/>
      <c r="C100" s="85">
        <v>46117</v>
      </c>
      <c r="D100" s="49"/>
      <c r="E100" s="44"/>
      <c r="F100" s="44"/>
      <c r="G100" s="44"/>
      <c r="H100" s="44"/>
      <c r="I100" s="48"/>
      <c r="J100" s="48"/>
      <c r="K100" s="47"/>
      <c r="L100" s="47"/>
      <c r="M100" s="47"/>
      <c r="N100" s="93"/>
      <c r="O100" s="98"/>
      <c r="P100" s="46"/>
      <c r="Q100" s="45"/>
      <c r="R100" s="45"/>
      <c r="S100" s="43"/>
      <c r="T100" s="91"/>
      <c r="U100" s="91"/>
      <c r="V100" s="44"/>
      <c r="W100" s="44"/>
      <c r="X100" s="44"/>
      <c r="Y100" s="44"/>
      <c r="Z100" s="44"/>
      <c r="AA100" s="44"/>
      <c r="AB100" s="44"/>
      <c r="AC100" s="43"/>
      <c r="AD100" s="43"/>
    </row>
    <row r="101" spans="1:38" s="42" customFormat="1" ht="15.95" customHeight="1">
      <c r="A101" s="306" t="s">
        <v>544</v>
      </c>
      <c r="B101" s="50" t="s">
        <v>542</v>
      </c>
      <c r="C101" s="85">
        <v>46118</v>
      </c>
      <c r="D101" s="250" t="s">
        <v>467</v>
      </c>
      <c r="E101" s="27">
        <v>65</v>
      </c>
      <c r="F101" s="27">
        <v>890</v>
      </c>
      <c r="G101" s="27">
        <v>150</v>
      </c>
      <c r="H101" s="80">
        <v>180</v>
      </c>
      <c r="I101" s="279" t="s">
        <v>520</v>
      </c>
      <c r="J101" s="48"/>
      <c r="K101" s="47"/>
      <c r="L101" s="47"/>
      <c r="M101" s="47"/>
      <c r="N101" s="605">
        <v>700</v>
      </c>
      <c r="O101" s="175" t="s">
        <v>368</v>
      </c>
      <c r="P101" s="267">
        <v>4</v>
      </c>
      <c r="Q101" s="31">
        <v>0</v>
      </c>
      <c r="R101" s="45"/>
      <c r="S101" s="43">
        <v>10</v>
      </c>
      <c r="T101" s="272">
        <v>3</v>
      </c>
      <c r="U101" s="272">
        <v>10</v>
      </c>
      <c r="V101" s="44" t="s">
        <v>271</v>
      </c>
      <c r="W101" s="44">
        <v>5</v>
      </c>
      <c r="X101" s="44">
        <v>5</v>
      </c>
      <c r="Y101" s="44" t="s">
        <v>270</v>
      </c>
      <c r="Z101" s="44" t="s">
        <v>401</v>
      </c>
      <c r="AA101" s="44"/>
      <c r="AB101" s="44"/>
      <c r="AC101" s="43"/>
      <c r="AD101" s="43"/>
      <c r="AF101" s="41"/>
      <c r="AG101" s="41"/>
      <c r="AH101" s="41"/>
      <c r="AI101" s="41"/>
      <c r="AJ101" s="41"/>
      <c r="AK101" s="41"/>
      <c r="AL101" s="41"/>
    </row>
    <row r="102" spans="1:38" s="42" customFormat="1" ht="15.95" customHeight="1">
      <c r="A102" s="294" t="s">
        <v>545</v>
      </c>
      <c r="B102" s="50" t="s">
        <v>544</v>
      </c>
      <c r="C102" s="85">
        <v>46118</v>
      </c>
      <c r="D102" s="49" t="s">
        <v>546</v>
      </c>
      <c r="E102" s="27">
        <v>65</v>
      </c>
      <c r="F102" s="27">
        <v>890</v>
      </c>
      <c r="G102" s="27">
        <v>150</v>
      </c>
      <c r="H102" s="80">
        <v>180</v>
      </c>
      <c r="I102" s="279" t="s">
        <v>520</v>
      </c>
      <c r="J102" s="48"/>
      <c r="K102" s="47"/>
      <c r="L102" s="47"/>
      <c r="M102" s="47"/>
      <c r="N102" s="605">
        <v>700</v>
      </c>
      <c r="O102" s="166" t="s">
        <v>270</v>
      </c>
      <c r="P102" s="267">
        <v>4</v>
      </c>
      <c r="Q102" s="31">
        <v>0</v>
      </c>
      <c r="R102" s="45"/>
      <c r="S102" s="43">
        <v>10</v>
      </c>
      <c r="T102" s="272">
        <v>3</v>
      </c>
      <c r="U102" s="272">
        <v>10</v>
      </c>
      <c r="V102" s="44" t="s">
        <v>271</v>
      </c>
      <c r="W102" s="44">
        <v>5</v>
      </c>
      <c r="X102" s="44">
        <v>5</v>
      </c>
      <c r="Y102" s="44" t="s">
        <v>270</v>
      </c>
      <c r="Z102" s="44" t="s">
        <v>401</v>
      </c>
      <c r="AA102" s="44"/>
      <c r="AB102" s="44"/>
      <c r="AC102" s="43"/>
      <c r="AD102" s="43"/>
      <c r="AF102" s="41" t="s">
        <v>547</v>
      </c>
      <c r="AG102" s="41"/>
      <c r="AH102" s="41"/>
      <c r="AI102" s="41"/>
      <c r="AJ102" s="41"/>
      <c r="AK102" s="41"/>
      <c r="AL102" s="41"/>
    </row>
    <row r="103" spans="1:38" s="42" customFormat="1" ht="15.95" customHeight="1">
      <c r="A103" s="306" t="s">
        <v>548</v>
      </c>
      <c r="B103" s="50" t="s">
        <v>544</v>
      </c>
      <c r="C103" s="316">
        <v>46119</v>
      </c>
      <c r="D103" s="49" t="s">
        <v>549</v>
      </c>
      <c r="E103" s="27">
        <v>65</v>
      </c>
      <c r="F103" s="27">
        <v>890</v>
      </c>
      <c r="G103" s="27">
        <v>150</v>
      </c>
      <c r="H103" s="80">
        <v>180</v>
      </c>
      <c r="I103" s="279" t="s">
        <v>520</v>
      </c>
      <c r="J103" s="48"/>
      <c r="K103" s="47"/>
      <c r="L103" s="47"/>
      <c r="M103" s="47"/>
      <c r="N103" s="605">
        <v>700</v>
      </c>
      <c r="O103" s="166" t="s">
        <v>368</v>
      </c>
      <c r="P103" s="267">
        <v>4</v>
      </c>
      <c r="Q103" s="31">
        <v>0</v>
      </c>
      <c r="R103" s="45"/>
      <c r="S103" s="43">
        <v>10</v>
      </c>
      <c r="T103" s="272">
        <v>3</v>
      </c>
      <c r="U103" s="272">
        <v>10</v>
      </c>
      <c r="V103" s="44" t="s">
        <v>271</v>
      </c>
      <c r="W103" s="44">
        <v>5</v>
      </c>
      <c r="X103" s="44">
        <v>5</v>
      </c>
      <c r="Y103" s="44" t="s">
        <v>270</v>
      </c>
      <c r="Z103" s="44" t="s">
        <v>401</v>
      </c>
      <c r="AA103" s="44"/>
      <c r="AB103" s="44"/>
      <c r="AC103" s="43"/>
      <c r="AD103" s="43"/>
      <c r="AE103" s="42" t="s">
        <v>550</v>
      </c>
      <c r="AF103" s="41" t="s">
        <v>551</v>
      </c>
      <c r="AG103" s="41"/>
      <c r="AH103" s="41"/>
      <c r="AI103" s="41"/>
      <c r="AJ103" s="41"/>
      <c r="AK103" s="41"/>
      <c r="AL103" s="41"/>
    </row>
    <row r="104" spans="1:38" s="42" customFormat="1" ht="15.95" customHeight="1">
      <c r="A104" s="306" t="s">
        <v>552</v>
      </c>
      <c r="B104" s="50" t="s">
        <v>548</v>
      </c>
      <c r="C104" s="317">
        <v>46119</v>
      </c>
      <c r="D104" s="49" t="s">
        <v>553</v>
      </c>
      <c r="E104" s="27">
        <v>65</v>
      </c>
      <c r="F104" s="27">
        <v>890</v>
      </c>
      <c r="G104" s="27">
        <v>150</v>
      </c>
      <c r="H104" s="80">
        <v>180</v>
      </c>
      <c r="I104" s="279" t="s">
        <v>520</v>
      </c>
      <c r="J104" s="48"/>
      <c r="K104" s="47"/>
      <c r="L104" s="47"/>
      <c r="M104" s="47"/>
      <c r="N104" s="605">
        <v>700</v>
      </c>
      <c r="O104" s="604" t="s">
        <v>368</v>
      </c>
      <c r="P104" s="267">
        <v>4</v>
      </c>
      <c r="Q104" s="31">
        <v>0</v>
      </c>
      <c r="R104" s="45"/>
      <c r="S104" s="43">
        <v>10</v>
      </c>
      <c r="T104" s="272">
        <v>3</v>
      </c>
      <c r="U104" s="272">
        <v>10</v>
      </c>
      <c r="V104" s="44" t="s">
        <v>271</v>
      </c>
      <c r="W104" s="44">
        <v>5</v>
      </c>
      <c r="X104" s="44">
        <v>5</v>
      </c>
      <c r="Y104" s="44" t="s">
        <v>270</v>
      </c>
      <c r="Z104" s="44" t="s">
        <v>401</v>
      </c>
      <c r="AA104" s="44"/>
      <c r="AB104" s="44"/>
      <c r="AC104" s="43"/>
      <c r="AD104" s="43"/>
      <c r="AF104" s="41" t="s">
        <v>554</v>
      </c>
      <c r="AG104" s="41"/>
      <c r="AH104" s="41"/>
      <c r="AI104" s="41"/>
      <c r="AJ104" s="41"/>
      <c r="AK104" s="41"/>
      <c r="AL104" s="41"/>
    </row>
    <row r="105" spans="1:38" s="42" customFormat="1" ht="15.95" customHeight="1">
      <c r="A105" s="306" t="s">
        <v>555</v>
      </c>
      <c r="B105" s="50" t="s">
        <v>548</v>
      </c>
      <c r="C105" s="317">
        <v>46119</v>
      </c>
      <c r="D105" s="315" t="s">
        <v>556</v>
      </c>
      <c r="E105" s="27">
        <v>65</v>
      </c>
      <c r="F105" s="27">
        <v>890</v>
      </c>
      <c r="G105" s="27">
        <v>150</v>
      </c>
      <c r="H105" s="80">
        <v>180</v>
      </c>
      <c r="I105" s="279" t="s">
        <v>520</v>
      </c>
      <c r="J105" s="48"/>
      <c r="K105" s="47"/>
      <c r="L105" s="47"/>
      <c r="M105" s="47"/>
      <c r="N105" s="170">
        <v>650</v>
      </c>
      <c r="O105" s="604" t="s">
        <v>368</v>
      </c>
      <c r="P105" s="267">
        <v>4</v>
      </c>
      <c r="Q105" s="31">
        <v>0</v>
      </c>
      <c r="R105" s="45"/>
      <c r="S105" s="43">
        <v>10</v>
      </c>
      <c r="T105" s="272">
        <v>3</v>
      </c>
      <c r="U105" s="272">
        <v>10</v>
      </c>
      <c r="V105" s="44" t="s">
        <v>271</v>
      </c>
      <c r="W105" s="44">
        <v>5</v>
      </c>
      <c r="X105" s="44">
        <v>5</v>
      </c>
      <c r="Y105" s="44" t="s">
        <v>270</v>
      </c>
      <c r="Z105" s="44" t="s">
        <v>401</v>
      </c>
      <c r="AA105" s="44"/>
      <c r="AB105" s="44"/>
      <c r="AC105" s="43"/>
      <c r="AD105" s="43"/>
      <c r="AE105" s="42" t="s">
        <v>557</v>
      </c>
      <c r="AF105" s="41" t="s">
        <v>558</v>
      </c>
      <c r="AG105" s="41"/>
      <c r="AH105" s="41"/>
      <c r="AI105" s="41"/>
      <c r="AJ105" s="41"/>
      <c r="AK105" s="41"/>
      <c r="AL105" s="41"/>
    </row>
    <row r="106" spans="1:38" s="42" customFormat="1" ht="15.95" customHeight="1">
      <c r="A106" s="306" t="s">
        <v>559</v>
      </c>
      <c r="B106" s="50" t="s">
        <v>555</v>
      </c>
      <c r="C106" s="317">
        <v>46119</v>
      </c>
      <c r="D106" s="42" t="s">
        <v>560</v>
      </c>
      <c r="E106" s="27">
        <v>65</v>
      </c>
      <c r="F106" s="27">
        <v>890</v>
      </c>
      <c r="G106" s="27">
        <v>150</v>
      </c>
      <c r="H106" s="80">
        <v>180</v>
      </c>
      <c r="I106" s="279" t="s">
        <v>520</v>
      </c>
      <c r="J106" s="48"/>
      <c r="K106" s="47"/>
      <c r="L106" s="47"/>
      <c r="M106" s="47"/>
      <c r="N106" s="605">
        <v>650</v>
      </c>
      <c r="O106" s="604" t="s">
        <v>368</v>
      </c>
      <c r="P106" s="267">
        <v>4</v>
      </c>
      <c r="Q106" s="31">
        <v>0</v>
      </c>
      <c r="R106" s="45"/>
      <c r="S106" s="43">
        <v>10</v>
      </c>
      <c r="T106" s="272">
        <v>3</v>
      </c>
      <c r="U106" s="272">
        <v>10</v>
      </c>
      <c r="V106" s="44" t="s">
        <v>271</v>
      </c>
      <c r="W106" s="44">
        <v>5</v>
      </c>
      <c r="X106" s="44">
        <v>5</v>
      </c>
      <c r="Y106" s="44" t="s">
        <v>270</v>
      </c>
      <c r="Z106" s="44" t="s">
        <v>401</v>
      </c>
      <c r="AA106" s="44"/>
      <c r="AB106" s="44"/>
      <c r="AC106" s="43"/>
      <c r="AD106" s="43"/>
      <c r="AF106" s="41"/>
      <c r="AG106" s="41"/>
      <c r="AH106" s="41"/>
      <c r="AI106" s="41"/>
      <c r="AJ106" s="41"/>
      <c r="AK106" s="41"/>
      <c r="AL106" s="41"/>
    </row>
    <row r="107" spans="1:38" s="42" customFormat="1" ht="15.95" customHeight="1">
      <c r="A107" s="295" t="s">
        <v>561</v>
      </c>
      <c r="B107" s="50" t="s">
        <v>555</v>
      </c>
      <c r="C107" s="316">
        <v>46120</v>
      </c>
      <c r="D107" s="315" t="s">
        <v>562</v>
      </c>
      <c r="E107" s="27">
        <v>65</v>
      </c>
      <c r="F107" s="27">
        <v>890</v>
      </c>
      <c r="G107" s="27">
        <v>150</v>
      </c>
      <c r="H107" s="80">
        <v>180</v>
      </c>
      <c r="I107" s="279" t="s">
        <v>520</v>
      </c>
      <c r="J107" s="48"/>
      <c r="K107" s="47"/>
      <c r="L107" s="47"/>
      <c r="M107" s="47"/>
      <c r="N107" s="171">
        <v>650</v>
      </c>
      <c r="O107" s="604" t="s">
        <v>368</v>
      </c>
      <c r="P107" s="267">
        <v>4</v>
      </c>
      <c r="Q107" s="31">
        <v>0</v>
      </c>
      <c r="R107" s="45"/>
      <c r="S107" s="43">
        <v>10</v>
      </c>
      <c r="T107" s="272">
        <v>3</v>
      </c>
      <c r="U107" s="95">
        <v>3</v>
      </c>
      <c r="V107" s="44" t="s">
        <v>271</v>
      </c>
      <c r="W107" s="44">
        <v>5</v>
      </c>
      <c r="X107" s="44">
        <v>5</v>
      </c>
      <c r="Y107" s="44" t="s">
        <v>270</v>
      </c>
      <c r="Z107" s="44" t="s">
        <v>401</v>
      </c>
      <c r="AA107" s="44"/>
      <c r="AB107" s="44"/>
      <c r="AC107" s="43"/>
      <c r="AD107" s="43"/>
      <c r="AF107" s="41" t="s">
        <v>563</v>
      </c>
      <c r="AG107" s="41"/>
      <c r="AH107" s="41"/>
      <c r="AI107" s="41"/>
      <c r="AJ107" s="41"/>
      <c r="AK107" s="41"/>
      <c r="AL107" s="41"/>
    </row>
    <row r="108" spans="1:38" s="42" customFormat="1" ht="15.95" customHeight="1">
      <c r="A108" s="306" t="s">
        <v>564</v>
      </c>
      <c r="B108" s="50" t="s">
        <v>555</v>
      </c>
      <c r="C108" s="317">
        <v>46120</v>
      </c>
      <c r="D108" s="315" t="s">
        <v>565</v>
      </c>
      <c r="E108" s="78">
        <v>10</v>
      </c>
      <c r="F108" s="27">
        <v>890</v>
      </c>
      <c r="G108" s="27">
        <v>150</v>
      </c>
      <c r="H108" s="80">
        <v>180</v>
      </c>
      <c r="I108" s="279" t="s">
        <v>520</v>
      </c>
      <c r="J108" s="48"/>
      <c r="K108" s="47"/>
      <c r="L108" s="47"/>
      <c r="M108" s="47"/>
      <c r="N108" s="171">
        <v>650</v>
      </c>
      <c r="O108" s="604" t="s">
        <v>368</v>
      </c>
      <c r="P108" s="267">
        <v>4</v>
      </c>
      <c r="Q108" s="31">
        <v>0</v>
      </c>
      <c r="R108" s="45"/>
      <c r="S108" s="43">
        <v>10</v>
      </c>
      <c r="T108" s="272">
        <v>3</v>
      </c>
      <c r="U108" s="325">
        <v>10</v>
      </c>
      <c r="V108" s="44" t="s">
        <v>271</v>
      </c>
      <c r="W108" s="44">
        <v>5</v>
      </c>
      <c r="X108" s="44">
        <v>5</v>
      </c>
      <c r="Y108" s="44" t="s">
        <v>270</v>
      </c>
      <c r="Z108" s="44" t="s">
        <v>401</v>
      </c>
      <c r="AA108" s="44"/>
      <c r="AB108" s="44"/>
      <c r="AC108" s="43"/>
      <c r="AD108" s="43"/>
      <c r="AF108" s="41" t="s">
        <v>566</v>
      </c>
      <c r="AG108" s="41"/>
      <c r="AH108" s="41"/>
      <c r="AI108" s="41"/>
      <c r="AJ108" s="41"/>
      <c r="AK108" s="41"/>
      <c r="AL108" s="41"/>
    </row>
    <row r="109" spans="1:38" s="50" customFormat="1" ht="15.95" customHeight="1">
      <c r="A109" s="306" t="s">
        <v>567</v>
      </c>
      <c r="B109" s="50" t="s">
        <v>555</v>
      </c>
      <c r="C109" s="317">
        <v>46120</v>
      </c>
      <c r="D109" s="326" t="s">
        <v>568</v>
      </c>
      <c r="E109" s="27">
        <v>65</v>
      </c>
      <c r="F109" s="27">
        <v>890</v>
      </c>
      <c r="G109" s="27">
        <v>150</v>
      </c>
      <c r="H109" s="80">
        <v>180</v>
      </c>
      <c r="I109" s="279" t="s">
        <v>520</v>
      </c>
      <c r="J109" s="48"/>
      <c r="K109" s="47"/>
      <c r="L109" s="47"/>
      <c r="M109" s="47"/>
      <c r="N109" s="171">
        <v>650</v>
      </c>
      <c r="O109" s="604" t="s">
        <v>368</v>
      </c>
      <c r="P109" s="267">
        <v>4</v>
      </c>
      <c r="Q109" s="31">
        <v>0</v>
      </c>
      <c r="R109" s="45"/>
      <c r="S109" s="43">
        <v>10</v>
      </c>
      <c r="T109" s="272">
        <v>3</v>
      </c>
      <c r="U109" s="272">
        <v>10</v>
      </c>
      <c r="V109" s="44" t="s">
        <v>271</v>
      </c>
      <c r="W109" s="44">
        <v>5</v>
      </c>
      <c r="X109" s="44">
        <v>10</v>
      </c>
      <c r="Y109" s="44" t="s">
        <v>270</v>
      </c>
      <c r="Z109" s="44" t="s">
        <v>401</v>
      </c>
      <c r="AA109" s="44"/>
      <c r="AB109" s="44"/>
      <c r="AC109" s="43"/>
      <c r="AD109" s="43"/>
      <c r="AE109" s="42" t="s">
        <v>569</v>
      </c>
      <c r="AF109" s="41" t="s">
        <v>570</v>
      </c>
      <c r="AG109" s="41"/>
      <c r="AH109" s="41"/>
      <c r="AI109" s="41"/>
      <c r="AJ109" s="41"/>
      <c r="AK109" s="41"/>
      <c r="AL109" s="41"/>
    </row>
    <row r="110" spans="1:38" s="50" customFormat="1" ht="15.95" customHeight="1">
      <c r="A110" s="295" t="s">
        <v>571</v>
      </c>
      <c r="B110" s="50" t="s">
        <v>555</v>
      </c>
      <c r="C110" s="316">
        <v>46121</v>
      </c>
      <c r="D110" s="326" t="s">
        <v>572</v>
      </c>
      <c r="E110" s="27">
        <v>65</v>
      </c>
      <c r="F110" s="27">
        <v>890</v>
      </c>
      <c r="G110" s="27">
        <v>150</v>
      </c>
      <c r="H110" s="80">
        <v>180</v>
      </c>
      <c r="I110" s="279" t="s">
        <v>520</v>
      </c>
      <c r="J110" s="48"/>
      <c r="K110" s="47"/>
      <c r="L110" s="47"/>
      <c r="M110" s="47"/>
      <c r="N110" s="171">
        <v>650</v>
      </c>
      <c r="O110" s="604" t="s">
        <v>368</v>
      </c>
      <c r="P110" s="327">
        <v>2</v>
      </c>
      <c r="Q110" s="31">
        <v>0</v>
      </c>
      <c r="R110" s="45"/>
      <c r="S110" s="43">
        <v>10</v>
      </c>
      <c r="T110" s="272">
        <v>3</v>
      </c>
      <c r="U110" s="272">
        <v>10</v>
      </c>
      <c r="V110" s="44" t="s">
        <v>271</v>
      </c>
      <c r="W110" s="44">
        <v>5</v>
      </c>
      <c r="X110" s="44">
        <v>5</v>
      </c>
      <c r="Y110" s="44" t="s">
        <v>270</v>
      </c>
      <c r="Z110" s="44" t="s">
        <v>401</v>
      </c>
      <c r="AA110" s="44"/>
      <c r="AB110" s="44"/>
      <c r="AC110" s="43"/>
      <c r="AD110" s="43"/>
      <c r="AE110" s="42" t="s">
        <v>573</v>
      </c>
      <c r="AF110" s="41" t="s">
        <v>574</v>
      </c>
      <c r="AG110" s="41"/>
      <c r="AH110" s="41"/>
      <c r="AI110" s="41"/>
      <c r="AJ110" s="41"/>
      <c r="AK110" s="41"/>
      <c r="AL110" s="41"/>
    </row>
    <row r="111" spans="1:38" s="50" customFormat="1" ht="15.95" customHeight="1">
      <c r="A111" s="306" t="s">
        <v>575</v>
      </c>
      <c r="B111" s="50" t="s">
        <v>567</v>
      </c>
      <c r="C111" s="317">
        <v>46121</v>
      </c>
      <c r="D111" s="314" t="s">
        <v>576</v>
      </c>
      <c r="E111" s="27">
        <v>65</v>
      </c>
      <c r="F111" s="27">
        <v>890</v>
      </c>
      <c r="G111" s="27">
        <v>150</v>
      </c>
      <c r="H111" s="80">
        <v>180</v>
      </c>
      <c r="I111" s="279" t="s">
        <v>520</v>
      </c>
      <c r="J111" s="48"/>
      <c r="K111" s="47"/>
      <c r="L111" s="47"/>
      <c r="M111" s="47"/>
      <c r="N111" s="171">
        <v>650</v>
      </c>
      <c r="O111" s="604" t="s">
        <v>368</v>
      </c>
      <c r="P111" s="267">
        <v>4</v>
      </c>
      <c r="Q111" s="31">
        <v>0</v>
      </c>
      <c r="R111" s="45"/>
      <c r="S111" s="43">
        <v>10</v>
      </c>
      <c r="T111" s="272">
        <v>3</v>
      </c>
      <c r="U111" s="272">
        <v>10</v>
      </c>
      <c r="V111" s="44" t="s">
        <v>271</v>
      </c>
      <c r="W111" s="44">
        <v>5</v>
      </c>
      <c r="X111" s="44">
        <v>5</v>
      </c>
      <c r="Y111" s="44" t="s">
        <v>270</v>
      </c>
      <c r="Z111" s="44" t="s">
        <v>401</v>
      </c>
      <c r="AA111" s="44"/>
      <c r="AB111" s="44"/>
      <c r="AC111" s="43"/>
      <c r="AD111" s="43"/>
      <c r="AE111" s="42" t="s">
        <v>569</v>
      </c>
      <c r="AF111" s="41"/>
      <c r="AG111" s="41"/>
      <c r="AH111" s="41"/>
      <c r="AI111" s="41"/>
      <c r="AJ111" s="41"/>
      <c r="AK111" s="41"/>
      <c r="AL111" s="41"/>
    </row>
    <row r="112" spans="1:38" s="50" customFormat="1" ht="15.95" customHeight="1">
      <c r="A112" s="306" t="s">
        <v>577</v>
      </c>
      <c r="B112" s="50" t="s">
        <v>567</v>
      </c>
      <c r="C112" s="317">
        <v>46121</v>
      </c>
      <c r="D112" s="315" t="s">
        <v>578</v>
      </c>
      <c r="E112" s="27">
        <v>65</v>
      </c>
      <c r="F112" s="27">
        <v>890</v>
      </c>
      <c r="G112" s="27">
        <v>150</v>
      </c>
      <c r="H112" s="80">
        <v>180</v>
      </c>
      <c r="I112" s="279" t="s">
        <v>520</v>
      </c>
      <c r="J112" s="48"/>
      <c r="K112" s="47"/>
      <c r="L112" s="47"/>
      <c r="M112" s="47"/>
      <c r="N112" s="171">
        <v>650</v>
      </c>
      <c r="O112" s="604" t="s">
        <v>368</v>
      </c>
      <c r="P112" s="267">
        <v>4</v>
      </c>
      <c r="Q112" s="31">
        <v>0</v>
      </c>
      <c r="R112" s="45"/>
      <c r="S112" s="43">
        <v>10</v>
      </c>
      <c r="T112" s="272">
        <v>3</v>
      </c>
      <c r="U112" s="272">
        <v>10</v>
      </c>
      <c r="V112" s="44" t="s">
        <v>271</v>
      </c>
      <c r="W112" s="44">
        <v>5</v>
      </c>
      <c r="X112" s="44">
        <v>5</v>
      </c>
      <c r="Y112" s="44" t="s">
        <v>270</v>
      </c>
      <c r="Z112" s="44" t="s">
        <v>401</v>
      </c>
      <c r="AA112" s="44"/>
      <c r="AB112" s="44"/>
      <c r="AC112" s="43"/>
      <c r="AD112" s="43"/>
      <c r="AE112" s="42" t="s">
        <v>579</v>
      </c>
      <c r="AF112" s="41"/>
      <c r="AG112" s="41"/>
      <c r="AH112" s="41"/>
      <c r="AI112" s="41"/>
      <c r="AJ112" s="41"/>
      <c r="AK112" s="41"/>
      <c r="AL112" s="41"/>
    </row>
    <row r="113" spans="1:38" s="50" customFormat="1" ht="15.95" customHeight="1">
      <c r="A113" s="295" t="s">
        <v>580</v>
      </c>
      <c r="B113" s="50" t="s">
        <v>567</v>
      </c>
      <c r="C113" s="318">
        <v>46121</v>
      </c>
      <c r="D113" s="315" t="s">
        <v>581</v>
      </c>
      <c r="E113" s="27">
        <v>65</v>
      </c>
      <c r="F113" s="27">
        <v>890</v>
      </c>
      <c r="G113" s="27">
        <v>150</v>
      </c>
      <c r="H113" s="80">
        <v>180</v>
      </c>
      <c r="I113" s="279" t="s">
        <v>520</v>
      </c>
      <c r="J113" s="48"/>
      <c r="K113" s="47"/>
      <c r="L113" s="47"/>
      <c r="M113" s="47"/>
      <c r="N113" s="171">
        <v>650</v>
      </c>
      <c r="O113" s="604" t="s">
        <v>368</v>
      </c>
      <c r="P113" s="267">
        <v>4</v>
      </c>
      <c r="Q113" s="31">
        <v>0</v>
      </c>
      <c r="R113" s="45"/>
      <c r="S113" s="43">
        <v>10</v>
      </c>
      <c r="T113" s="272">
        <v>3</v>
      </c>
      <c r="U113" s="272">
        <v>10</v>
      </c>
      <c r="V113" s="44" t="s">
        <v>271</v>
      </c>
      <c r="W113" s="44">
        <v>5</v>
      </c>
      <c r="X113" s="44">
        <v>5</v>
      </c>
      <c r="Y113" s="44" t="s">
        <v>270</v>
      </c>
      <c r="Z113" s="44" t="s">
        <v>401</v>
      </c>
      <c r="AA113" s="44"/>
      <c r="AB113" s="44"/>
      <c r="AC113" s="43"/>
      <c r="AD113" s="43"/>
      <c r="AE113" s="42"/>
      <c r="AF113" s="41"/>
      <c r="AG113" s="41"/>
      <c r="AH113" s="41"/>
      <c r="AI113" s="41"/>
      <c r="AJ113" s="41"/>
      <c r="AK113" s="41"/>
      <c r="AL113" s="41"/>
    </row>
    <row r="114" spans="1:38" s="50" customFormat="1" ht="15.95" customHeight="1">
      <c r="A114" s="294" t="s">
        <v>582</v>
      </c>
      <c r="B114" s="50" t="s">
        <v>567</v>
      </c>
      <c r="C114" s="331">
        <v>46122</v>
      </c>
      <c r="D114" s="315" t="s">
        <v>583</v>
      </c>
      <c r="E114" s="27">
        <v>65</v>
      </c>
      <c r="F114" s="27">
        <v>890</v>
      </c>
      <c r="G114" s="27">
        <v>150</v>
      </c>
      <c r="H114" s="80">
        <v>180</v>
      </c>
      <c r="I114" s="279" t="s">
        <v>520</v>
      </c>
      <c r="J114" s="48"/>
      <c r="K114" s="47"/>
      <c r="L114" s="47"/>
      <c r="M114" s="47"/>
      <c r="N114" s="171">
        <v>650</v>
      </c>
      <c r="O114" s="604" t="s">
        <v>368</v>
      </c>
      <c r="P114" s="267">
        <v>4</v>
      </c>
      <c r="Q114" s="31">
        <v>0</v>
      </c>
      <c r="R114" s="45"/>
      <c r="S114" s="43">
        <v>10</v>
      </c>
      <c r="T114" s="272">
        <v>3</v>
      </c>
      <c r="U114" s="272">
        <v>10</v>
      </c>
      <c r="V114" s="44" t="s">
        <v>271</v>
      </c>
      <c r="W114" s="44">
        <v>5</v>
      </c>
      <c r="X114" s="77">
        <v>10</v>
      </c>
      <c r="Y114" s="44" t="s">
        <v>270</v>
      </c>
      <c r="Z114" s="44" t="s">
        <v>401</v>
      </c>
      <c r="AA114" s="44"/>
      <c r="AB114" s="44"/>
      <c r="AC114" s="43"/>
      <c r="AD114" s="43"/>
      <c r="AE114" s="42"/>
      <c r="AF114" s="41" t="s">
        <v>584</v>
      </c>
      <c r="AG114" s="41"/>
      <c r="AH114" s="41"/>
      <c r="AI114" s="41"/>
      <c r="AJ114" s="41"/>
      <c r="AK114" s="41"/>
      <c r="AL114" s="41"/>
    </row>
    <row r="115" spans="1:38" s="50" customFormat="1" ht="15.95" customHeight="1">
      <c r="A115" s="306" t="s">
        <v>585</v>
      </c>
      <c r="B115" s="50" t="s">
        <v>582</v>
      </c>
      <c r="C115" s="316">
        <v>46123</v>
      </c>
      <c r="D115" s="314" t="s">
        <v>586</v>
      </c>
      <c r="E115" s="77">
        <v>90</v>
      </c>
      <c r="F115" s="27">
        <v>890</v>
      </c>
      <c r="G115" s="27">
        <v>150</v>
      </c>
      <c r="H115" s="80">
        <v>180</v>
      </c>
      <c r="I115" s="279" t="s">
        <v>520</v>
      </c>
      <c r="J115" s="48" t="s">
        <v>270</v>
      </c>
      <c r="K115" s="47"/>
      <c r="L115" s="47"/>
      <c r="M115" s="47"/>
      <c r="N115" s="171">
        <v>650</v>
      </c>
      <c r="O115" s="604" t="s">
        <v>368</v>
      </c>
      <c r="P115" s="267">
        <v>4</v>
      </c>
      <c r="Q115" s="31">
        <v>0</v>
      </c>
      <c r="R115" s="45" t="s">
        <v>270</v>
      </c>
      <c r="S115" s="43">
        <v>10</v>
      </c>
      <c r="T115" s="272">
        <v>3</v>
      </c>
      <c r="U115" s="272">
        <v>10</v>
      </c>
      <c r="V115" s="44" t="s">
        <v>271</v>
      </c>
      <c r="W115" s="44">
        <v>5</v>
      </c>
      <c r="X115" s="44">
        <v>10</v>
      </c>
      <c r="Y115" s="44" t="s">
        <v>270</v>
      </c>
      <c r="Z115" s="44" t="s">
        <v>401</v>
      </c>
      <c r="AA115" s="44"/>
      <c r="AB115" s="44"/>
      <c r="AC115" s="43"/>
      <c r="AD115" s="43"/>
      <c r="AE115" s="42"/>
      <c r="AF115" s="41" t="s">
        <v>587</v>
      </c>
      <c r="AG115" s="41" t="s">
        <v>588</v>
      </c>
      <c r="AH115" s="41"/>
      <c r="AI115" s="41"/>
      <c r="AJ115" s="41"/>
      <c r="AK115" s="41"/>
      <c r="AL115" s="41"/>
    </row>
    <row r="116" spans="1:38" s="50" customFormat="1" ht="15.95" customHeight="1">
      <c r="A116" s="306" t="s">
        <v>589</v>
      </c>
      <c r="B116" s="50" t="s">
        <v>585</v>
      </c>
      <c r="C116" s="316">
        <v>46124</v>
      </c>
      <c r="D116" s="315" t="s">
        <v>590</v>
      </c>
      <c r="E116" s="44">
        <v>90</v>
      </c>
      <c r="F116" s="27">
        <v>890</v>
      </c>
      <c r="G116" s="27">
        <v>150</v>
      </c>
      <c r="H116" s="80">
        <v>180</v>
      </c>
      <c r="I116" s="279" t="s">
        <v>520</v>
      </c>
      <c r="J116" s="48" t="s">
        <v>270</v>
      </c>
      <c r="K116" s="47"/>
      <c r="L116" s="47"/>
      <c r="M116" s="47"/>
      <c r="N116" s="171">
        <v>650</v>
      </c>
      <c r="O116" s="604" t="s">
        <v>368</v>
      </c>
      <c r="P116" s="267">
        <v>4</v>
      </c>
      <c r="Q116" s="31">
        <v>0</v>
      </c>
      <c r="R116" s="45" t="s">
        <v>270</v>
      </c>
      <c r="S116" s="43">
        <v>10</v>
      </c>
      <c r="T116" s="272">
        <v>3</v>
      </c>
      <c r="U116" s="272">
        <v>10</v>
      </c>
      <c r="V116" s="44" t="s">
        <v>271</v>
      </c>
      <c r="W116" s="44">
        <v>5</v>
      </c>
      <c r="X116" s="44">
        <v>10</v>
      </c>
      <c r="Y116" s="44" t="s">
        <v>270</v>
      </c>
      <c r="Z116" s="44" t="s">
        <v>401</v>
      </c>
      <c r="AA116" s="44"/>
      <c r="AB116" s="44"/>
      <c r="AC116" s="43"/>
      <c r="AD116" s="43"/>
      <c r="AE116" s="42"/>
      <c r="AF116" s="41" t="s">
        <v>587</v>
      </c>
      <c r="AG116" s="41" t="s">
        <v>591</v>
      </c>
      <c r="AH116" s="41"/>
      <c r="AI116" s="41"/>
      <c r="AJ116" s="41"/>
      <c r="AK116" s="41"/>
      <c r="AL116" s="41"/>
    </row>
    <row r="117" spans="1:38" s="50" customFormat="1" ht="15.95" customHeight="1">
      <c r="A117" s="306" t="s">
        <v>592</v>
      </c>
      <c r="B117" s="50" t="s">
        <v>589</v>
      </c>
      <c r="C117" s="317">
        <v>46124</v>
      </c>
      <c r="D117" s="315" t="s">
        <v>593</v>
      </c>
      <c r="E117" s="77">
        <v>40</v>
      </c>
      <c r="F117" s="27">
        <v>890</v>
      </c>
      <c r="G117" s="27">
        <v>150</v>
      </c>
      <c r="H117" s="80">
        <v>180</v>
      </c>
      <c r="I117" s="279" t="s">
        <v>520</v>
      </c>
      <c r="J117" s="48" t="s">
        <v>270</v>
      </c>
      <c r="K117" s="47"/>
      <c r="L117" s="47"/>
      <c r="M117" s="47"/>
      <c r="N117" s="171">
        <v>650</v>
      </c>
      <c r="O117" s="604" t="s">
        <v>368</v>
      </c>
      <c r="P117" s="267">
        <v>4</v>
      </c>
      <c r="Q117" s="31">
        <v>0</v>
      </c>
      <c r="R117" s="45" t="s">
        <v>270</v>
      </c>
      <c r="S117" s="43">
        <v>10</v>
      </c>
      <c r="T117" s="272">
        <v>3</v>
      </c>
      <c r="U117" s="272">
        <v>10</v>
      </c>
      <c r="V117" s="44" t="s">
        <v>271</v>
      </c>
      <c r="W117" s="44">
        <v>5</v>
      </c>
      <c r="X117" s="44">
        <v>10</v>
      </c>
      <c r="Y117" s="44" t="s">
        <v>270</v>
      </c>
      <c r="Z117" s="44" t="s">
        <v>401</v>
      </c>
      <c r="AA117" s="44"/>
      <c r="AB117" s="44"/>
      <c r="AC117" s="43"/>
      <c r="AD117" s="43"/>
      <c r="AE117" s="42"/>
      <c r="AF117" s="50" t="s">
        <v>594</v>
      </c>
      <c r="AG117" s="50" t="s">
        <v>595</v>
      </c>
      <c r="AH117" s="41"/>
      <c r="AI117" s="41"/>
      <c r="AJ117" s="41"/>
      <c r="AK117" s="41"/>
      <c r="AL117" s="41"/>
    </row>
    <row r="118" spans="1:38" s="50" customFormat="1" ht="15.95" customHeight="1">
      <c r="A118" s="50" t="s">
        <v>596</v>
      </c>
      <c r="B118" s="50" t="s">
        <v>589</v>
      </c>
      <c r="C118" s="317">
        <v>46124</v>
      </c>
      <c r="D118" s="314" t="s">
        <v>597</v>
      </c>
      <c r="E118" s="77">
        <v>110</v>
      </c>
      <c r="F118" s="27">
        <v>890</v>
      </c>
      <c r="G118" s="27">
        <v>150</v>
      </c>
      <c r="H118" s="80">
        <v>180</v>
      </c>
      <c r="I118" s="279" t="s">
        <v>520</v>
      </c>
      <c r="J118" s="48" t="s">
        <v>270</v>
      </c>
      <c r="K118" s="47"/>
      <c r="L118" s="47"/>
      <c r="M118" s="47"/>
      <c r="N118" s="171">
        <v>650</v>
      </c>
      <c r="O118" s="604" t="s">
        <v>368</v>
      </c>
      <c r="P118" s="267">
        <v>4</v>
      </c>
      <c r="Q118" s="31">
        <v>0</v>
      </c>
      <c r="R118" s="45" t="s">
        <v>270</v>
      </c>
      <c r="S118" s="43">
        <v>10</v>
      </c>
      <c r="T118" s="272">
        <v>3</v>
      </c>
      <c r="U118" s="272">
        <v>10</v>
      </c>
      <c r="V118" s="44" t="s">
        <v>271</v>
      </c>
      <c r="W118" s="44">
        <v>5</v>
      </c>
      <c r="X118" s="44">
        <v>10</v>
      </c>
      <c r="Y118" s="44" t="s">
        <v>270</v>
      </c>
      <c r="Z118" s="44" t="s">
        <v>401</v>
      </c>
      <c r="AA118" s="44"/>
      <c r="AB118" s="44"/>
      <c r="AC118" s="43"/>
      <c r="AD118" s="43"/>
      <c r="AE118" s="42"/>
      <c r="AG118" s="41"/>
      <c r="AH118" s="41"/>
      <c r="AI118" s="41"/>
      <c r="AJ118" s="41"/>
      <c r="AK118" s="41"/>
      <c r="AL118" s="41"/>
    </row>
    <row r="119" spans="1:38" s="50" customFormat="1" ht="15.95" customHeight="1">
      <c r="A119" s="50" t="s">
        <v>598</v>
      </c>
      <c r="B119" s="50" t="s">
        <v>589</v>
      </c>
      <c r="C119" s="331">
        <v>46129</v>
      </c>
      <c r="D119" s="315" t="s">
        <v>599</v>
      </c>
      <c r="E119" s="77">
        <v>90</v>
      </c>
      <c r="F119" s="27">
        <v>890</v>
      </c>
      <c r="G119" s="27">
        <v>150</v>
      </c>
      <c r="H119" s="80">
        <v>180</v>
      </c>
      <c r="I119" s="279" t="s">
        <v>520</v>
      </c>
      <c r="J119" s="48" t="s">
        <v>270</v>
      </c>
      <c r="K119" s="47"/>
      <c r="L119" s="47"/>
      <c r="M119" s="47"/>
      <c r="N119" s="171">
        <v>650</v>
      </c>
      <c r="O119" s="604" t="s">
        <v>368</v>
      </c>
      <c r="P119" s="267">
        <v>4</v>
      </c>
      <c r="Q119" s="31">
        <v>0</v>
      </c>
      <c r="R119" s="45" t="s">
        <v>270</v>
      </c>
      <c r="S119" s="43">
        <v>10</v>
      </c>
      <c r="T119" s="272">
        <v>3</v>
      </c>
      <c r="U119" s="272">
        <v>10</v>
      </c>
      <c r="V119" s="44" t="s">
        <v>271</v>
      </c>
      <c r="W119" s="44">
        <v>5</v>
      </c>
      <c r="X119" s="44">
        <v>10</v>
      </c>
      <c r="Y119" s="44" t="s">
        <v>270</v>
      </c>
      <c r="Z119" s="44" t="s">
        <v>401</v>
      </c>
      <c r="AA119" s="44"/>
      <c r="AB119" s="44"/>
      <c r="AC119" s="43"/>
      <c r="AD119" s="43"/>
      <c r="AE119" s="42" t="s">
        <v>600</v>
      </c>
      <c r="AF119" s="50" t="s">
        <v>601</v>
      </c>
      <c r="AG119" s="41"/>
      <c r="AH119" s="41"/>
      <c r="AI119" s="41"/>
      <c r="AJ119" s="41"/>
      <c r="AK119" s="41"/>
      <c r="AL119" s="41"/>
    </row>
    <row r="120" spans="1:38" s="50" customFormat="1" ht="15.95" customHeight="1">
      <c r="C120" s="85"/>
      <c r="D120" s="314" t="s">
        <v>602</v>
      </c>
      <c r="E120" s="44"/>
      <c r="F120" s="44"/>
      <c r="G120" s="44"/>
      <c r="H120" s="44"/>
      <c r="I120" s="48"/>
      <c r="J120" s="48" t="s">
        <v>270</v>
      </c>
      <c r="K120" s="47"/>
      <c r="L120" s="47"/>
      <c r="M120" s="47"/>
      <c r="N120" s="605"/>
      <c r="O120" s="604"/>
      <c r="P120" s="46"/>
      <c r="Q120" s="45"/>
      <c r="R120" s="45" t="s">
        <v>270</v>
      </c>
      <c r="S120" s="43"/>
      <c r="T120" s="91"/>
      <c r="U120" s="91"/>
      <c r="V120" s="44"/>
      <c r="W120" s="44"/>
      <c r="X120" s="44"/>
      <c r="Y120" s="44"/>
      <c r="Z120" s="44"/>
      <c r="AA120" s="44"/>
      <c r="AB120" s="44"/>
      <c r="AC120" s="43"/>
      <c r="AD120" s="43"/>
      <c r="AE120" s="42"/>
      <c r="AG120" s="41"/>
      <c r="AH120" s="41"/>
      <c r="AI120" s="41"/>
      <c r="AJ120" s="41"/>
      <c r="AK120" s="41"/>
      <c r="AL120" s="41"/>
    </row>
    <row r="121" spans="1:38" s="50" customFormat="1" ht="15.95" customHeight="1">
      <c r="A121" s="293" t="s">
        <v>603</v>
      </c>
      <c r="B121" s="50" t="s">
        <v>589</v>
      </c>
      <c r="C121" s="331">
        <v>46130</v>
      </c>
      <c r="D121" s="315" t="s">
        <v>604</v>
      </c>
      <c r="E121" s="44">
        <v>90</v>
      </c>
      <c r="F121" s="27">
        <v>890</v>
      </c>
      <c r="G121" s="27">
        <v>150</v>
      </c>
      <c r="H121" s="80">
        <v>180</v>
      </c>
      <c r="I121" s="279" t="s">
        <v>520</v>
      </c>
      <c r="J121" s="48" t="s">
        <v>270</v>
      </c>
      <c r="K121" s="47"/>
      <c r="L121" s="47"/>
      <c r="M121" s="47"/>
      <c r="N121" s="171">
        <v>650</v>
      </c>
      <c r="O121" s="604" t="s">
        <v>368</v>
      </c>
      <c r="P121" s="267">
        <v>4</v>
      </c>
      <c r="Q121" s="31">
        <v>0</v>
      </c>
      <c r="R121" s="45" t="s">
        <v>270</v>
      </c>
      <c r="S121" s="43">
        <v>10</v>
      </c>
      <c r="T121" s="272">
        <v>3</v>
      </c>
      <c r="U121" s="606">
        <v>10</v>
      </c>
      <c r="V121" s="44" t="s">
        <v>271</v>
      </c>
      <c r="W121" s="44">
        <v>5</v>
      </c>
      <c r="X121" s="44">
        <v>10</v>
      </c>
      <c r="Y121" s="44" t="s">
        <v>270</v>
      </c>
      <c r="Z121" s="44" t="s">
        <v>401</v>
      </c>
      <c r="AA121" s="44"/>
      <c r="AB121" s="44"/>
      <c r="AC121" s="43"/>
      <c r="AD121" s="43"/>
      <c r="AE121" s="42"/>
      <c r="AF121" s="50" t="s">
        <v>605</v>
      </c>
      <c r="AG121" s="41"/>
      <c r="AH121" s="41" t="s">
        <v>606</v>
      </c>
      <c r="AI121" s="41" t="s">
        <v>607</v>
      </c>
      <c r="AJ121" s="41"/>
      <c r="AK121" s="41"/>
      <c r="AL121" s="41"/>
    </row>
    <row r="122" spans="1:38" s="50" customFormat="1" ht="15.95" customHeight="1">
      <c r="A122" s="306" t="s">
        <v>608</v>
      </c>
      <c r="B122" s="50" t="s">
        <v>603</v>
      </c>
      <c r="C122" s="316">
        <v>46131</v>
      </c>
      <c r="D122" s="315" t="s">
        <v>609</v>
      </c>
      <c r="E122" s="44">
        <v>90</v>
      </c>
      <c r="F122" s="27">
        <v>890</v>
      </c>
      <c r="G122" s="27">
        <v>150</v>
      </c>
      <c r="H122" s="80">
        <v>180</v>
      </c>
      <c r="I122" s="279" t="s">
        <v>520</v>
      </c>
      <c r="J122" s="48" t="s">
        <v>270</v>
      </c>
      <c r="K122" s="47"/>
      <c r="L122" s="47"/>
      <c r="M122" s="47"/>
      <c r="N122" s="171">
        <v>650</v>
      </c>
      <c r="O122" s="604" t="s">
        <v>368</v>
      </c>
      <c r="P122" s="267">
        <v>4</v>
      </c>
      <c r="Q122" s="31">
        <v>0</v>
      </c>
      <c r="R122" s="45" t="s">
        <v>270</v>
      </c>
      <c r="S122" s="43">
        <v>10</v>
      </c>
      <c r="T122" s="91">
        <v>3</v>
      </c>
      <c r="U122" s="95">
        <v>3</v>
      </c>
      <c r="V122" s="44" t="s">
        <v>271</v>
      </c>
      <c r="W122" s="44">
        <v>5</v>
      </c>
      <c r="X122" s="44">
        <v>10</v>
      </c>
      <c r="Y122" s="44" t="s">
        <v>270</v>
      </c>
      <c r="Z122" s="44" t="s">
        <v>401</v>
      </c>
      <c r="AA122" s="44"/>
      <c r="AB122" s="44"/>
      <c r="AC122" s="43"/>
      <c r="AD122" s="43"/>
      <c r="AE122" s="42"/>
      <c r="AF122" s="50" t="s">
        <v>610</v>
      </c>
      <c r="AG122" s="41"/>
      <c r="AH122" s="41"/>
      <c r="AI122" s="41" t="s">
        <v>611</v>
      </c>
      <c r="AJ122" s="41"/>
      <c r="AK122" s="41"/>
      <c r="AL122" s="41"/>
    </row>
    <row r="123" spans="1:38" s="50" customFormat="1" ht="15.95" customHeight="1">
      <c r="A123" s="306" t="s">
        <v>612</v>
      </c>
      <c r="B123" s="50" t="s">
        <v>608</v>
      </c>
      <c r="C123" s="317">
        <v>46131</v>
      </c>
      <c r="D123" s="314" t="s">
        <v>613</v>
      </c>
      <c r="E123" s="44">
        <v>90</v>
      </c>
      <c r="F123" s="27">
        <v>890</v>
      </c>
      <c r="G123" s="27">
        <v>150</v>
      </c>
      <c r="H123" s="80">
        <v>180</v>
      </c>
      <c r="I123" s="279" t="s">
        <v>520</v>
      </c>
      <c r="J123" s="48" t="s">
        <v>270</v>
      </c>
      <c r="K123" s="47"/>
      <c r="L123" s="47"/>
      <c r="M123" s="47"/>
      <c r="N123" s="171">
        <v>650</v>
      </c>
      <c r="O123" s="604" t="s">
        <v>368</v>
      </c>
      <c r="P123" s="267">
        <v>4</v>
      </c>
      <c r="Q123" s="31">
        <v>0</v>
      </c>
      <c r="R123" s="45" t="s">
        <v>270</v>
      </c>
      <c r="S123" s="43">
        <v>10</v>
      </c>
      <c r="T123" s="95">
        <v>1</v>
      </c>
      <c r="U123" s="91">
        <v>3</v>
      </c>
      <c r="V123" s="44" t="s">
        <v>271</v>
      </c>
      <c r="W123" s="44">
        <v>5</v>
      </c>
      <c r="X123" s="44">
        <v>10</v>
      </c>
      <c r="Y123" s="44" t="s">
        <v>270</v>
      </c>
      <c r="Z123" s="44" t="s">
        <v>401</v>
      </c>
      <c r="AA123" s="44"/>
      <c r="AB123" s="44"/>
      <c r="AC123" s="43"/>
      <c r="AD123" s="43"/>
      <c r="AE123" s="42"/>
      <c r="AF123" s="50" t="s">
        <v>614</v>
      </c>
      <c r="AG123" s="41"/>
      <c r="AH123" s="41"/>
      <c r="AI123" s="41" t="s">
        <v>615</v>
      </c>
      <c r="AJ123" s="41"/>
      <c r="AK123" s="41"/>
      <c r="AL123" s="41"/>
    </row>
    <row r="124" spans="1:38" s="50" customFormat="1" ht="15.95" customHeight="1">
      <c r="A124" s="306" t="s">
        <v>616</v>
      </c>
      <c r="B124" s="50" t="s">
        <v>612</v>
      </c>
      <c r="C124" s="317">
        <v>46131</v>
      </c>
      <c r="D124" s="215" t="s">
        <v>617</v>
      </c>
      <c r="E124" s="44">
        <v>90</v>
      </c>
      <c r="F124" s="27">
        <v>890</v>
      </c>
      <c r="G124" s="27">
        <v>150</v>
      </c>
      <c r="H124" s="80">
        <v>180</v>
      </c>
      <c r="I124" s="279" t="s">
        <v>520</v>
      </c>
      <c r="J124" s="48" t="s">
        <v>270</v>
      </c>
      <c r="K124" s="47"/>
      <c r="L124" s="47"/>
      <c r="M124" s="47"/>
      <c r="N124" s="171">
        <v>650</v>
      </c>
      <c r="O124" s="604" t="s">
        <v>368</v>
      </c>
      <c r="P124" s="267">
        <v>4</v>
      </c>
      <c r="Q124" s="31">
        <v>0</v>
      </c>
      <c r="R124" s="45" t="s">
        <v>270</v>
      </c>
      <c r="S124" s="43">
        <v>10</v>
      </c>
      <c r="T124" s="606">
        <v>1</v>
      </c>
      <c r="U124" s="91">
        <v>3</v>
      </c>
      <c r="V124" s="44" t="s">
        <v>271</v>
      </c>
      <c r="W124" s="77">
        <v>7</v>
      </c>
      <c r="X124" s="44">
        <v>10</v>
      </c>
      <c r="Y124" s="44" t="s">
        <v>270</v>
      </c>
      <c r="Z124" s="44" t="s">
        <v>401</v>
      </c>
      <c r="AA124" s="44"/>
      <c r="AB124" s="44"/>
      <c r="AC124" s="43"/>
      <c r="AD124" s="43"/>
      <c r="AE124" s="42"/>
      <c r="AF124" s="50" t="s">
        <v>618</v>
      </c>
      <c r="AG124" s="41"/>
      <c r="AH124" s="41" t="s">
        <v>619</v>
      </c>
      <c r="AI124" s="41" t="s">
        <v>620</v>
      </c>
      <c r="AJ124" s="41"/>
      <c r="AK124" s="41"/>
      <c r="AL124" s="41"/>
    </row>
    <row r="125" spans="1:38" s="50" customFormat="1" ht="15.95" customHeight="1">
      <c r="A125" s="340" t="s">
        <v>621</v>
      </c>
      <c r="B125" s="50" t="s">
        <v>616</v>
      </c>
      <c r="C125" s="316">
        <v>46132</v>
      </c>
      <c r="D125" s="215" t="s">
        <v>622</v>
      </c>
      <c r="E125" s="77">
        <v>65</v>
      </c>
      <c r="F125" s="27">
        <v>890</v>
      </c>
      <c r="G125" s="27">
        <v>150</v>
      </c>
      <c r="H125" s="80">
        <v>180</v>
      </c>
      <c r="I125" s="279" t="s">
        <v>520</v>
      </c>
      <c r="J125" s="48" t="s">
        <v>270</v>
      </c>
      <c r="K125" s="47"/>
      <c r="L125" s="47"/>
      <c r="M125" s="47"/>
      <c r="N125" s="171">
        <v>650</v>
      </c>
      <c r="O125" s="604" t="s">
        <v>368</v>
      </c>
      <c r="P125" s="267">
        <v>4</v>
      </c>
      <c r="Q125" s="31">
        <v>0</v>
      </c>
      <c r="R125" s="45" t="s">
        <v>270</v>
      </c>
      <c r="S125" s="43">
        <v>10</v>
      </c>
      <c r="T125" s="606">
        <v>1</v>
      </c>
      <c r="U125" s="606" t="s">
        <v>623</v>
      </c>
      <c r="V125" s="44" t="s">
        <v>271</v>
      </c>
      <c r="W125" s="44">
        <v>7</v>
      </c>
      <c r="X125" s="44">
        <v>10</v>
      </c>
      <c r="Y125" s="44" t="s">
        <v>270</v>
      </c>
      <c r="Z125" s="44" t="s">
        <v>401</v>
      </c>
      <c r="AA125" s="44"/>
      <c r="AB125" s="44"/>
      <c r="AC125" s="43"/>
      <c r="AD125" s="43"/>
      <c r="AE125" s="42"/>
      <c r="AF125" s="50" t="s">
        <v>624</v>
      </c>
      <c r="AG125" s="41" t="s">
        <v>625</v>
      </c>
      <c r="AH125" s="41" t="s">
        <v>626</v>
      </c>
      <c r="AI125" s="41"/>
      <c r="AJ125" s="41"/>
      <c r="AK125" s="41"/>
      <c r="AL125" s="41"/>
    </row>
    <row r="126" spans="1:38" s="50" customFormat="1" ht="15.95" customHeight="1">
      <c r="A126" s="294" t="s">
        <v>627</v>
      </c>
      <c r="B126" s="50" t="s">
        <v>616</v>
      </c>
      <c r="C126" s="317">
        <v>46132</v>
      </c>
      <c r="D126" s="215" t="s">
        <v>628</v>
      </c>
      <c r="E126" s="77">
        <v>90</v>
      </c>
      <c r="F126" s="77">
        <v>800</v>
      </c>
      <c r="G126" s="27">
        <v>150</v>
      </c>
      <c r="H126" s="80">
        <v>180</v>
      </c>
      <c r="I126" s="279" t="s">
        <v>520</v>
      </c>
      <c r="J126" s="48" t="s">
        <v>270</v>
      </c>
      <c r="K126" s="47"/>
      <c r="L126" s="47"/>
      <c r="M126" s="47"/>
      <c r="N126" s="171" t="s">
        <v>629</v>
      </c>
      <c r="O126" s="604" t="s">
        <v>368</v>
      </c>
      <c r="P126" s="267">
        <v>4</v>
      </c>
      <c r="Q126" s="31">
        <v>0</v>
      </c>
      <c r="R126" s="45" t="s">
        <v>270</v>
      </c>
      <c r="S126" s="43">
        <v>10</v>
      </c>
      <c r="T126" s="606">
        <v>1</v>
      </c>
      <c r="U126" s="606">
        <v>3</v>
      </c>
      <c r="V126" s="44" t="s">
        <v>271</v>
      </c>
      <c r="W126" s="44">
        <v>7</v>
      </c>
      <c r="X126" s="44">
        <v>10</v>
      </c>
      <c r="Y126" s="44" t="s">
        <v>270</v>
      </c>
      <c r="Z126" s="44" t="s">
        <v>401</v>
      </c>
      <c r="AA126" s="44"/>
      <c r="AB126" s="44"/>
      <c r="AC126" s="43"/>
      <c r="AD126" s="43"/>
      <c r="AE126" s="42"/>
      <c r="AF126" s="50" t="s">
        <v>630</v>
      </c>
      <c r="AG126" s="41"/>
      <c r="AH126" s="41" t="s">
        <v>631</v>
      </c>
      <c r="AI126" s="41"/>
      <c r="AJ126" s="41"/>
      <c r="AK126" s="41"/>
      <c r="AL126" s="41"/>
    </row>
    <row r="127" spans="1:38" s="50" customFormat="1" ht="15.95" customHeight="1">
      <c r="A127" s="306" t="s">
        <v>632</v>
      </c>
      <c r="B127" s="50" t="s">
        <v>616</v>
      </c>
      <c r="C127" s="317">
        <v>46132</v>
      </c>
      <c r="D127" s="215" t="s">
        <v>633</v>
      </c>
      <c r="E127" s="44">
        <v>90</v>
      </c>
      <c r="F127" s="44">
        <v>950</v>
      </c>
      <c r="G127" s="27">
        <v>150</v>
      </c>
      <c r="H127" s="80">
        <v>180</v>
      </c>
      <c r="I127" s="279" t="s">
        <v>520</v>
      </c>
      <c r="J127" s="48" t="s">
        <v>270</v>
      </c>
      <c r="K127" s="47"/>
      <c r="L127" s="47"/>
      <c r="M127" s="47"/>
      <c r="N127" s="171" t="s">
        <v>634</v>
      </c>
      <c r="O127" s="604" t="s">
        <v>368</v>
      </c>
      <c r="P127" s="267">
        <v>4</v>
      </c>
      <c r="Q127" s="31">
        <v>0</v>
      </c>
      <c r="R127" s="45" t="s">
        <v>270</v>
      </c>
      <c r="S127" s="43">
        <v>10</v>
      </c>
      <c r="T127" s="606">
        <v>1</v>
      </c>
      <c r="U127" s="606">
        <v>3</v>
      </c>
      <c r="V127" s="44" t="s">
        <v>271</v>
      </c>
      <c r="W127" s="44">
        <v>7</v>
      </c>
      <c r="X127" s="44">
        <v>10</v>
      </c>
      <c r="Y127" s="44" t="s">
        <v>270</v>
      </c>
      <c r="Z127" s="44" t="s">
        <v>401</v>
      </c>
      <c r="AA127" s="44"/>
      <c r="AB127" s="44"/>
      <c r="AC127" s="43"/>
      <c r="AD127" s="43"/>
      <c r="AE127" s="42"/>
      <c r="AG127" s="41"/>
      <c r="AH127" s="41" t="s">
        <v>635</v>
      </c>
      <c r="AI127" s="41" t="s">
        <v>636</v>
      </c>
      <c r="AJ127" s="41"/>
      <c r="AK127" s="41"/>
      <c r="AL127" s="41"/>
    </row>
    <row r="128" spans="1:38" s="50" customFormat="1" ht="15.95" customHeight="1">
      <c r="A128" s="295" t="s">
        <v>637</v>
      </c>
      <c r="B128" s="50" t="s">
        <v>632</v>
      </c>
      <c r="C128" s="316">
        <v>46133</v>
      </c>
      <c r="D128" s="326" t="s">
        <v>638</v>
      </c>
      <c r="E128" s="44">
        <v>90</v>
      </c>
      <c r="F128" s="44">
        <v>950</v>
      </c>
      <c r="G128" s="27">
        <v>150</v>
      </c>
      <c r="H128" s="80">
        <v>180</v>
      </c>
      <c r="I128" s="279" t="s">
        <v>520</v>
      </c>
      <c r="J128" s="48" t="s">
        <v>270</v>
      </c>
      <c r="K128" s="47"/>
      <c r="L128" s="47"/>
      <c r="M128" s="47"/>
      <c r="N128" s="171" t="s">
        <v>634</v>
      </c>
      <c r="O128" s="604" t="s">
        <v>368</v>
      </c>
      <c r="P128" s="267">
        <v>4</v>
      </c>
      <c r="Q128" s="31">
        <v>0</v>
      </c>
      <c r="R128" s="45" t="s">
        <v>270</v>
      </c>
      <c r="S128" s="83">
        <v>20</v>
      </c>
      <c r="T128" s="606">
        <v>1</v>
      </c>
      <c r="U128" s="606">
        <v>3</v>
      </c>
      <c r="V128" s="44" t="s">
        <v>271</v>
      </c>
      <c r="W128" s="44">
        <v>7</v>
      </c>
      <c r="X128" s="44">
        <v>10</v>
      </c>
      <c r="Y128" s="44" t="s">
        <v>270</v>
      </c>
      <c r="Z128" s="44" t="s">
        <v>401</v>
      </c>
      <c r="AA128" s="44"/>
      <c r="AB128" s="44"/>
      <c r="AC128" s="43"/>
      <c r="AD128" s="43"/>
      <c r="AE128" s="42"/>
      <c r="AG128" s="41"/>
      <c r="AH128" s="41" t="s">
        <v>639</v>
      </c>
      <c r="AI128" s="41" t="s">
        <v>640</v>
      </c>
      <c r="AJ128" s="41"/>
      <c r="AK128" s="41"/>
      <c r="AL128" s="41"/>
    </row>
    <row r="129" spans="1:38" s="50" customFormat="1" ht="15.95" customHeight="1">
      <c r="A129" s="295" t="s">
        <v>641</v>
      </c>
      <c r="B129" s="50" t="s">
        <v>632</v>
      </c>
      <c r="C129" s="317">
        <v>46133</v>
      </c>
      <c r="D129" s="326" t="s">
        <v>622</v>
      </c>
      <c r="E129" s="342" t="s">
        <v>642</v>
      </c>
      <c r="F129" s="44">
        <v>950</v>
      </c>
      <c r="G129" s="27">
        <v>150</v>
      </c>
      <c r="H129" s="80">
        <v>180</v>
      </c>
      <c r="I129" s="279" t="s">
        <v>520</v>
      </c>
      <c r="J129" s="48" t="s">
        <v>270</v>
      </c>
      <c r="K129" s="47"/>
      <c r="L129" s="47"/>
      <c r="M129" s="47"/>
      <c r="N129" s="171" t="s">
        <v>634</v>
      </c>
      <c r="O129" s="604" t="s">
        <v>368</v>
      </c>
      <c r="P129" s="267">
        <v>4</v>
      </c>
      <c r="Q129" s="45"/>
      <c r="R129" s="45" t="s">
        <v>270</v>
      </c>
      <c r="S129" s="43">
        <v>10</v>
      </c>
      <c r="T129" s="606">
        <v>1</v>
      </c>
      <c r="U129" s="606">
        <v>3</v>
      </c>
      <c r="V129" s="44" t="s">
        <v>271</v>
      </c>
      <c r="W129" s="44">
        <v>7</v>
      </c>
      <c r="X129" s="44">
        <v>10</v>
      </c>
      <c r="Y129" s="44" t="s">
        <v>270</v>
      </c>
      <c r="Z129" s="44" t="s">
        <v>401</v>
      </c>
      <c r="AA129" s="44"/>
      <c r="AB129" s="44"/>
      <c r="AC129" s="43"/>
      <c r="AD129" s="43"/>
      <c r="AE129" s="42"/>
      <c r="AF129" s="50" t="s">
        <v>643</v>
      </c>
      <c r="AG129" s="41"/>
      <c r="AH129" s="41" t="s">
        <v>644</v>
      </c>
      <c r="AI129" s="41" t="s">
        <v>645</v>
      </c>
      <c r="AJ129" s="41"/>
      <c r="AK129" s="41"/>
      <c r="AL129" s="41"/>
    </row>
    <row r="130" spans="1:38" s="50" customFormat="1" ht="15.95" customHeight="1">
      <c r="A130" s="295" t="s">
        <v>646</v>
      </c>
      <c r="B130" s="50" t="s">
        <v>641</v>
      </c>
      <c r="C130" s="317">
        <v>46133</v>
      </c>
      <c r="D130" s="843" t="s">
        <v>647</v>
      </c>
      <c r="E130" s="50" t="s">
        <v>642</v>
      </c>
      <c r="F130" s="44">
        <v>950</v>
      </c>
      <c r="G130" s="27">
        <v>150</v>
      </c>
      <c r="H130" s="80">
        <v>180</v>
      </c>
      <c r="I130" s="279" t="s">
        <v>520</v>
      </c>
      <c r="J130" s="48" t="s">
        <v>270</v>
      </c>
      <c r="K130" s="47"/>
      <c r="L130" s="47"/>
      <c r="M130" s="47"/>
      <c r="N130" s="171" t="s">
        <v>634</v>
      </c>
      <c r="O130" s="604" t="s">
        <v>368</v>
      </c>
      <c r="P130" s="267">
        <v>4</v>
      </c>
      <c r="Q130" s="45"/>
      <c r="R130" s="45" t="s">
        <v>270</v>
      </c>
      <c r="S130" s="43">
        <v>10</v>
      </c>
      <c r="T130" s="606">
        <v>1</v>
      </c>
      <c r="U130" s="606">
        <v>3</v>
      </c>
      <c r="V130" s="44" t="s">
        <v>271</v>
      </c>
      <c r="W130" s="77">
        <v>5</v>
      </c>
      <c r="X130" s="44">
        <v>10</v>
      </c>
      <c r="Y130" s="44" t="s">
        <v>270</v>
      </c>
      <c r="Z130" s="44" t="s">
        <v>401</v>
      </c>
      <c r="AA130" s="44"/>
      <c r="AB130" s="44"/>
      <c r="AC130" s="43"/>
      <c r="AD130" s="43"/>
      <c r="AE130" s="42"/>
      <c r="AH130" s="50" t="s">
        <v>648</v>
      </c>
      <c r="AI130" s="50" t="s">
        <v>649</v>
      </c>
    </row>
    <row r="131" spans="1:38" s="50" customFormat="1" ht="15.95" customHeight="1">
      <c r="A131" s="295" t="s">
        <v>650</v>
      </c>
      <c r="B131" s="50" t="s">
        <v>646</v>
      </c>
      <c r="C131" s="318">
        <v>46133</v>
      </c>
      <c r="D131" s="843"/>
      <c r="E131" s="50" t="s">
        <v>642</v>
      </c>
      <c r="F131" s="44">
        <v>950</v>
      </c>
      <c r="G131" s="27">
        <v>150</v>
      </c>
      <c r="H131" s="80">
        <v>180</v>
      </c>
      <c r="I131" s="279" t="s">
        <v>520</v>
      </c>
      <c r="J131" s="48" t="s">
        <v>270</v>
      </c>
      <c r="K131" s="47"/>
      <c r="L131" s="47"/>
      <c r="M131" s="47"/>
      <c r="N131" s="171" t="s">
        <v>634</v>
      </c>
      <c r="O131" s="604" t="s">
        <v>368</v>
      </c>
      <c r="P131" s="327">
        <v>5</v>
      </c>
      <c r="Q131" s="45"/>
      <c r="R131" s="45" t="s">
        <v>270</v>
      </c>
      <c r="S131" s="43">
        <v>10</v>
      </c>
      <c r="T131" s="606">
        <v>1</v>
      </c>
      <c r="U131" s="606">
        <v>3</v>
      </c>
      <c r="V131" s="44" t="s">
        <v>271</v>
      </c>
      <c r="W131" s="77">
        <v>4</v>
      </c>
      <c r="X131" s="44">
        <v>10</v>
      </c>
      <c r="Y131" s="44" t="s">
        <v>270</v>
      </c>
      <c r="Z131" s="44" t="s">
        <v>401</v>
      </c>
      <c r="AA131" s="44"/>
      <c r="AB131" s="44"/>
      <c r="AC131" s="43"/>
      <c r="AD131" s="43"/>
      <c r="AE131" s="42"/>
      <c r="AG131" s="41"/>
      <c r="AH131" s="41"/>
      <c r="AI131" s="41"/>
      <c r="AJ131" s="41"/>
      <c r="AK131" s="41"/>
      <c r="AL131" s="41"/>
    </row>
    <row r="132" spans="1:38" s="50" customFormat="1" ht="15.95" customHeight="1">
      <c r="A132" s="306" t="s">
        <v>651</v>
      </c>
      <c r="B132" s="50" t="s">
        <v>650</v>
      </c>
      <c r="C132" s="316">
        <v>46134</v>
      </c>
      <c r="D132" s="326"/>
      <c r="E132" s="50" t="s">
        <v>642</v>
      </c>
      <c r="F132" s="44">
        <v>950</v>
      </c>
      <c r="G132" s="27">
        <v>150</v>
      </c>
      <c r="H132" s="80">
        <v>180</v>
      </c>
      <c r="I132" s="279" t="s">
        <v>520</v>
      </c>
      <c r="J132" s="48" t="s">
        <v>270</v>
      </c>
      <c r="K132" s="47"/>
      <c r="L132" s="47"/>
      <c r="M132" s="47"/>
      <c r="N132" s="171" t="s">
        <v>634</v>
      </c>
      <c r="O132" s="604" t="s">
        <v>368</v>
      </c>
      <c r="P132" s="46">
        <v>5</v>
      </c>
      <c r="Q132" s="45"/>
      <c r="R132" s="45" t="s">
        <v>270</v>
      </c>
      <c r="S132" s="43">
        <v>10</v>
      </c>
      <c r="T132" s="606">
        <v>1</v>
      </c>
      <c r="U132" s="606">
        <v>3</v>
      </c>
      <c r="V132" s="44" t="s">
        <v>271</v>
      </c>
      <c r="W132" s="77">
        <v>5</v>
      </c>
      <c r="X132" s="44">
        <v>10</v>
      </c>
      <c r="Y132" s="44" t="s">
        <v>270</v>
      </c>
      <c r="Z132" s="44" t="s">
        <v>401</v>
      </c>
      <c r="AA132" s="44"/>
      <c r="AB132" s="44"/>
      <c r="AC132" s="43"/>
      <c r="AD132" s="43"/>
      <c r="AE132" s="42"/>
      <c r="AG132" s="41"/>
      <c r="AH132" s="41"/>
      <c r="AI132" s="41"/>
      <c r="AJ132" s="41"/>
      <c r="AK132" s="41"/>
      <c r="AL132" s="41"/>
    </row>
    <row r="133" spans="1:38" s="50" customFormat="1" ht="15.95" customHeight="1">
      <c r="A133" s="306" t="s">
        <v>652</v>
      </c>
      <c r="B133" s="50" t="s">
        <v>270</v>
      </c>
      <c r="C133" s="317">
        <v>46134</v>
      </c>
      <c r="D133" s="326" t="s">
        <v>653</v>
      </c>
      <c r="E133" s="50" t="s">
        <v>642</v>
      </c>
      <c r="F133" s="50" t="s">
        <v>654</v>
      </c>
      <c r="G133" s="27">
        <v>150</v>
      </c>
      <c r="H133" s="80">
        <v>180</v>
      </c>
      <c r="I133" s="82">
        <v>5</v>
      </c>
      <c r="J133" s="82">
        <v>150</v>
      </c>
      <c r="K133" s="47"/>
      <c r="L133" s="47"/>
      <c r="M133" s="47"/>
      <c r="N133" s="605" t="s">
        <v>270</v>
      </c>
      <c r="O133" s="604" t="s">
        <v>270</v>
      </c>
      <c r="P133" s="46">
        <v>3</v>
      </c>
      <c r="Q133" s="45"/>
      <c r="R133" s="45">
        <v>2</v>
      </c>
      <c r="S133" s="43">
        <v>0</v>
      </c>
      <c r="T133" s="91">
        <v>2</v>
      </c>
      <c r="U133" s="91">
        <v>3</v>
      </c>
      <c r="V133" s="44" t="s">
        <v>271</v>
      </c>
      <c r="W133" s="44">
        <v>5</v>
      </c>
      <c r="X133" s="44">
        <v>10</v>
      </c>
      <c r="Y133" s="44" t="s">
        <v>270</v>
      </c>
      <c r="Z133" s="44" t="s">
        <v>401</v>
      </c>
      <c r="AA133" s="44"/>
      <c r="AB133" s="44"/>
      <c r="AC133" s="43"/>
      <c r="AD133" s="43"/>
      <c r="AE133" s="42"/>
      <c r="AF133" s="50" t="s">
        <v>655</v>
      </c>
      <c r="AG133" s="41"/>
      <c r="AH133" s="41" t="s">
        <v>656</v>
      </c>
      <c r="AI133" s="41" t="s">
        <v>657</v>
      </c>
      <c r="AJ133" s="41"/>
      <c r="AK133" s="41"/>
      <c r="AL133" s="41"/>
    </row>
    <row r="134" spans="1:38" s="50" customFormat="1" ht="15.95" customHeight="1">
      <c r="A134" s="295" t="s">
        <v>658</v>
      </c>
      <c r="B134" s="50" t="s">
        <v>652</v>
      </c>
      <c r="C134" s="318">
        <v>46134</v>
      </c>
      <c r="D134" s="326"/>
      <c r="E134" s="50" t="s">
        <v>642</v>
      </c>
      <c r="F134" s="50" t="s">
        <v>654</v>
      </c>
      <c r="G134" s="27">
        <v>150</v>
      </c>
      <c r="H134" s="80">
        <v>180</v>
      </c>
      <c r="I134" s="82">
        <v>1</v>
      </c>
      <c r="J134" s="48">
        <v>150</v>
      </c>
      <c r="K134" s="47"/>
      <c r="L134" s="47"/>
      <c r="M134" s="47"/>
      <c r="N134" s="605" t="s">
        <v>270</v>
      </c>
      <c r="O134" s="98"/>
      <c r="P134" s="46">
        <v>3</v>
      </c>
      <c r="Q134" s="45"/>
      <c r="R134" s="344">
        <v>1</v>
      </c>
      <c r="S134" s="43">
        <v>0</v>
      </c>
      <c r="T134" s="95">
        <v>1</v>
      </c>
      <c r="U134" s="91">
        <v>3</v>
      </c>
      <c r="V134" s="44" t="s">
        <v>271</v>
      </c>
      <c r="W134" s="44">
        <v>5</v>
      </c>
      <c r="X134" s="44">
        <v>10</v>
      </c>
      <c r="Y134" s="44" t="s">
        <v>270</v>
      </c>
      <c r="Z134" s="44" t="s">
        <v>401</v>
      </c>
      <c r="AA134" s="44"/>
      <c r="AB134" s="44"/>
      <c r="AC134" s="43"/>
      <c r="AD134" s="43"/>
      <c r="AE134" s="42"/>
      <c r="AF134" s="50" t="s">
        <v>659</v>
      </c>
      <c r="AG134" s="41"/>
      <c r="AH134" s="41"/>
      <c r="AI134" s="41"/>
      <c r="AJ134" s="41"/>
      <c r="AK134" s="41"/>
      <c r="AL134" s="41"/>
    </row>
    <row r="135" spans="1:38" s="50" customFormat="1" ht="15.95" customHeight="1">
      <c r="A135" s="295" t="s">
        <v>660</v>
      </c>
      <c r="B135" s="50" t="s">
        <v>652</v>
      </c>
      <c r="C135" s="316">
        <v>46135</v>
      </c>
      <c r="D135" s="326"/>
      <c r="E135" s="50" t="s">
        <v>642</v>
      </c>
      <c r="F135" s="50" t="s">
        <v>654</v>
      </c>
      <c r="G135" s="27">
        <v>150</v>
      </c>
      <c r="H135" s="80">
        <v>180</v>
      </c>
      <c r="I135" s="82">
        <v>2</v>
      </c>
      <c r="J135" s="48">
        <v>150</v>
      </c>
      <c r="K135" s="47"/>
      <c r="L135" s="47"/>
      <c r="M135" s="47"/>
      <c r="N135" s="605" t="s">
        <v>270</v>
      </c>
      <c r="O135" s="98"/>
      <c r="P135" s="46">
        <v>3</v>
      </c>
      <c r="Q135" s="45"/>
      <c r="R135" s="344">
        <v>2</v>
      </c>
      <c r="S135" s="43">
        <v>0</v>
      </c>
      <c r="T135" s="91">
        <v>1</v>
      </c>
      <c r="U135" s="91">
        <v>3</v>
      </c>
      <c r="V135" s="44" t="s">
        <v>271</v>
      </c>
      <c r="W135" s="44">
        <v>5</v>
      </c>
      <c r="X135" s="44">
        <v>10</v>
      </c>
      <c r="Y135" s="44" t="s">
        <v>270</v>
      </c>
      <c r="Z135" s="44" t="s">
        <v>401</v>
      </c>
      <c r="AA135" s="44"/>
      <c r="AB135" s="44"/>
      <c r="AC135" s="43"/>
      <c r="AD135" s="43"/>
      <c r="AE135" s="42"/>
      <c r="AG135" s="41"/>
      <c r="AH135" s="41"/>
      <c r="AI135" s="41"/>
      <c r="AJ135" s="41"/>
      <c r="AK135" s="41"/>
      <c r="AL135" s="41"/>
    </row>
    <row r="136" spans="1:38" s="50" customFormat="1" ht="15.95" customHeight="1">
      <c r="A136" s="306" t="s">
        <v>661</v>
      </c>
      <c r="B136" s="50" t="s">
        <v>652</v>
      </c>
      <c r="C136" s="317">
        <v>46135</v>
      </c>
      <c r="D136" s="326" t="s">
        <v>662</v>
      </c>
      <c r="E136" s="50" t="s">
        <v>642</v>
      </c>
      <c r="F136" s="342" t="s">
        <v>663</v>
      </c>
      <c r="G136" s="27">
        <v>150</v>
      </c>
      <c r="H136" s="80">
        <v>180</v>
      </c>
      <c r="I136" s="82">
        <v>5</v>
      </c>
      <c r="J136" s="48">
        <v>150</v>
      </c>
      <c r="K136" s="47"/>
      <c r="L136" s="47"/>
      <c r="M136" s="47"/>
      <c r="N136" s="605" t="s">
        <v>270</v>
      </c>
      <c r="O136" s="98"/>
      <c r="P136" s="46">
        <v>3</v>
      </c>
      <c r="Q136" s="45"/>
      <c r="R136" s="45">
        <v>2</v>
      </c>
      <c r="S136" s="43">
        <v>0</v>
      </c>
      <c r="T136" s="95">
        <v>2</v>
      </c>
      <c r="U136" s="91">
        <v>3</v>
      </c>
      <c r="V136" s="44" t="s">
        <v>271</v>
      </c>
      <c r="W136" s="44">
        <v>5</v>
      </c>
      <c r="X136" s="44">
        <v>10</v>
      </c>
      <c r="Y136" s="44" t="s">
        <v>270</v>
      </c>
      <c r="Z136" s="44" t="s">
        <v>401</v>
      </c>
      <c r="AA136" s="44"/>
      <c r="AB136" s="44"/>
      <c r="AC136" s="43"/>
      <c r="AD136" s="43"/>
      <c r="AE136" s="42"/>
      <c r="AG136" s="41" t="s">
        <v>664</v>
      </c>
      <c r="AH136" s="41"/>
      <c r="AI136" s="41"/>
      <c r="AJ136" s="41"/>
      <c r="AK136" s="41"/>
      <c r="AL136" s="41"/>
    </row>
    <row r="137" spans="1:38" s="50" customFormat="1" ht="15.95" customHeight="1">
      <c r="A137" s="306" t="s">
        <v>665</v>
      </c>
      <c r="B137" s="50" t="s">
        <v>652</v>
      </c>
      <c r="C137" s="317">
        <v>46135</v>
      </c>
      <c r="D137" s="326" t="s">
        <v>666</v>
      </c>
      <c r="E137" s="50" t="s">
        <v>642</v>
      </c>
      <c r="F137" s="50" t="s">
        <v>654</v>
      </c>
      <c r="G137" s="27">
        <v>150</v>
      </c>
      <c r="H137" s="80">
        <v>180</v>
      </c>
      <c r="I137" s="48">
        <v>5</v>
      </c>
      <c r="J137" s="48">
        <v>150</v>
      </c>
      <c r="K137" s="47"/>
      <c r="L137" s="47"/>
      <c r="M137" s="47"/>
      <c r="N137" s="605" t="s">
        <v>270</v>
      </c>
      <c r="O137" s="604" t="s">
        <v>270</v>
      </c>
      <c r="P137" s="46">
        <v>3</v>
      </c>
      <c r="Q137" s="45"/>
      <c r="R137" s="45">
        <v>2</v>
      </c>
      <c r="S137" s="43">
        <v>0</v>
      </c>
      <c r="T137" s="91">
        <v>2</v>
      </c>
      <c r="U137" s="91">
        <v>3</v>
      </c>
      <c r="V137" s="44" t="s">
        <v>271</v>
      </c>
      <c r="W137" s="44">
        <v>5</v>
      </c>
      <c r="X137" s="44">
        <v>10</v>
      </c>
      <c r="Y137" s="44" t="s">
        <v>270</v>
      </c>
      <c r="Z137" s="44" t="s">
        <v>401</v>
      </c>
      <c r="AA137" s="44"/>
      <c r="AB137" s="44"/>
      <c r="AC137" s="43"/>
      <c r="AD137" s="43"/>
      <c r="AE137" s="42"/>
      <c r="AF137" s="50" t="s">
        <v>551</v>
      </c>
      <c r="AG137" s="41"/>
      <c r="AH137" s="41"/>
      <c r="AI137" s="41"/>
      <c r="AJ137" s="41"/>
      <c r="AK137" s="41"/>
      <c r="AL137" s="41"/>
    </row>
    <row r="138" spans="1:38" s="50" customFormat="1" ht="15.95" customHeight="1">
      <c r="A138" s="306" t="s">
        <v>667</v>
      </c>
      <c r="B138" s="50" t="s">
        <v>665</v>
      </c>
      <c r="C138" s="316">
        <v>46136</v>
      </c>
      <c r="D138" s="215" t="s">
        <v>668</v>
      </c>
      <c r="E138" s="50" t="s">
        <v>642</v>
      </c>
      <c r="F138" s="50" t="s">
        <v>654</v>
      </c>
      <c r="G138" s="27">
        <v>150</v>
      </c>
      <c r="H138" s="80">
        <v>180</v>
      </c>
      <c r="I138" s="82">
        <v>10</v>
      </c>
      <c r="J138" s="48">
        <v>150</v>
      </c>
      <c r="K138" s="47"/>
      <c r="L138" s="47"/>
      <c r="M138" s="47"/>
      <c r="N138" s="605" t="s">
        <v>270</v>
      </c>
      <c r="O138" s="98"/>
      <c r="P138" s="327">
        <v>2</v>
      </c>
      <c r="Q138" s="45"/>
      <c r="R138" s="45">
        <v>2</v>
      </c>
      <c r="S138" s="43">
        <v>0</v>
      </c>
      <c r="T138" s="91">
        <v>2</v>
      </c>
      <c r="U138" s="91">
        <v>3</v>
      </c>
      <c r="V138" s="44" t="s">
        <v>271</v>
      </c>
      <c r="W138" s="44">
        <v>5</v>
      </c>
      <c r="X138" s="44">
        <v>10</v>
      </c>
      <c r="Y138" s="44" t="s">
        <v>270</v>
      </c>
      <c r="Z138" s="44" t="s">
        <v>401</v>
      </c>
      <c r="AA138" s="44"/>
      <c r="AB138" s="44"/>
      <c r="AC138" s="43"/>
      <c r="AD138" s="43"/>
      <c r="AE138" s="42"/>
      <c r="AF138" s="50" t="s">
        <v>669</v>
      </c>
      <c r="AG138" s="41"/>
      <c r="AH138" s="41"/>
      <c r="AI138" s="41" t="s">
        <v>670</v>
      </c>
      <c r="AJ138" s="41"/>
      <c r="AK138" s="41"/>
      <c r="AL138" s="41"/>
    </row>
    <row r="139" spans="1:38" s="50" customFormat="1" ht="15.95" customHeight="1">
      <c r="A139" s="306" t="s">
        <v>671</v>
      </c>
      <c r="B139" s="50" t="s">
        <v>667</v>
      </c>
      <c r="C139" s="318">
        <v>46136</v>
      </c>
      <c r="D139" s="215"/>
      <c r="E139" s="50" t="s">
        <v>642</v>
      </c>
      <c r="F139" s="50" t="s">
        <v>654</v>
      </c>
      <c r="G139" s="27">
        <v>150</v>
      </c>
      <c r="H139" s="80">
        <v>180</v>
      </c>
      <c r="I139" s="48">
        <v>10</v>
      </c>
      <c r="J139" s="82">
        <v>10</v>
      </c>
      <c r="K139" s="47"/>
      <c r="L139" s="47"/>
      <c r="M139" s="47"/>
      <c r="N139" s="605" t="s">
        <v>270</v>
      </c>
      <c r="O139" s="98"/>
      <c r="P139" s="327">
        <v>2</v>
      </c>
      <c r="Q139" s="45"/>
      <c r="R139" s="45">
        <v>2</v>
      </c>
      <c r="S139" s="43">
        <v>0</v>
      </c>
      <c r="T139" s="91">
        <v>2</v>
      </c>
      <c r="U139" s="91">
        <v>3</v>
      </c>
      <c r="V139" s="44" t="s">
        <v>271</v>
      </c>
      <c r="W139" s="44">
        <v>5</v>
      </c>
      <c r="X139" s="44">
        <v>10</v>
      </c>
      <c r="Y139" s="44" t="s">
        <v>270</v>
      </c>
      <c r="Z139" s="44" t="s">
        <v>401</v>
      </c>
      <c r="AA139" s="44"/>
      <c r="AB139" s="44"/>
      <c r="AC139" s="43"/>
      <c r="AD139" s="43"/>
      <c r="AE139" s="42"/>
      <c r="AG139" s="41" t="s">
        <v>672</v>
      </c>
      <c r="AH139" s="41"/>
      <c r="AI139" s="41"/>
      <c r="AJ139" s="41"/>
      <c r="AK139" s="41"/>
      <c r="AL139" s="41"/>
    </row>
    <row r="140" spans="1:38" s="50" customFormat="1" ht="15.95" customHeight="1">
      <c r="A140" s="306" t="s">
        <v>673</v>
      </c>
      <c r="B140" s="50" t="s">
        <v>667</v>
      </c>
      <c r="C140" s="316">
        <v>46139</v>
      </c>
      <c r="D140" s="215" t="s">
        <v>674</v>
      </c>
      <c r="E140" s="50" t="s">
        <v>642</v>
      </c>
      <c r="F140" s="50" t="s">
        <v>654</v>
      </c>
      <c r="G140" s="27">
        <v>150</v>
      </c>
      <c r="H140" s="80">
        <v>180</v>
      </c>
      <c r="I140" s="48">
        <v>10</v>
      </c>
      <c r="J140" s="48">
        <v>150</v>
      </c>
      <c r="K140" s="47"/>
      <c r="L140" s="47"/>
      <c r="M140" s="47"/>
      <c r="N140" s="605" t="s">
        <v>270</v>
      </c>
      <c r="O140" s="98"/>
      <c r="P140" s="267">
        <v>2</v>
      </c>
      <c r="Q140" s="45"/>
      <c r="R140" s="45">
        <v>2</v>
      </c>
      <c r="S140" s="43">
        <v>0</v>
      </c>
      <c r="T140" s="95">
        <v>1</v>
      </c>
      <c r="U140" s="91">
        <v>3</v>
      </c>
      <c r="V140" s="44" t="s">
        <v>271</v>
      </c>
      <c r="W140" s="44">
        <v>5</v>
      </c>
      <c r="X140" s="44">
        <v>10</v>
      </c>
      <c r="Y140" s="44" t="s">
        <v>270</v>
      </c>
      <c r="Z140" s="44" t="s">
        <v>401</v>
      </c>
      <c r="AA140" s="44"/>
      <c r="AB140" s="44"/>
      <c r="AC140" s="43"/>
      <c r="AD140" s="43"/>
      <c r="AE140" s="42" t="s">
        <v>675</v>
      </c>
      <c r="AF140" s="50" t="s">
        <v>676</v>
      </c>
      <c r="AH140" s="41"/>
      <c r="AI140" s="41" t="s">
        <v>677</v>
      </c>
      <c r="AJ140" s="41"/>
      <c r="AK140" s="41"/>
      <c r="AL140" s="41"/>
    </row>
    <row r="141" spans="1:38" s="50" customFormat="1" ht="15.95" customHeight="1">
      <c r="A141" s="306" t="s">
        <v>678</v>
      </c>
      <c r="B141" s="50" t="s">
        <v>673</v>
      </c>
      <c r="C141" s="317">
        <v>46139</v>
      </c>
      <c r="D141" s="836" t="s">
        <v>622</v>
      </c>
      <c r="E141" s="77">
        <v>120</v>
      </c>
      <c r="F141" s="50" t="s">
        <v>654</v>
      </c>
      <c r="G141" s="27">
        <v>150</v>
      </c>
      <c r="H141" s="80">
        <v>180</v>
      </c>
      <c r="I141" s="48">
        <v>10</v>
      </c>
      <c r="J141" s="48">
        <v>150</v>
      </c>
      <c r="K141" s="47"/>
      <c r="L141" s="47"/>
      <c r="M141" s="47"/>
      <c r="N141" s="605" t="s">
        <v>270</v>
      </c>
      <c r="O141" s="98"/>
      <c r="P141" s="267">
        <v>2</v>
      </c>
      <c r="Q141" s="45"/>
      <c r="R141" s="45">
        <v>2</v>
      </c>
      <c r="S141" s="43">
        <v>0</v>
      </c>
      <c r="T141" s="606">
        <v>1</v>
      </c>
      <c r="U141" s="91">
        <v>3</v>
      </c>
      <c r="V141" s="44" t="s">
        <v>271</v>
      </c>
      <c r="W141" s="44">
        <v>5</v>
      </c>
      <c r="X141" s="44">
        <v>10</v>
      </c>
      <c r="Y141" s="44" t="s">
        <v>270</v>
      </c>
      <c r="Z141" s="44" t="s">
        <v>401</v>
      </c>
      <c r="AA141" s="44"/>
      <c r="AB141" s="44"/>
      <c r="AC141" s="43"/>
      <c r="AD141" s="43"/>
      <c r="AE141" s="42"/>
      <c r="AF141" s="50" t="s">
        <v>679</v>
      </c>
      <c r="AG141" s="41"/>
      <c r="AH141" s="41"/>
      <c r="AI141" s="41" t="s">
        <v>680</v>
      </c>
      <c r="AJ141" s="41"/>
      <c r="AK141" s="41"/>
      <c r="AL141" s="41"/>
    </row>
    <row r="142" spans="1:38" s="50" customFormat="1" ht="15.95" customHeight="1">
      <c r="A142" s="306" t="s">
        <v>681</v>
      </c>
      <c r="B142" s="50" t="s">
        <v>673</v>
      </c>
      <c r="C142" s="317">
        <v>46139</v>
      </c>
      <c r="D142" s="836"/>
      <c r="E142" s="77">
        <v>80</v>
      </c>
      <c r="F142" s="50" t="s">
        <v>654</v>
      </c>
      <c r="G142" s="27">
        <v>150</v>
      </c>
      <c r="H142" s="80">
        <v>180</v>
      </c>
      <c r="I142" s="48">
        <v>10</v>
      </c>
      <c r="J142" s="48">
        <v>150</v>
      </c>
      <c r="K142" s="47"/>
      <c r="L142" s="47"/>
      <c r="M142" s="47"/>
      <c r="N142" s="605" t="s">
        <v>270</v>
      </c>
      <c r="O142" s="98"/>
      <c r="P142" s="267">
        <v>2</v>
      </c>
      <c r="Q142" s="45"/>
      <c r="R142" s="45">
        <v>2</v>
      </c>
      <c r="S142" s="43">
        <v>0</v>
      </c>
      <c r="T142" s="606">
        <v>1</v>
      </c>
      <c r="U142" s="91">
        <v>3</v>
      </c>
      <c r="V142" s="44" t="s">
        <v>271</v>
      </c>
      <c r="W142" s="44">
        <v>5</v>
      </c>
      <c r="X142" s="44">
        <v>10</v>
      </c>
      <c r="Y142" s="44" t="s">
        <v>270</v>
      </c>
      <c r="Z142" s="44" t="s">
        <v>401</v>
      </c>
      <c r="AA142" s="44"/>
      <c r="AB142" s="44"/>
      <c r="AC142" s="43"/>
      <c r="AD142" s="43"/>
      <c r="AE142" s="42"/>
      <c r="AF142" s="50" t="s">
        <v>682</v>
      </c>
      <c r="AG142" s="41"/>
      <c r="AH142" s="41"/>
      <c r="AI142" s="41"/>
      <c r="AJ142" s="41"/>
      <c r="AK142" s="41"/>
      <c r="AL142" s="41"/>
    </row>
    <row r="143" spans="1:38" s="50" customFormat="1" ht="15.95" customHeight="1">
      <c r="A143" s="306" t="s">
        <v>683</v>
      </c>
      <c r="B143" s="50" t="s">
        <v>673</v>
      </c>
      <c r="C143" s="318">
        <v>46139</v>
      </c>
      <c r="D143" s="353" t="s">
        <v>684</v>
      </c>
      <c r="E143" s="77">
        <v>100</v>
      </c>
      <c r="F143" s="50" t="s">
        <v>654</v>
      </c>
      <c r="G143" s="27">
        <v>150</v>
      </c>
      <c r="H143" s="80">
        <v>180</v>
      </c>
      <c r="I143" s="48">
        <v>10</v>
      </c>
      <c r="J143" s="48">
        <v>150</v>
      </c>
      <c r="K143" s="47"/>
      <c r="L143" s="47"/>
      <c r="M143" s="47"/>
      <c r="N143" s="605" t="s">
        <v>270</v>
      </c>
      <c r="O143" s="98"/>
      <c r="P143" s="267">
        <v>2</v>
      </c>
      <c r="Q143" s="45"/>
      <c r="R143" s="45">
        <v>2</v>
      </c>
      <c r="S143" s="43">
        <v>0</v>
      </c>
      <c r="T143" s="606">
        <v>1</v>
      </c>
      <c r="U143" s="91">
        <v>3</v>
      </c>
      <c r="V143" s="44" t="s">
        <v>271</v>
      </c>
      <c r="W143" s="77">
        <v>7</v>
      </c>
      <c r="X143" s="44">
        <v>10</v>
      </c>
      <c r="Y143" s="44" t="s">
        <v>270</v>
      </c>
      <c r="Z143" s="44" t="s">
        <v>401</v>
      </c>
      <c r="AA143" s="44"/>
      <c r="AB143" s="44"/>
      <c r="AC143" s="43"/>
      <c r="AD143" s="43"/>
      <c r="AE143" s="42"/>
      <c r="AG143" s="41"/>
      <c r="AH143" s="41"/>
      <c r="AI143" s="41" t="s">
        <v>685</v>
      </c>
      <c r="AJ143" s="41"/>
      <c r="AK143" s="41"/>
      <c r="AL143" s="41"/>
    </row>
    <row r="144" spans="1:38" s="50" customFormat="1" ht="15.95" customHeight="1">
      <c r="A144" s="295" t="s">
        <v>686</v>
      </c>
      <c r="B144" s="50" t="s">
        <v>683</v>
      </c>
      <c r="C144" s="317">
        <v>46140</v>
      </c>
      <c r="D144" s="836" t="s">
        <v>687</v>
      </c>
      <c r="E144" s="44">
        <v>100</v>
      </c>
      <c r="F144" s="50" t="s">
        <v>654</v>
      </c>
      <c r="G144" s="27">
        <v>150</v>
      </c>
      <c r="H144" s="80">
        <v>180</v>
      </c>
      <c r="I144" s="82">
        <v>5</v>
      </c>
      <c r="J144" s="48">
        <v>150</v>
      </c>
      <c r="K144" s="47"/>
      <c r="L144" s="47"/>
      <c r="M144" s="47"/>
      <c r="N144" s="605" t="s">
        <v>270</v>
      </c>
      <c r="O144" s="98"/>
      <c r="P144" s="267">
        <v>2</v>
      </c>
      <c r="Q144" s="45"/>
      <c r="R144" s="45">
        <v>2</v>
      </c>
      <c r="S144" s="43">
        <v>0</v>
      </c>
      <c r="T144" s="606">
        <v>1</v>
      </c>
      <c r="U144" s="91">
        <v>3</v>
      </c>
      <c r="V144" s="44" t="s">
        <v>271</v>
      </c>
      <c r="W144" s="44">
        <v>7</v>
      </c>
      <c r="X144" s="44">
        <v>10</v>
      </c>
      <c r="Y144" s="44" t="s">
        <v>270</v>
      </c>
      <c r="Z144" s="44" t="s">
        <v>401</v>
      </c>
      <c r="AA144" s="44"/>
      <c r="AB144" s="44"/>
      <c r="AC144" s="43"/>
      <c r="AD144" s="43"/>
      <c r="AE144" s="42"/>
      <c r="AF144" s="50" t="s">
        <v>688</v>
      </c>
      <c r="AG144" s="41"/>
      <c r="AH144" s="41"/>
      <c r="AI144" s="41" t="s">
        <v>689</v>
      </c>
      <c r="AJ144" s="41"/>
      <c r="AK144" s="41"/>
      <c r="AL144" s="41"/>
    </row>
    <row r="145" spans="1:38" s="50" customFormat="1" ht="15.95" customHeight="1">
      <c r="A145" s="306" t="s">
        <v>690</v>
      </c>
      <c r="B145" s="50" t="s">
        <v>686</v>
      </c>
      <c r="C145" s="317">
        <v>46140</v>
      </c>
      <c r="D145" s="836"/>
      <c r="E145" s="44">
        <v>100</v>
      </c>
      <c r="F145" s="50" t="s">
        <v>654</v>
      </c>
      <c r="G145" s="27">
        <v>150</v>
      </c>
      <c r="H145" s="80">
        <v>180</v>
      </c>
      <c r="I145" s="48">
        <v>5</v>
      </c>
      <c r="J145" s="48">
        <v>150</v>
      </c>
      <c r="K145" s="47"/>
      <c r="L145" s="47"/>
      <c r="M145" s="47"/>
      <c r="N145" s="605" t="s">
        <v>270</v>
      </c>
      <c r="O145" s="98"/>
      <c r="P145" s="327">
        <v>4</v>
      </c>
      <c r="Q145" s="45"/>
      <c r="R145" s="45">
        <v>2</v>
      </c>
      <c r="S145" s="43">
        <v>0</v>
      </c>
      <c r="T145" s="606">
        <v>1</v>
      </c>
      <c r="U145" s="91">
        <v>3</v>
      </c>
      <c r="V145" s="44" t="s">
        <v>271</v>
      </c>
      <c r="W145" s="44">
        <v>7</v>
      </c>
      <c r="X145" s="44">
        <v>10</v>
      </c>
      <c r="Y145" s="44" t="s">
        <v>270</v>
      </c>
      <c r="Z145" s="44" t="s">
        <v>401</v>
      </c>
      <c r="AA145" s="44"/>
      <c r="AB145" s="44"/>
      <c r="AC145" s="43"/>
      <c r="AD145" s="43"/>
      <c r="AE145" s="42"/>
      <c r="AF145" s="50" t="s">
        <v>688</v>
      </c>
      <c r="AG145" s="41"/>
      <c r="AH145" s="41"/>
      <c r="AI145" s="41" t="s">
        <v>691</v>
      </c>
      <c r="AJ145" s="41"/>
      <c r="AK145" s="41"/>
      <c r="AL145" s="41"/>
    </row>
    <row r="146" spans="1:38" s="50" customFormat="1" ht="15.95" customHeight="1">
      <c r="A146" s="50" t="s">
        <v>692</v>
      </c>
      <c r="B146" s="50" t="s">
        <v>686</v>
      </c>
      <c r="C146" s="317">
        <v>46140</v>
      </c>
      <c r="D146" s="353" t="s">
        <v>693</v>
      </c>
      <c r="E146" s="44">
        <v>100</v>
      </c>
      <c r="F146" s="50" t="s">
        <v>654</v>
      </c>
      <c r="G146" s="27">
        <v>150</v>
      </c>
      <c r="H146" s="80">
        <v>180</v>
      </c>
      <c r="I146" s="82">
        <v>3</v>
      </c>
      <c r="J146" s="48">
        <v>150</v>
      </c>
      <c r="K146" s="47"/>
      <c r="L146" s="47"/>
      <c r="M146" s="47"/>
      <c r="N146" s="605" t="s">
        <v>270</v>
      </c>
      <c r="O146" s="604"/>
      <c r="P146" s="46">
        <v>2</v>
      </c>
      <c r="Q146" s="45"/>
      <c r="R146" s="45">
        <v>2</v>
      </c>
      <c r="S146" s="43">
        <v>0</v>
      </c>
      <c r="T146" s="606">
        <v>1</v>
      </c>
      <c r="U146" s="91">
        <v>3</v>
      </c>
      <c r="V146" s="44" t="s">
        <v>271</v>
      </c>
      <c r="W146" s="44">
        <v>7</v>
      </c>
      <c r="X146" s="77">
        <v>20</v>
      </c>
      <c r="Y146" s="44" t="s">
        <v>270</v>
      </c>
      <c r="Z146" s="44" t="s">
        <v>401</v>
      </c>
      <c r="AA146" s="44"/>
      <c r="AB146" s="44"/>
      <c r="AC146" s="43"/>
      <c r="AD146" s="43"/>
      <c r="AE146" s="42"/>
      <c r="AF146" s="41"/>
      <c r="AG146" s="41"/>
      <c r="AH146" s="41"/>
      <c r="AI146" s="41"/>
      <c r="AJ146" s="41"/>
      <c r="AK146" s="41"/>
      <c r="AL146" s="41"/>
    </row>
    <row r="147" spans="1:38" s="50" customFormat="1" ht="15.95" customHeight="1">
      <c r="A147" s="50" t="s">
        <v>694</v>
      </c>
      <c r="C147" s="317">
        <v>46141</v>
      </c>
      <c r="D147" s="314"/>
      <c r="E147" s="44">
        <v>100</v>
      </c>
      <c r="F147" s="50" t="s">
        <v>654</v>
      </c>
      <c r="G147" s="27">
        <v>150</v>
      </c>
      <c r="H147" s="80">
        <v>180</v>
      </c>
      <c r="I147" s="82">
        <v>5</v>
      </c>
      <c r="J147" s="48">
        <v>150</v>
      </c>
      <c r="K147" s="47"/>
      <c r="L147" s="47"/>
      <c r="M147" s="47"/>
      <c r="N147" s="605" t="s">
        <v>270</v>
      </c>
      <c r="O147" s="604"/>
      <c r="P147" s="46">
        <v>2</v>
      </c>
      <c r="Q147" s="45"/>
      <c r="R147" s="45">
        <v>2</v>
      </c>
      <c r="S147" s="43">
        <v>0</v>
      </c>
      <c r="T147" s="606">
        <v>1</v>
      </c>
      <c r="U147" s="91">
        <v>3</v>
      </c>
      <c r="V147" s="44" t="s">
        <v>271</v>
      </c>
      <c r="W147" s="44">
        <v>7</v>
      </c>
      <c r="X147" s="44">
        <v>20</v>
      </c>
      <c r="Y147" s="44"/>
      <c r="Z147" s="44"/>
      <c r="AA147" s="44"/>
      <c r="AB147" s="44"/>
      <c r="AC147" s="43"/>
      <c r="AD147" s="43"/>
      <c r="AE147" s="42"/>
      <c r="AF147" s="41"/>
      <c r="AG147" s="41"/>
      <c r="AH147" s="41"/>
      <c r="AI147" s="41"/>
      <c r="AJ147" s="41"/>
      <c r="AK147" s="41"/>
      <c r="AL147" s="41"/>
    </row>
    <row r="148" spans="1:38" s="50" customFormat="1" ht="15.95" customHeight="1">
      <c r="C148" s="317">
        <v>46141</v>
      </c>
      <c r="D148" s="315" t="s">
        <v>695</v>
      </c>
      <c r="E148" s="44"/>
      <c r="F148" s="44"/>
      <c r="G148" s="44"/>
      <c r="H148" s="44"/>
      <c r="I148" s="48"/>
      <c r="J148" s="48"/>
      <c r="K148" s="47"/>
      <c r="L148" s="47"/>
      <c r="M148" s="47"/>
      <c r="N148" s="605"/>
      <c r="O148" s="604"/>
      <c r="P148" s="46"/>
      <c r="Q148" s="45"/>
      <c r="R148" s="45"/>
      <c r="S148" s="43"/>
      <c r="T148" s="91"/>
      <c r="U148" s="91"/>
      <c r="V148" s="44" t="s">
        <v>271</v>
      </c>
      <c r="W148" s="44"/>
      <c r="X148" s="44"/>
      <c r="Y148" s="44"/>
      <c r="Z148" s="44"/>
      <c r="AA148" s="44"/>
      <c r="AB148" s="44"/>
      <c r="AC148" s="43"/>
      <c r="AD148" s="43"/>
      <c r="AE148" s="42"/>
      <c r="AF148" s="41"/>
      <c r="AG148" s="41"/>
      <c r="AH148" s="41"/>
      <c r="AI148" s="41"/>
      <c r="AJ148" s="41"/>
      <c r="AK148" s="41"/>
      <c r="AL148" s="41"/>
    </row>
    <row r="149" spans="1:38" s="50" customFormat="1" ht="15.95" customHeight="1">
      <c r="A149" s="295" t="s">
        <v>696</v>
      </c>
      <c r="C149" s="316">
        <v>46143</v>
      </c>
      <c r="D149" s="314"/>
      <c r="E149" s="44">
        <v>65</v>
      </c>
      <c r="F149" s="44">
        <v>890</v>
      </c>
      <c r="G149" s="44">
        <v>80</v>
      </c>
      <c r="H149" s="44">
        <v>150</v>
      </c>
      <c r="I149" s="48" t="s">
        <v>697</v>
      </c>
      <c r="J149" s="48" t="s">
        <v>270</v>
      </c>
      <c r="K149" s="47"/>
      <c r="L149" s="47">
        <v>70</v>
      </c>
      <c r="M149" s="47">
        <v>150</v>
      </c>
      <c r="N149" s="605"/>
      <c r="O149" s="604"/>
      <c r="P149" s="46">
        <v>1</v>
      </c>
      <c r="Q149" s="45"/>
      <c r="R149" s="45" t="s">
        <v>270</v>
      </c>
      <c r="S149" s="43">
        <v>10</v>
      </c>
      <c r="T149" s="606" t="s">
        <v>270</v>
      </c>
      <c r="U149" s="606" t="s">
        <v>270</v>
      </c>
      <c r="V149" s="44" t="s">
        <v>271</v>
      </c>
      <c r="W149" s="44">
        <v>5</v>
      </c>
      <c r="X149" s="44">
        <v>15</v>
      </c>
      <c r="Y149" s="44" t="s">
        <v>698</v>
      </c>
      <c r="Z149" s="44" t="s">
        <v>401</v>
      </c>
      <c r="AA149" s="44"/>
      <c r="AB149" s="44"/>
      <c r="AC149" s="43"/>
      <c r="AD149" s="43"/>
      <c r="AE149" s="42"/>
      <c r="AF149" s="41" t="s">
        <v>699</v>
      </c>
      <c r="AG149" s="41"/>
      <c r="AH149" s="41" t="s">
        <v>700</v>
      </c>
      <c r="AI149" s="41" t="s">
        <v>701</v>
      </c>
      <c r="AJ149" s="41"/>
      <c r="AK149" s="41"/>
      <c r="AL149" s="41"/>
    </row>
    <row r="150" spans="1:38" s="50" customFormat="1" ht="15.95" customHeight="1">
      <c r="A150" s="295" t="s">
        <v>702</v>
      </c>
      <c r="B150" s="50" t="s">
        <v>696</v>
      </c>
      <c r="C150" s="318">
        <v>46143</v>
      </c>
      <c r="D150" s="315"/>
      <c r="E150" s="44">
        <v>65</v>
      </c>
      <c r="F150" s="44">
        <v>890</v>
      </c>
      <c r="G150" s="44">
        <v>80</v>
      </c>
      <c r="H150" s="44">
        <v>150</v>
      </c>
      <c r="I150" s="48" t="s">
        <v>697</v>
      </c>
      <c r="J150" s="48" t="s">
        <v>270</v>
      </c>
      <c r="K150" s="47"/>
      <c r="L150" s="47">
        <v>70</v>
      </c>
      <c r="M150" s="47">
        <v>150</v>
      </c>
      <c r="N150" s="605"/>
      <c r="O150" s="166"/>
      <c r="P150" s="46">
        <v>1</v>
      </c>
      <c r="Q150" s="45"/>
      <c r="R150" s="45" t="s">
        <v>270</v>
      </c>
      <c r="S150" s="43">
        <v>10</v>
      </c>
      <c r="T150" s="606" t="s">
        <v>270</v>
      </c>
      <c r="U150" s="606" t="s">
        <v>270</v>
      </c>
      <c r="V150" s="44" t="s">
        <v>271</v>
      </c>
      <c r="W150" s="44">
        <v>5</v>
      </c>
      <c r="X150" s="44">
        <v>15</v>
      </c>
      <c r="Y150" s="77" t="s">
        <v>703</v>
      </c>
      <c r="Z150" s="44" t="s">
        <v>401</v>
      </c>
      <c r="AA150" s="44"/>
      <c r="AB150" s="44"/>
      <c r="AC150" s="43"/>
      <c r="AD150" s="43"/>
      <c r="AE150" s="42"/>
      <c r="AF150" s="41" t="s">
        <v>704</v>
      </c>
      <c r="AG150" s="41" t="s">
        <v>705</v>
      </c>
      <c r="AH150" s="41"/>
      <c r="AI150" s="41" t="s">
        <v>706</v>
      </c>
      <c r="AJ150" s="41"/>
      <c r="AK150" s="41"/>
      <c r="AL150" s="41"/>
    </row>
    <row r="151" spans="1:38" s="50" customFormat="1" ht="15.95" customHeight="1">
      <c r="A151" s="359" t="s">
        <v>707</v>
      </c>
      <c r="B151" s="50" t="s">
        <v>696</v>
      </c>
      <c r="C151" s="316">
        <v>46145</v>
      </c>
      <c r="D151" s="315" t="s">
        <v>708</v>
      </c>
      <c r="E151" s="44">
        <v>65</v>
      </c>
      <c r="F151" s="44">
        <v>890</v>
      </c>
      <c r="G151" s="77">
        <v>150</v>
      </c>
      <c r="H151" s="44">
        <v>150</v>
      </c>
      <c r="I151" s="82" t="s">
        <v>709</v>
      </c>
      <c r="J151" s="48" t="s">
        <v>270</v>
      </c>
      <c r="K151" s="47"/>
      <c r="L151" s="47">
        <v>70</v>
      </c>
      <c r="M151" s="47">
        <v>150</v>
      </c>
      <c r="N151" s="93"/>
      <c r="O151" s="98"/>
      <c r="P151" s="46">
        <v>2</v>
      </c>
      <c r="Q151" s="45"/>
      <c r="R151" s="45" t="s">
        <v>270</v>
      </c>
      <c r="S151" s="43">
        <v>10</v>
      </c>
      <c r="T151" s="606" t="s">
        <v>270</v>
      </c>
      <c r="U151" s="606" t="s">
        <v>270</v>
      </c>
      <c r="V151" s="44" t="s">
        <v>271</v>
      </c>
      <c r="W151" s="44">
        <v>5</v>
      </c>
      <c r="X151" s="44">
        <v>15</v>
      </c>
      <c r="Y151" s="77" t="s">
        <v>710</v>
      </c>
      <c r="Z151" s="44" t="s">
        <v>401</v>
      </c>
      <c r="AA151" s="44"/>
      <c r="AB151" s="44"/>
      <c r="AC151" s="43"/>
      <c r="AD151" s="43"/>
      <c r="AE151" s="42"/>
      <c r="AF151" s="41"/>
      <c r="AG151" s="41"/>
      <c r="AH151" s="41"/>
      <c r="AI151" s="41"/>
      <c r="AJ151" s="41"/>
      <c r="AK151" s="41"/>
      <c r="AL151" s="41"/>
    </row>
    <row r="152" spans="1:38" s="50" customFormat="1" ht="15.95" customHeight="1">
      <c r="A152" s="359" t="s">
        <v>711</v>
      </c>
      <c r="B152" s="50" t="s">
        <v>696</v>
      </c>
      <c r="C152" s="317">
        <v>46145</v>
      </c>
      <c r="D152" s="314"/>
      <c r="E152" s="44">
        <v>65</v>
      </c>
      <c r="F152" s="44">
        <v>890</v>
      </c>
      <c r="G152" s="77">
        <v>200</v>
      </c>
      <c r="H152" s="44">
        <v>150</v>
      </c>
      <c r="I152" s="82" t="s">
        <v>712</v>
      </c>
      <c r="J152" s="48" t="s">
        <v>270</v>
      </c>
      <c r="K152" s="47"/>
      <c r="L152" s="47">
        <v>70</v>
      </c>
      <c r="M152" s="47">
        <v>150</v>
      </c>
      <c r="N152" s="93"/>
      <c r="O152" s="98"/>
      <c r="P152" s="46">
        <v>2</v>
      </c>
      <c r="Q152" s="45"/>
      <c r="R152" s="45" t="s">
        <v>270</v>
      </c>
      <c r="S152" s="43">
        <v>10</v>
      </c>
      <c r="T152" s="606" t="s">
        <v>270</v>
      </c>
      <c r="U152" s="606" t="s">
        <v>270</v>
      </c>
      <c r="V152" s="44" t="s">
        <v>271</v>
      </c>
      <c r="W152" s="44">
        <v>5</v>
      </c>
      <c r="X152" s="44">
        <v>15</v>
      </c>
      <c r="Y152" s="77" t="s">
        <v>270</v>
      </c>
      <c r="Z152" s="44" t="s">
        <v>401</v>
      </c>
      <c r="AA152" s="44"/>
      <c r="AB152" s="44"/>
      <c r="AC152" s="43"/>
      <c r="AD152" s="43"/>
      <c r="AE152" s="42"/>
      <c r="AF152" s="41"/>
      <c r="AG152" s="41"/>
      <c r="AH152" s="41"/>
      <c r="AI152" s="41"/>
      <c r="AJ152" s="41"/>
      <c r="AK152" s="41"/>
      <c r="AL152" s="41"/>
    </row>
    <row r="153" spans="1:38" s="50" customFormat="1" ht="15.95" customHeight="1">
      <c r="A153" s="359" t="s">
        <v>713</v>
      </c>
      <c r="B153" s="50" t="s">
        <v>696</v>
      </c>
      <c r="C153" s="318">
        <v>46145</v>
      </c>
      <c r="D153" s="328"/>
      <c r="E153" s="44">
        <v>65</v>
      </c>
      <c r="F153" s="44">
        <v>890</v>
      </c>
      <c r="G153" s="44">
        <v>200</v>
      </c>
      <c r="H153" s="44">
        <v>150</v>
      </c>
      <c r="I153" s="48" t="s">
        <v>714</v>
      </c>
      <c r="J153" s="48" t="s">
        <v>270</v>
      </c>
      <c r="K153" s="47"/>
      <c r="L153" s="47">
        <v>70</v>
      </c>
      <c r="M153" s="47">
        <v>150</v>
      </c>
      <c r="N153" s="93"/>
      <c r="O153" s="98"/>
      <c r="P153" s="46">
        <v>2</v>
      </c>
      <c r="Q153" s="45"/>
      <c r="R153" s="45" t="s">
        <v>270</v>
      </c>
      <c r="S153" s="43">
        <v>10</v>
      </c>
      <c r="T153" s="606" t="s">
        <v>270</v>
      </c>
      <c r="U153" s="606" t="s">
        <v>270</v>
      </c>
      <c r="V153" s="44" t="s">
        <v>271</v>
      </c>
      <c r="W153" s="77">
        <v>2</v>
      </c>
      <c r="X153" s="44">
        <v>15</v>
      </c>
      <c r="Y153" s="44" t="s">
        <v>270</v>
      </c>
      <c r="Z153" s="44" t="s">
        <v>401</v>
      </c>
      <c r="AA153" s="44"/>
      <c r="AB153" s="44"/>
      <c r="AC153" s="43"/>
      <c r="AD153" s="43"/>
      <c r="AE153" s="42" t="s">
        <v>715</v>
      </c>
      <c r="AF153" s="41"/>
      <c r="AG153" s="41"/>
      <c r="AH153" s="41" t="s">
        <v>716</v>
      </c>
      <c r="AI153" s="41"/>
      <c r="AJ153" s="41"/>
      <c r="AK153" s="41"/>
      <c r="AL153" s="41"/>
    </row>
    <row r="154" spans="1:38" s="50" customFormat="1" ht="15.95" customHeight="1">
      <c r="A154" s="306" t="s">
        <v>717</v>
      </c>
      <c r="B154" s="50" t="s">
        <v>713</v>
      </c>
      <c r="C154" s="316">
        <v>46146</v>
      </c>
      <c r="D154" s="328"/>
      <c r="E154" s="44">
        <v>65</v>
      </c>
      <c r="F154" s="44">
        <v>890</v>
      </c>
      <c r="G154" s="44">
        <v>200</v>
      </c>
      <c r="H154" s="44">
        <v>150</v>
      </c>
      <c r="I154" s="48" t="s">
        <v>714</v>
      </c>
      <c r="J154" s="48" t="s">
        <v>270</v>
      </c>
      <c r="K154" s="47"/>
      <c r="L154" s="362">
        <v>50</v>
      </c>
      <c r="M154" s="47">
        <v>150</v>
      </c>
      <c r="N154" s="93"/>
      <c r="O154" s="98"/>
      <c r="P154" s="46">
        <v>2</v>
      </c>
      <c r="Q154" s="45"/>
      <c r="R154" s="45" t="s">
        <v>270</v>
      </c>
      <c r="S154" s="43">
        <v>10</v>
      </c>
      <c r="T154" s="606" t="s">
        <v>270</v>
      </c>
      <c r="U154" s="606" t="s">
        <v>270</v>
      </c>
      <c r="V154" s="44" t="s">
        <v>271</v>
      </c>
      <c r="W154" s="77">
        <v>5</v>
      </c>
      <c r="X154" s="77">
        <v>10</v>
      </c>
      <c r="Y154" s="77" t="s">
        <v>718</v>
      </c>
      <c r="Z154" s="44" t="s">
        <v>401</v>
      </c>
      <c r="AA154" s="44"/>
      <c r="AB154" s="44"/>
      <c r="AC154" s="43"/>
      <c r="AD154" s="43"/>
      <c r="AE154" s="42"/>
      <c r="AG154" s="42" t="s">
        <v>719</v>
      </c>
      <c r="AH154" s="41" t="s">
        <v>720</v>
      </c>
      <c r="AI154" s="41" t="s">
        <v>721</v>
      </c>
      <c r="AJ154" s="41"/>
      <c r="AK154" s="41"/>
      <c r="AL154" s="41"/>
    </row>
    <row r="155" spans="1:38" s="50" customFormat="1" ht="15.95" customHeight="1">
      <c r="A155" s="295" t="s">
        <v>722</v>
      </c>
      <c r="B155" s="50" t="s">
        <v>717</v>
      </c>
      <c r="C155" s="317">
        <v>46146</v>
      </c>
      <c r="D155" s="328"/>
      <c r="E155" s="44">
        <v>65</v>
      </c>
      <c r="F155" s="44">
        <v>890</v>
      </c>
      <c r="G155" s="44">
        <v>200</v>
      </c>
      <c r="H155" s="44">
        <v>150</v>
      </c>
      <c r="I155" s="48" t="s">
        <v>714</v>
      </c>
      <c r="J155" s="48" t="s">
        <v>270</v>
      </c>
      <c r="K155" s="47"/>
      <c r="L155" s="47">
        <v>50</v>
      </c>
      <c r="M155" s="47">
        <v>150</v>
      </c>
      <c r="N155" s="93"/>
      <c r="O155" s="98"/>
      <c r="P155" s="46">
        <v>2</v>
      </c>
      <c r="Q155" s="45"/>
      <c r="R155" s="45" t="s">
        <v>270</v>
      </c>
      <c r="S155" s="43">
        <v>10</v>
      </c>
      <c r="T155" s="606" t="s">
        <v>270</v>
      </c>
      <c r="U155" s="606" t="s">
        <v>270</v>
      </c>
      <c r="V155" s="44" t="s">
        <v>271</v>
      </c>
      <c r="W155" s="44">
        <v>5</v>
      </c>
      <c r="X155" s="77">
        <v>13</v>
      </c>
      <c r="Y155" s="44" t="s">
        <v>718</v>
      </c>
      <c r="Z155" s="44" t="s">
        <v>401</v>
      </c>
      <c r="AA155" s="44"/>
      <c r="AB155" s="44"/>
      <c r="AC155" s="43"/>
      <c r="AD155" s="43"/>
      <c r="AE155" s="42"/>
      <c r="AF155" s="41"/>
      <c r="AG155" s="42" t="s">
        <v>723</v>
      </c>
      <c r="AI155" s="41" t="s">
        <v>724</v>
      </c>
      <c r="AJ155" s="41"/>
      <c r="AK155" s="41"/>
      <c r="AL155" s="41"/>
    </row>
    <row r="156" spans="1:38" s="50" customFormat="1" ht="15.95" customHeight="1">
      <c r="A156" s="306" t="s">
        <v>725</v>
      </c>
      <c r="B156" s="50" t="s">
        <v>722</v>
      </c>
      <c r="C156" s="318">
        <v>46146</v>
      </c>
      <c r="D156" s="250" t="s">
        <v>726</v>
      </c>
      <c r="E156" s="44">
        <v>65</v>
      </c>
      <c r="F156" s="44">
        <v>890</v>
      </c>
      <c r="G156" s="44">
        <v>200</v>
      </c>
      <c r="H156" s="44">
        <v>150</v>
      </c>
      <c r="I156" s="48" t="s">
        <v>714</v>
      </c>
      <c r="J156" s="48" t="s">
        <v>270</v>
      </c>
      <c r="K156" s="47"/>
      <c r="L156" s="47">
        <v>50</v>
      </c>
      <c r="M156" s="47">
        <v>150</v>
      </c>
      <c r="N156" s="93"/>
      <c r="O156" s="98"/>
      <c r="P156" s="46">
        <v>2</v>
      </c>
      <c r="Q156" s="45"/>
      <c r="R156" s="45" t="s">
        <v>270</v>
      </c>
      <c r="S156" s="43">
        <v>10</v>
      </c>
      <c r="T156" s="606" t="s">
        <v>270</v>
      </c>
      <c r="U156" s="606" t="s">
        <v>270</v>
      </c>
      <c r="V156" s="44" t="s">
        <v>271</v>
      </c>
      <c r="W156" s="44">
        <v>5</v>
      </c>
      <c r="X156" s="77">
        <v>15</v>
      </c>
      <c r="Y156" s="44" t="s">
        <v>718</v>
      </c>
      <c r="Z156" s="44" t="s">
        <v>401</v>
      </c>
      <c r="AA156" s="44"/>
      <c r="AB156" s="44"/>
      <c r="AC156" s="43"/>
      <c r="AD156" s="43"/>
      <c r="AE156" s="42"/>
      <c r="AF156" s="41"/>
      <c r="AG156" s="41"/>
      <c r="AH156" s="41"/>
      <c r="AI156" s="50" t="s">
        <v>727</v>
      </c>
      <c r="AL156" s="41"/>
    </row>
    <row r="157" spans="1:38" s="50" customFormat="1" ht="15.95" customHeight="1">
      <c r="A157" s="306" t="s">
        <v>728</v>
      </c>
      <c r="B157" s="50" t="s">
        <v>725</v>
      </c>
      <c r="C157" s="316">
        <v>46147</v>
      </c>
      <c r="D157" s="360" t="s">
        <v>729</v>
      </c>
      <c r="E157" s="44">
        <v>65</v>
      </c>
      <c r="F157" s="44">
        <v>890</v>
      </c>
      <c r="G157" s="44">
        <v>200</v>
      </c>
      <c r="H157" s="44">
        <v>150</v>
      </c>
      <c r="I157" s="48" t="s">
        <v>714</v>
      </c>
      <c r="J157" s="48" t="s">
        <v>270</v>
      </c>
      <c r="K157" s="47"/>
      <c r="L157" s="47">
        <v>50</v>
      </c>
      <c r="M157" s="47">
        <v>150</v>
      </c>
      <c r="N157" s="93"/>
      <c r="O157" s="98"/>
      <c r="P157" s="46">
        <v>2</v>
      </c>
      <c r="Q157" s="45"/>
      <c r="R157" s="45" t="s">
        <v>270</v>
      </c>
      <c r="S157" s="43">
        <v>10</v>
      </c>
      <c r="T157" s="606" t="s">
        <v>270</v>
      </c>
      <c r="U157" s="606" t="s">
        <v>270</v>
      </c>
      <c r="V157" s="44" t="s">
        <v>271</v>
      </c>
      <c r="W157" s="44">
        <v>5</v>
      </c>
      <c r="X157" s="44">
        <v>15</v>
      </c>
      <c r="Y157" s="44" t="s">
        <v>718</v>
      </c>
      <c r="Z157" s="44" t="s">
        <v>401</v>
      </c>
      <c r="AA157" s="44"/>
      <c r="AB157" s="44"/>
      <c r="AC157" s="43"/>
      <c r="AD157" s="43"/>
      <c r="AE157" s="42"/>
      <c r="AF157" s="41"/>
      <c r="AG157" s="41"/>
      <c r="AH157" s="41"/>
      <c r="AI157" s="41"/>
      <c r="AJ157" s="41"/>
      <c r="AK157" s="41"/>
      <c r="AL157" s="41"/>
    </row>
    <row r="158" spans="1:38" s="50" customFormat="1" ht="15.95" customHeight="1">
      <c r="A158" s="306" t="s">
        <v>730</v>
      </c>
      <c r="B158" s="50" t="s">
        <v>728</v>
      </c>
      <c r="C158" s="317">
        <v>46147</v>
      </c>
      <c r="D158" s="49" t="s">
        <v>731</v>
      </c>
      <c r="E158" s="44">
        <v>65</v>
      </c>
      <c r="F158" s="44">
        <v>890</v>
      </c>
      <c r="G158" s="44">
        <v>200</v>
      </c>
      <c r="H158" s="44">
        <v>150</v>
      </c>
      <c r="I158" s="48" t="s">
        <v>714</v>
      </c>
      <c r="J158" s="48" t="s">
        <v>270</v>
      </c>
      <c r="K158" s="47"/>
      <c r="L158" s="47">
        <v>50</v>
      </c>
      <c r="M158" s="47">
        <v>150</v>
      </c>
      <c r="N158" s="93"/>
      <c r="O158" s="98"/>
      <c r="P158" s="46">
        <v>2</v>
      </c>
      <c r="Q158" s="45"/>
      <c r="R158" s="344">
        <v>0.5</v>
      </c>
      <c r="S158" s="43">
        <v>10</v>
      </c>
      <c r="T158" s="606" t="s">
        <v>270</v>
      </c>
      <c r="U158" s="606" t="s">
        <v>270</v>
      </c>
      <c r="V158" s="44" t="s">
        <v>271</v>
      </c>
      <c r="W158" s="44">
        <v>5</v>
      </c>
      <c r="X158" s="44">
        <v>15</v>
      </c>
      <c r="Y158" s="44" t="s">
        <v>718</v>
      </c>
      <c r="Z158" s="44" t="s">
        <v>401</v>
      </c>
      <c r="AA158" s="44"/>
      <c r="AB158" s="44"/>
      <c r="AC158" s="43"/>
      <c r="AD158" s="43"/>
      <c r="AE158" s="42"/>
      <c r="AF158" s="41"/>
      <c r="AG158" s="41"/>
      <c r="AH158" s="41"/>
      <c r="AI158" s="41"/>
      <c r="AJ158" s="41"/>
      <c r="AK158" s="41"/>
      <c r="AL158" s="41"/>
    </row>
    <row r="159" spans="1:38" s="50" customFormat="1" ht="15.95" customHeight="1">
      <c r="A159" s="50" t="s">
        <v>732</v>
      </c>
      <c r="B159" s="50" t="s">
        <v>730</v>
      </c>
      <c r="C159" s="317">
        <v>46147</v>
      </c>
      <c r="D159" s="836" t="s">
        <v>733</v>
      </c>
      <c r="E159" s="44">
        <v>65</v>
      </c>
      <c r="F159" s="44">
        <v>890</v>
      </c>
      <c r="G159" s="44">
        <v>200</v>
      </c>
      <c r="H159" s="44">
        <v>150</v>
      </c>
      <c r="I159" s="48" t="s">
        <v>714</v>
      </c>
      <c r="J159" s="48" t="s">
        <v>270</v>
      </c>
      <c r="K159" s="47"/>
      <c r="L159" s="47">
        <v>50</v>
      </c>
      <c r="M159" s="47">
        <v>150</v>
      </c>
      <c r="N159" s="93"/>
      <c r="O159" s="98"/>
      <c r="P159" s="46">
        <v>2</v>
      </c>
      <c r="Q159" s="45"/>
      <c r="R159" s="361">
        <v>0.5</v>
      </c>
      <c r="S159" s="43">
        <v>10</v>
      </c>
      <c r="T159" s="606" t="s">
        <v>270</v>
      </c>
      <c r="U159" s="606" t="s">
        <v>270</v>
      </c>
      <c r="V159" s="44" t="s">
        <v>271</v>
      </c>
      <c r="W159" s="77">
        <v>7</v>
      </c>
      <c r="X159" s="44">
        <v>15</v>
      </c>
      <c r="Y159" s="44" t="s">
        <v>718</v>
      </c>
      <c r="Z159" s="44" t="s">
        <v>401</v>
      </c>
      <c r="AA159" s="44"/>
      <c r="AB159" s="44"/>
      <c r="AC159" s="43"/>
      <c r="AD159" s="43"/>
      <c r="AE159" s="42"/>
      <c r="AF159" s="41"/>
      <c r="AG159" s="41"/>
      <c r="AH159" s="41"/>
      <c r="AI159" s="41" t="s">
        <v>734</v>
      </c>
      <c r="AJ159" s="41"/>
      <c r="AK159" s="41"/>
      <c r="AL159" s="41"/>
    </row>
    <row r="160" spans="1:38" s="50" customFormat="1" ht="15.95" customHeight="1">
      <c r="A160" s="50" t="s">
        <v>735</v>
      </c>
      <c r="B160" s="50" t="s">
        <v>730</v>
      </c>
      <c r="C160" s="318">
        <v>46147</v>
      </c>
      <c r="D160" s="836"/>
      <c r="E160" s="44">
        <v>65</v>
      </c>
      <c r="F160" s="44">
        <v>890</v>
      </c>
      <c r="G160" s="44">
        <v>200</v>
      </c>
      <c r="H160" s="44">
        <v>150</v>
      </c>
      <c r="I160" s="48" t="s">
        <v>714</v>
      </c>
      <c r="J160" s="48" t="s">
        <v>270</v>
      </c>
      <c r="K160" s="47"/>
      <c r="L160" s="47">
        <v>50</v>
      </c>
      <c r="M160" s="47">
        <v>150</v>
      </c>
      <c r="N160" s="93"/>
      <c r="O160" s="98"/>
      <c r="P160" s="46">
        <v>2</v>
      </c>
      <c r="Q160" s="45"/>
      <c r="R160" s="361">
        <v>0.5</v>
      </c>
      <c r="S160" s="43">
        <v>10</v>
      </c>
      <c r="T160" s="606" t="s">
        <v>270</v>
      </c>
      <c r="U160" s="606" t="s">
        <v>270</v>
      </c>
      <c r="V160" s="44" t="s">
        <v>271</v>
      </c>
      <c r="W160" s="77">
        <v>10</v>
      </c>
      <c r="X160" s="44">
        <v>15</v>
      </c>
      <c r="Y160" s="44" t="s">
        <v>718</v>
      </c>
      <c r="Z160" s="44" t="s">
        <v>401</v>
      </c>
      <c r="AA160" s="44"/>
      <c r="AB160" s="44"/>
      <c r="AC160" s="43"/>
      <c r="AD160" s="43"/>
      <c r="AE160" s="42"/>
      <c r="AF160" s="41"/>
      <c r="AG160" s="41"/>
      <c r="AH160" s="41"/>
      <c r="AI160" s="41" t="s">
        <v>736</v>
      </c>
      <c r="AJ160" s="41"/>
      <c r="AK160" s="41"/>
      <c r="AL160" s="41"/>
    </row>
    <row r="161" spans="1:38" s="50" customFormat="1" ht="15.95" customHeight="1">
      <c r="C161" s="317">
        <v>46148</v>
      </c>
      <c r="D161" s="360" t="s">
        <v>737</v>
      </c>
      <c r="E161" s="44"/>
      <c r="F161" s="44"/>
      <c r="G161" s="44"/>
      <c r="H161" s="44"/>
      <c r="I161" s="48"/>
      <c r="J161" s="48"/>
      <c r="K161" s="47"/>
      <c r="L161" s="47"/>
      <c r="M161" s="47"/>
      <c r="N161" s="93"/>
      <c r="O161" s="98"/>
      <c r="P161" s="46"/>
      <c r="Q161" s="45"/>
      <c r="R161" s="361"/>
      <c r="S161" s="43"/>
      <c r="T161" s="606"/>
      <c r="U161" s="606"/>
      <c r="V161" s="44"/>
      <c r="W161" s="77"/>
      <c r="X161" s="44"/>
      <c r="Y161" s="44"/>
      <c r="Z161" s="44"/>
      <c r="AA161" s="44"/>
      <c r="AB161" s="44"/>
      <c r="AC161" s="43"/>
      <c r="AD161" s="43"/>
      <c r="AE161" s="42"/>
      <c r="AF161" s="41"/>
      <c r="AG161" s="41"/>
      <c r="AH161" s="41"/>
      <c r="AI161" s="41"/>
      <c r="AJ161" s="41"/>
      <c r="AK161" s="41"/>
      <c r="AL161" s="41"/>
    </row>
    <row r="162" spans="1:38" s="50" customFormat="1" ht="15.95" customHeight="1">
      <c r="A162" s="306" t="s">
        <v>738</v>
      </c>
      <c r="C162" s="316">
        <v>46149</v>
      </c>
      <c r="D162" s="49" t="s">
        <v>739</v>
      </c>
      <c r="E162" s="44">
        <v>65</v>
      </c>
      <c r="F162" s="44">
        <v>890</v>
      </c>
      <c r="G162" s="44">
        <v>200</v>
      </c>
      <c r="H162" s="44">
        <v>150</v>
      </c>
      <c r="I162" s="48" t="s">
        <v>714</v>
      </c>
      <c r="J162" s="48" t="s">
        <v>270</v>
      </c>
      <c r="K162" s="47"/>
      <c r="L162" s="47">
        <v>50</v>
      </c>
      <c r="M162" s="47">
        <v>150</v>
      </c>
      <c r="N162" s="93"/>
      <c r="O162" s="98"/>
      <c r="P162" s="46">
        <v>2</v>
      </c>
      <c r="Q162" s="45"/>
      <c r="R162" s="361">
        <v>0.5</v>
      </c>
      <c r="S162" s="83">
        <v>20</v>
      </c>
      <c r="T162" s="606" t="s">
        <v>270</v>
      </c>
      <c r="U162" s="606" t="s">
        <v>270</v>
      </c>
      <c r="V162" s="44" t="s">
        <v>271</v>
      </c>
      <c r="W162" s="44">
        <v>5</v>
      </c>
      <c r="X162" s="44">
        <v>15</v>
      </c>
      <c r="Y162" s="44" t="s">
        <v>718</v>
      </c>
      <c r="Z162" s="44" t="s">
        <v>401</v>
      </c>
      <c r="AA162" s="44"/>
      <c r="AB162" s="44"/>
      <c r="AC162" s="43"/>
      <c r="AD162" s="43"/>
      <c r="AE162" s="42"/>
      <c r="AF162" s="41"/>
      <c r="AG162" s="41" t="s">
        <v>740</v>
      </c>
      <c r="AH162" s="41"/>
      <c r="AL162" s="41"/>
    </row>
    <row r="163" spans="1:38" s="50" customFormat="1" ht="15.95" customHeight="1">
      <c r="A163" s="306" t="s">
        <v>741</v>
      </c>
      <c r="B163" s="50" t="s">
        <v>738</v>
      </c>
      <c r="C163" s="317">
        <v>46149</v>
      </c>
      <c r="D163" s="49" t="s">
        <v>742</v>
      </c>
      <c r="E163" s="44">
        <v>65</v>
      </c>
      <c r="F163" s="44">
        <v>890</v>
      </c>
      <c r="G163" s="44">
        <v>200</v>
      </c>
      <c r="H163" s="44">
        <v>150</v>
      </c>
      <c r="I163" s="48" t="s">
        <v>714</v>
      </c>
      <c r="J163" s="48" t="s">
        <v>270</v>
      </c>
      <c r="K163" s="47"/>
      <c r="L163" s="47">
        <v>50</v>
      </c>
      <c r="M163" s="47">
        <v>150</v>
      </c>
      <c r="N163" s="93"/>
      <c r="O163" s="98"/>
      <c r="P163" s="46">
        <v>2</v>
      </c>
      <c r="Q163" s="45"/>
      <c r="R163" s="361">
        <v>0.5</v>
      </c>
      <c r="S163" s="270">
        <v>20</v>
      </c>
      <c r="T163" s="606" t="s">
        <v>270</v>
      </c>
      <c r="U163" s="606" t="s">
        <v>270</v>
      </c>
      <c r="V163" s="44" t="s">
        <v>271</v>
      </c>
      <c r="W163" s="44">
        <v>5</v>
      </c>
      <c r="X163" s="44">
        <v>15</v>
      </c>
      <c r="Y163" s="77" t="s">
        <v>743</v>
      </c>
      <c r="Z163" s="44" t="s">
        <v>401</v>
      </c>
      <c r="AA163" s="44"/>
      <c r="AB163" s="44"/>
      <c r="AC163" s="43"/>
      <c r="AD163" s="43"/>
      <c r="AE163" s="42"/>
      <c r="AF163" s="41"/>
      <c r="AG163" s="41"/>
      <c r="AH163" s="41"/>
      <c r="AI163" s="41"/>
      <c r="AJ163" s="41"/>
      <c r="AK163" s="41"/>
      <c r="AL163" s="41"/>
    </row>
    <row r="164" spans="1:38" s="50" customFormat="1" ht="15.95" customHeight="1">
      <c r="A164" s="306" t="s">
        <v>744</v>
      </c>
      <c r="B164" s="50" t="s">
        <v>741</v>
      </c>
      <c r="C164" s="318">
        <v>46149</v>
      </c>
      <c r="D164" s="49" t="s">
        <v>745</v>
      </c>
      <c r="E164" s="44">
        <v>65</v>
      </c>
      <c r="F164" s="44">
        <v>890</v>
      </c>
      <c r="G164" s="44">
        <v>200</v>
      </c>
      <c r="H164" s="44">
        <v>150</v>
      </c>
      <c r="I164" s="48" t="s">
        <v>714</v>
      </c>
      <c r="J164" s="48" t="s">
        <v>270</v>
      </c>
      <c r="K164" s="47"/>
      <c r="L164" s="47">
        <v>50</v>
      </c>
      <c r="M164" s="47">
        <v>150</v>
      </c>
      <c r="N164" s="93"/>
      <c r="O164" s="98"/>
      <c r="P164" s="46">
        <v>2</v>
      </c>
      <c r="Q164" s="45"/>
      <c r="R164" s="344">
        <v>0.2</v>
      </c>
      <c r="S164" s="43">
        <v>20</v>
      </c>
      <c r="T164" s="606" t="s">
        <v>270</v>
      </c>
      <c r="U164" s="606" t="s">
        <v>270</v>
      </c>
      <c r="V164" s="44" t="s">
        <v>271</v>
      </c>
      <c r="W164" s="44">
        <v>5</v>
      </c>
      <c r="X164" s="44">
        <v>15</v>
      </c>
      <c r="Y164" s="280" t="s">
        <v>743</v>
      </c>
      <c r="Z164" s="44" t="s">
        <v>401</v>
      </c>
      <c r="AA164" s="44"/>
      <c r="AB164" s="44"/>
      <c r="AC164" s="43"/>
      <c r="AD164" s="43"/>
      <c r="AE164" s="42"/>
      <c r="AF164" s="41"/>
      <c r="AG164" s="41"/>
      <c r="AH164" s="41"/>
      <c r="AI164" s="41"/>
      <c r="AJ164" s="41"/>
      <c r="AK164" s="41"/>
      <c r="AL164" s="41"/>
    </row>
    <row r="165" spans="1:38" s="50" customFormat="1" ht="15.95" customHeight="1">
      <c r="A165" s="306" t="s">
        <v>746</v>
      </c>
      <c r="B165" s="50" t="s">
        <v>744</v>
      </c>
      <c r="C165" s="316">
        <v>46150</v>
      </c>
      <c r="D165" s="49"/>
      <c r="E165" s="44">
        <v>65</v>
      </c>
      <c r="F165" s="44">
        <v>890</v>
      </c>
      <c r="G165" s="44">
        <v>200</v>
      </c>
      <c r="H165" s="44">
        <v>150</v>
      </c>
      <c r="I165" s="48" t="s">
        <v>714</v>
      </c>
      <c r="J165" s="48" t="s">
        <v>270</v>
      </c>
      <c r="K165" s="47"/>
      <c r="L165" s="47">
        <v>50</v>
      </c>
      <c r="M165" s="47">
        <v>150</v>
      </c>
      <c r="N165" s="93"/>
      <c r="O165" s="98"/>
      <c r="P165" s="46">
        <v>2</v>
      </c>
      <c r="Q165" s="45"/>
      <c r="R165" s="344">
        <v>0.5</v>
      </c>
      <c r="S165" s="83">
        <v>10</v>
      </c>
      <c r="T165" s="606" t="s">
        <v>270</v>
      </c>
      <c r="U165" s="606" t="s">
        <v>270</v>
      </c>
      <c r="V165" s="44" t="s">
        <v>271</v>
      </c>
      <c r="W165" s="44">
        <v>5</v>
      </c>
      <c r="X165" s="44">
        <v>15</v>
      </c>
      <c r="Y165" s="77" t="s">
        <v>747</v>
      </c>
      <c r="Z165" s="44" t="s">
        <v>401</v>
      </c>
      <c r="AA165" s="44"/>
      <c r="AB165" s="44"/>
      <c r="AC165" s="43"/>
      <c r="AD165" s="43"/>
      <c r="AE165" s="42"/>
      <c r="AF165" s="41"/>
      <c r="AG165" s="41"/>
      <c r="AH165" s="41"/>
      <c r="AI165" s="41"/>
      <c r="AJ165" s="41"/>
      <c r="AK165" s="41"/>
      <c r="AL165" s="41"/>
    </row>
    <row r="166" spans="1:38" s="50" customFormat="1" ht="15.95" customHeight="1">
      <c r="A166" s="306" t="s">
        <v>748</v>
      </c>
      <c r="B166" s="50" t="s">
        <v>746</v>
      </c>
      <c r="C166" s="317">
        <v>46150</v>
      </c>
      <c r="D166" s="360" t="s">
        <v>749</v>
      </c>
      <c r="E166" s="44">
        <v>65</v>
      </c>
      <c r="F166" s="44">
        <v>890</v>
      </c>
      <c r="G166" s="44">
        <v>200</v>
      </c>
      <c r="H166" s="44">
        <v>150</v>
      </c>
      <c r="I166" s="48" t="s">
        <v>714</v>
      </c>
      <c r="J166" s="48" t="s">
        <v>270</v>
      </c>
      <c r="K166" s="47"/>
      <c r="L166" s="47">
        <v>50</v>
      </c>
      <c r="M166" s="47">
        <v>150</v>
      </c>
      <c r="N166" s="93"/>
      <c r="O166" s="98"/>
      <c r="P166" s="46">
        <v>2</v>
      </c>
      <c r="Q166" s="45"/>
      <c r="R166" s="344">
        <v>0.5</v>
      </c>
      <c r="S166" s="43">
        <v>10</v>
      </c>
      <c r="T166" s="606" t="s">
        <v>270</v>
      </c>
      <c r="U166" s="606" t="s">
        <v>270</v>
      </c>
      <c r="V166" s="44" t="s">
        <v>271</v>
      </c>
      <c r="W166" s="44">
        <v>5</v>
      </c>
      <c r="X166" s="44">
        <v>15</v>
      </c>
      <c r="Y166" s="44" t="s">
        <v>747</v>
      </c>
      <c r="Z166" s="44" t="s">
        <v>401</v>
      </c>
      <c r="AA166" s="44"/>
      <c r="AB166" s="44"/>
      <c r="AC166" s="43"/>
      <c r="AD166" s="43"/>
      <c r="AE166" s="42"/>
      <c r="AF166" s="41"/>
      <c r="AG166" s="41"/>
      <c r="AH166" s="41"/>
      <c r="AI166" s="41"/>
      <c r="AJ166" s="41"/>
      <c r="AK166" s="41"/>
      <c r="AL166" s="41"/>
    </row>
    <row r="167" spans="1:38" s="50" customFormat="1" ht="15.95" customHeight="1">
      <c r="A167" s="306" t="s">
        <v>750</v>
      </c>
      <c r="B167" s="50" t="s">
        <v>748</v>
      </c>
      <c r="C167" s="318">
        <v>46150</v>
      </c>
      <c r="D167" s="49"/>
      <c r="E167" s="44">
        <v>65</v>
      </c>
      <c r="F167" s="44">
        <v>890</v>
      </c>
      <c r="G167" s="44">
        <v>200</v>
      </c>
      <c r="H167" s="44">
        <v>150</v>
      </c>
      <c r="I167" s="48" t="s">
        <v>714</v>
      </c>
      <c r="J167" s="48" t="s">
        <v>270</v>
      </c>
      <c r="K167" s="47"/>
      <c r="L167" s="47">
        <v>50</v>
      </c>
      <c r="M167" s="47">
        <v>150</v>
      </c>
      <c r="N167" s="93"/>
      <c r="O167" s="98"/>
      <c r="P167" s="46">
        <v>2</v>
      </c>
      <c r="Q167" s="45"/>
      <c r="R167" s="344">
        <v>0</v>
      </c>
      <c r="S167" s="43">
        <v>10</v>
      </c>
      <c r="T167" s="606" t="s">
        <v>270</v>
      </c>
      <c r="U167" s="606" t="s">
        <v>270</v>
      </c>
      <c r="V167" s="44" t="s">
        <v>271</v>
      </c>
      <c r="W167" s="44">
        <v>5</v>
      </c>
      <c r="X167" s="44">
        <v>15</v>
      </c>
      <c r="Y167" s="44" t="s">
        <v>747</v>
      </c>
      <c r="Z167" s="44" t="s">
        <v>401</v>
      </c>
      <c r="AA167" s="44"/>
      <c r="AB167" s="44"/>
      <c r="AC167" s="43"/>
      <c r="AD167" s="43"/>
      <c r="AE167" s="42"/>
      <c r="AF167" s="41"/>
      <c r="AG167" s="41"/>
      <c r="AH167" s="41" t="s">
        <v>751</v>
      </c>
      <c r="AI167" s="395" t="s">
        <v>752</v>
      </c>
      <c r="AJ167" s="395"/>
      <c r="AK167" s="395"/>
      <c r="AL167" s="41"/>
    </row>
    <row r="168" spans="1:38" s="50" customFormat="1" ht="15.95" customHeight="1">
      <c r="A168" s="306" t="s">
        <v>753</v>
      </c>
      <c r="B168" s="50" t="s">
        <v>750</v>
      </c>
      <c r="C168" s="316">
        <v>46152</v>
      </c>
      <c r="D168" s="49" t="s">
        <v>754</v>
      </c>
      <c r="E168" s="44">
        <v>65</v>
      </c>
      <c r="F168" s="44">
        <v>890</v>
      </c>
      <c r="G168" s="44">
        <v>200</v>
      </c>
      <c r="H168" s="44">
        <v>150</v>
      </c>
      <c r="I168" s="48" t="s">
        <v>714</v>
      </c>
      <c r="J168" s="48" t="s">
        <v>270</v>
      </c>
      <c r="K168" s="47"/>
      <c r="L168" s="47">
        <v>50</v>
      </c>
      <c r="M168" s="47">
        <v>150</v>
      </c>
      <c r="N168" s="93"/>
      <c r="O168" s="98"/>
      <c r="P168" s="46">
        <v>2</v>
      </c>
      <c r="Q168" s="45"/>
      <c r="R168" s="45">
        <v>0</v>
      </c>
      <c r="S168" s="43">
        <v>10</v>
      </c>
      <c r="T168" s="606" t="s">
        <v>270</v>
      </c>
      <c r="U168" s="606" t="s">
        <v>270</v>
      </c>
      <c r="V168" s="44" t="s">
        <v>271</v>
      </c>
      <c r="W168" s="44">
        <v>5</v>
      </c>
      <c r="X168" s="44">
        <v>15</v>
      </c>
      <c r="Y168" s="77" t="s">
        <v>718</v>
      </c>
      <c r="Z168" s="44" t="s">
        <v>401</v>
      </c>
      <c r="AA168" s="44"/>
      <c r="AB168" s="44"/>
      <c r="AC168" s="43"/>
      <c r="AD168" s="43"/>
      <c r="AE168" s="42" t="s">
        <v>755</v>
      </c>
      <c r="AF168" s="41"/>
      <c r="AG168" s="41"/>
      <c r="AH168" s="41"/>
      <c r="AI168" s="41" t="s">
        <v>756</v>
      </c>
      <c r="AJ168" s="41"/>
      <c r="AK168" s="41"/>
      <c r="AL168" s="41"/>
    </row>
    <row r="169" spans="1:38" s="50" customFormat="1" ht="15.95" customHeight="1">
      <c r="A169" s="306" t="s">
        <v>757</v>
      </c>
      <c r="B169" s="50" t="s">
        <v>753</v>
      </c>
      <c r="C169" s="317">
        <v>46152</v>
      </c>
      <c r="D169" s="360" t="s">
        <v>758</v>
      </c>
      <c r="E169" s="44">
        <v>65</v>
      </c>
      <c r="F169" s="44">
        <v>890</v>
      </c>
      <c r="G169" s="44">
        <v>200</v>
      </c>
      <c r="H169" s="44">
        <v>150</v>
      </c>
      <c r="I169" s="48" t="s">
        <v>714</v>
      </c>
      <c r="J169" s="48" t="s">
        <v>270</v>
      </c>
      <c r="K169" s="47"/>
      <c r="L169" s="47">
        <v>50</v>
      </c>
      <c r="M169" s="47">
        <v>150</v>
      </c>
      <c r="N169" s="93"/>
      <c r="O169" s="98"/>
      <c r="P169" s="46">
        <v>2</v>
      </c>
      <c r="Q169" s="45"/>
      <c r="R169" s="45">
        <v>0</v>
      </c>
      <c r="S169" s="43">
        <v>10</v>
      </c>
      <c r="T169" s="606" t="s">
        <v>270</v>
      </c>
      <c r="U169" s="606" t="s">
        <v>270</v>
      </c>
      <c r="V169" s="44" t="s">
        <v>271</v>
      </c>
      <c r="W169" s="44">
        <v>5</v>
      </c>
      <c r="X169" s="44">
        <v>15</v>
      </c>
      <c r="Y169" s="44" t="s">
        <v>718</v>
      </c>
      <c r="Z169" s="44" t="s">
        <v>401</v>
      </c>
      <c r="AA169" s="44"/>
      <c r="AB169" s="44"/>
      <c r="AC169" s="43"/>
      <c r="AD169" s="43"/>
      <c r="AE169" s="42"/>
      <c r="AF169" s="41"/>
      <c r="AG169" s="41"/>
      <c r="AH169" s="41" t="s">
        <v>759</v>
      </c>
      <c r="AI169" s="41" t="s">
        <v>760</v>
      </c>
      <c r="AJ169" s="41"/>
      <c r="AK169" s="41"/>
      <c r="AL169" s="41"/>
    </row>
    <row r="170" spans="1:38" s="50" customFormat="1" ht="15.95" customHeight="1">
      <c r="A170" s="306" t="s">
        <v>761</v>
      </c>
      <c r="B170" s="50" t="s">
        <v>757</v>
      </c>
      <c r="C170" s="318">
        <v>46152</v>
      </c>
      <c r="D170" s="49" t="s">
        <v>762</v>
      </c>
      <c r="E170" s="44">
        <v>65</v>
      </c>
      <c r="F170" s="77">
        <v>950</v>
      </c>
      <c r="G170" s="44">
        <v>200</v>
      </c>
      <c r="H170" s="44">
        <v>150</v>
      </c>
      <c r="I170" s="48" t="s">
        <v>714</v>
      </c>
      <c r="J170" s="48" t="s">
        <v>270</v>
      </c>
      <c r="K170" s="47"/>
      <c r="L170" s="47">
        <v>50</v>
      </c>
      <c r="M170" s="47">
        <v>150</v>
      </c>
      <c r="N170" s="93"/>
      <c r="O170" s="98"/>
      <c r="P170" s="46">
        <v>2</v>
      </c>
      <c r="Q170" s="45"/>
      <c r="R170" s="45">
        <v>0</v>
      </c>
      <c r="S170" s="43">
        <v>10</v>
      </c>
      <c r="T170" s="606" t="s">
        <v>270</v>
      </c>
      <c r="U170" s="606" t="s">
        <v>270</v>
      </c>
      <c r="V170" s="44" t="s">
        <v>271</v>
      </c>
      <c r="W170" s="44">
        <v>5</v>
      </c>
      <c r="X170" s="44">
        <v>15</v>
      </c>
      <c r="Y170" s="44" t="s">
        <v>718</v>
      </c>
      <c r="Z170" s="44" t="s">
        <v>401</v>
      </c>
      <c r="AA170" s="44"/>
      <c r="AB170" s="44"/>
      <c r="AC170" s="43"/>
      <c r="AD170" s="43"/>
      <c r="AE170" s="42"/>
      <c r="AF170" s="41" t="s">
        <v>763</v>
      </c>
      <c r="AG170" s="41"/>
      <c r="AH170" s="41"/>
      <c r="AI170" s="41" t="s">
        <v>764</v>
      </c>
      <c r="AJ170" s="41"/>
      <c r="AK170" s="41"/>
      <c r="AL170" s="41"/>
    </row>
    <row r="171" spans="1:38" s="50" customFormat="1" ht="15.95" customHeight="1">
      <c r="A171" s="295" t="s">
        <v>765</v>
      </c>
      <c r="B171" s="50" t="s">
        <v>761</v>
      </c>
      <c r="C171" s="316">
        <v>46153</v>
      </c>
      <c r="D171" s="49"/>
      <c r="E171" s="44">
        <v>65</v>
      </c>
      <c r="F171" s="44">
        <v>950</v>
      </c>
      <c r="G171" s="44">
        <v>200</v>
      </c>
      <c r="H171" s="44">
        <v>150</v>
      </c>
      <c r="I171" s="48" t="s">
        <v>714</v>
      </c>
      <c r="J171" s="48" t="s">
        <v>270</v>
      </c>
      <c r="K171" s="47"/>
      <c r="L171" s="47">
        <v>50</v>
      </c>
      <c r="M171" s="47">
        <v>150</v>
      </c>
      <c r="N171" s="93"/>
      <c r="O171" s="98"/>
      <c r="P171" s="46">
        <v>2</v>
      </c>
      <c r="Q171" s="45"/>
      <c r="R171" s="45">
        <v>0</v>
      </c>
      <c r="S171" s="83">
        <v>2</v>
      </c>
      <c r="T171" s="606" t="s">
        <v>270</v>
      </c>
      <c r="U171" s="606" t="s">
        <v>270</v>
      </c>
      <c r="V171" s="44" t="s">
        <v>271</v>
      </c>
      <c r="W171" s="44">
        <v>5</v>
      </c>
      <c r="X171" s="44">
        <v>15</v>
      </c>
      <c r="Y171" s="44" t="s">
        <v>718</v>
      </c>
      <c r="Z171" s="44" t="s">
        <v>401</v>
      </c>
      <c r="AA171" s="44"/>
      <c r="AB171" s="44"/>
      <c r="AC171" s="43"/>
      <c r="AD171" s="43"/>
      <c r="AE171" s="42"/>
      <c r="AF171" s="41"/>
      <c r="AG171" s="41"/>
      <c r="AH171" s="41"/>
      <c r="AI171" s="41"/>
      <c r="AJ171" s="41"/>
      <c r="AK171" s="41"/>
      <c r="AL171" s="41"/>
    </row>
    <row r="172" spans="1:38" s="50" customFormat="1" ht="15.95" customHeight="1">
      <c r="A172" s="306" t="s">
        <v>766</v>
      </c>
      <c r="B172" s="50" t="s">
        <v>765</v>
      </c>
      <c r="C172" s="317">
        <v>46153</v>
      </c>
      <c r="D172" s="49"/>
      <c r="E172" s="44">
        <v>65</v>
      </c>
      <c r="F172" s="44">
        <v>950</v>
      </c>
      <c r="G172" s="44">
        <v>200</v>
      </c>
      <c r="H172" s="44">
        <v>150</v>
      </c>
      <c r="I172" s="48" t="s">
        <v>714</v>
      </c>
      <c r="J172" s="48" t="s">
        <v>270</v>
      </c>
      <c r="K172" s="47"/>
      <c r="L172" s="47">
        <v>50</v>
      </c>
      <c r="M172" s="47">
        <v>150</v>
      </c>
      <c r="N172" s="93"/>
      <c r="O172" s="98"/>
      <c r="P172" s="327">
        <v>4</v>
      </c>
      <c r="Q172" s="45"/>
      <c r="R172" s="45" t="s">
        <v>270</v>
      </c>
      <c r="S172" s="43">
        <v>2</v>
      </c>
      <c r="T172" s="606" t="s">
        <v>270</v>
      </c>
      <c r="U172" s="606" t="s">
        <v>270</v>
      </c>
      <c r="V172" s="44" t="s">
        <v>271</v>
      </c>
      <c r="W172" s="44">
        <v>5</v>
      </c>
      <c r="X172" s="44">
        <v>15</v>
      </c>
      <c r="Y172" s="44" t="s">
        <v>718</v>
      </c>
      <c r="Z172" s="44" t="s">
        <v>401</v>
      </c>
      <c r="AA172" s="44"/>
      <c r="AB172" s="44"/>
      <c r="AC172" s="43"/>
      <c r="AD172" s="43"/>
      <c r="AE172" s="42"/>
      <c r="AF172" s="41" t="s">
        <v>767</v>
      </c>
      <c r="AG172" s="41" t="s">
        <v>768</v>
      </c>
      <c r="AH172" s="41"/>
      <c r="AI172" s="41" t="s">
        <v>769</v>
      </c>
      <c r="AJ172" s="41"/>
      <c r="AK172" s="41"/>
      <c r="AL172" s="41"/>
    </row>
    <row r="173" spans="1:38" s="50" customFormat="1" ht="15.95" customHeight="1">
      <c r="A173" s="306" t="s">
        <v>770</v>
      </c>
      <c r="B173" s="50" t="s">
        <v>766</v>
      </c>
      <c r="C173" s="317">
        <v>46153</v>
      </c>
      <c r="D173" s="49" t="s">
        <v>771</v>
      </c>
      <c r="E173" s="77">
        <v>90</v>
      </c>
      <c r="F173" s="44">
        <v>950</v>
      </c>
      <c r="G173" s="44">
        <v>200</v>
      </c>
      <c r="H173" s="44">
        <v>150</v>
      </c>
      <c r="I173" s="48" t="s">
        <v>714</v>
      </c>
      <c r="J173" s="48" t="s">
        <v>270</v>
      </c>
      <c r="K173" s="47"/>
      <c r="L173" s="47">
        <v>50</v>
      </c>
      <c r="M173" s="47">
        <v>150</v>
      </c>
      <c r="N173" s="93"/>
      <c r="O173" s="98"/>
      <c r="P173" s="46">
        <v>4</v>
      </c>
      <c r="Q173" s="45"/>
      <c r="R173" s="45" t="s">
        <v>270</v>
      </c>
      <c r="S173" s="43">
        <v>2</v>
      </c>
      <c r="T173" s="606" t="s">
        <v>270</v>
      </c>
      <c r="U173" s="606" t="s">
        <v>270</v>
      </c>
      <c r="V173" s="44" t="s">
        <v>271</v>
      </c>
      <c r="W173" s="44">
        <v>5</v>
      </c>
      <c r="X173" s="44">
        <v>15</v>
      </c>
      <c r="Y173" s="44" t="s">
        <v>718</v>
      </c>
      <c r="Z173" s="44" t="s">
        <v>401</v>
      </c>
      <c r="AA173" s="44"/>
      <c r="AB173" s="44"/>
      <c r="AC173" s="43"/>
      <c r="AD173" s="43"/>
      <c r="AE173" s="42"/>
      <c r="AF173" s="41" t="s">
        <v>772</v>
      </c>
      <c r="AG173" s="41"/>
      <c r="AH173" s="50" t="s">
        <v>773</v>
      </c>
      <c r="AI173" s="41" t="s">
        <v>774</v>
      </c>
      <c r="AJ173" s="41"/>
      <c r="AK173" s="41"/>
      <c r="AL173" s="41"/>
    </row>
    <row r="174" spans="1:38" s="50" customFormat="1" ht="15.95" customHeight="1">
      <c r="A174" s="306" t="s">
        <v>775</v>
      </c>
      <c r="B174" s="50" t="s">
        <v>770</v>
      </c>
      <c r="C174" s="317">
        <v>46153</v>
      </c>
      <c r="D174" s="49" t="s">
        <v>776</v>
      </c>
      <c r="E174" s="44">
        <v>90</v>
      </c>
      <c r="F174" s="44">
        <v>950</v>
      </c>
      <c r="G174" s="44">
        <v>200</v>
      </c>
      <c r="H174" s="44">
        <v>150</v>
      </c>
      <c r="I174" s="48" t="s">
        <v>714</v>
      </c>
      <c r="J174" s="48" t="s">
        <v>270</v>
      </c>
      <c r="K174" s="47"/>
      <c r="L174" s="47">
        <v>50</v>
      </c>
      <c r="M174" s="47">
        <v>150</v>
      </c>
      <c r="N174" s="93"/>
      <c r="O174" s="98"/>
      <c r="P174" s="46">
        <v>4</v>
      </c>
      <c r="Q174" s="45"/>
      <c r="R174" s="45" t="s">
        <v>270</v>
      </c>
      <c r="S174" s="83">
        <v>10</v>
      </c>
      <c r="T174" s="606" t="s">
        <v>270</v>
      </c>
      <c r="U174" s="606" t="s">
        <v>270</v>
      </c>
      <c r="V174" s="44" t="s">
        <v>271</v>
      </c>
      <c r="W174" s="44">
        <v>5</v>
      </c>
      <c r="X174" s="44">
        <v>15</v>
      </c>
      <c r="Y174" s="44" t="s">
        <v>718</v>
      </c>
      <c r="Z174" s="44" t="s">
        <v>401</v>
      </c>
      <c r="AA174" s="44"/>
      <c r="AB174" s="44"/>
      <c r="AC174" s="43"/>
      <c r="AD174" s="43"/>
      <c r="AE174" s="42"/>
      <c r="AF174" s="41" t="s">
        <v>777</v>
      </c>
      <c r="AH174" s="41"/>
      <c r="AI174" s="41" t="s">
        <v>778</v>
      </c>
      <c r="AJ174" s="41"/>
      <c r="AK174" s="41"/>
      <c r="AL174" s="41"/>
    </row>
    <row r="175" spans="1:38" s="50" customFormat="1" ht="15.95" customHeight="1">
      <c r="A175" s="306" t="s">
        <v>779</v>
      </c>
      <c r="B175" s="50" t="s">
        <v>775</v>
      </c>
      <c r="C175" s="318">
        <v>46153</v>
      </c>
      <c r="D175" s="49" t="s">
        <v>780</v>
      </c>
      <c r="E175" s="44">
        <v>90</v>
      </c>
      <c r="F175" s="44">
        <v>950</v>
      </c>
      <c r="G175" s="44">
        <v>200</v>
      </c>
      <c r="H175" s="44">
        <v>150</v>
      </c>
      <c r="I175" s="48" t="s">
        <v>714</v>
      </c>
      <c r="J175" s="48" t="s">
        <v>270</v>
      </c>
      <c r="K175" s="47"/>
      <c r="L175" s="362">
        <v>70</v>
      </c>
      <c r="M175" s="47">
        <v>150</v>
      </c>
      <c r="N175" s="93"/>
      <c r="O175" s="98"/>
      <c r="P175" s="46">
        <v>4</v>
      </c>
      <c r="Q175" s="45"/>
      <c r="R175" s="45" t="s">
        <v>270</v>
      </c>
      <c r="S175" s="43">
        <v>10</v>
      </c>
      <c r="T175" s="606" t="s">
        <v>270</v>
      </c>
      <c r="U175" s="606" t="s">
        <v>270</v>
      </c>
      <c r="V175" s="44" t="s">
        <v>271</v>
      </c>
      <c r="W175" s="44">
        <v>5</v>
      </c>
      <c r="X175" s="44">
        <v>15</v>
      </c>
      <c r="Y175" s="44" t="s">
        <v>718</v>
      </c>
      <c r="Z175" s="44" t="s">
        <v>401</v>
      </c>
      <c r="AA175" s="44"/>
      <c r="AB175" s="44"/>
      <c r="AC175" s="43"/>
      <c r="AD175" s="43"/>
      <c r="AE175" s="42"/>
      <c r="AF175" s="41" t="s">
        <v>781</v>
      </c>
      <c r="AG175" s="41"/>
      <c r="AH175" s="41"/>
      <c r="AI175" s="41" t="s">
        <v>782</v>
      </c>
      <c r="AJ175" s="41"/>
      <c r="AK175" s="41"/>
      <c r="AL175" s="41"/>
    </row>
    <row r="176" spans="1:38" s="50" customFormat="1" ht="15.95" customHeight="1">
      <c r="A176" s="306" t="s">
        <v>783</v>
      </c>
      <c r="B176" s="50" t="s">
        <v>766</v>
      </c>
      <c r="C176" s="316">
        <v>46154</v>
      </c>
      <c r="D176" s="49" t="s">
        <v>784</v>
      </c>
      <c r="E176" s="77">
        <v>75</v>
      </c>
      <c r="F176" s="44">
        <v>950</v>
      </c>
      <c r="G176" s="44">
        <v>200</v>
      </c>
      <c r="H176" s="44">
        <v>150</v>
      </c>
      <c r="I176" s="48" t="s">
        <v>714</v>
      </c>
      <c r="J176" s="48" t="s">
        <v>270</v>
      </c>
      <c r="K176" s="47"/>
      <c r="L176" s="47">
        <v>50</v>
      </c>
      <c r="M176" s="47">
        <v>150</v>
      </c>
      <c r="N176" s="93"/>
      <c r="O176" s="98"/>
      <c r="P176" s="46">
        <v>4</v>
      </c>
      <c r="Q176" s="45"/>
      <c r="R176" s="45" t="s">
        <v>270</v>
      </c>
      <c r="S176" s="83">
        <v>2</v>
      </c>
      <c r="T176" s="606" t="s">
        <v>270</v>
      </c>
      <c r="U176" s="606" t="s">
        <v>270</v>
      </c>
      <c r="V176" s="44" t="s">
        <v>271</v>
      </c>
      <c r="W176" s="44">
        <v>5</v>
      </c>
      <c r="X176" s="44">
        <v>15</v>
      </c>
      <c r="Y176" s="44" t="s">
        <v>718</v>
      </c>
      <c r="Z176" s="44" t="s">
        <v>401</v>
      </c>
      <c r="AA176" s="44"/>
      <c r="AB176" s="44"/>
      <c r="AC176" s="43"/>
      <c r="AD176" s="43"/>
      <c r="AE176" s="42"/>
      <c r="AF176" s="41"/>
      <c r="AG176" s="41" t="s">
        <v>785</v>
      </c>
      <c r="AH176" s="41" t="s">
        <v>786</v>
      </c>
      <c r="AI176" s="41" t="s">
        <v>787</v>
      </c>
      <c r="AJ176" s="41"/>
      <c r="AK176" s="41"/>
      <c r="AL176" s="41"/>
    </row>
    <row r="177" spans="1:38" s="50" customFormat="1" ht="15.95" customHeight="1">
      <c r="A177" s="293" t="s">
        <v>788</v>
      </c>
      <c r="B177" s="50" t="s">
        <v>766</v>
      </c>
      <c r="C177" s="317">
        <v>46154</v>
      </c>
      <c r="D177" s="49" t="s">
        <v>789</v>
      </c>
      <c r="E177" s="44">
        <v>65</v>
      </c>
      <c r="F177" s="44">
        <v>950</v>
      </c>
      <c r="G177" s="44">
        <v>200</v>
      </c>
      <c r="H177" s="44">
        <v>150</v>
      </c>
      <c r="I177" s="48" t="s">
        <v>714</v>
      </c>
      <c r="J177" s="48" t="s">
        <v>270</v>
      </c>
      <c r="K177" s="47"/>
      <c r="L177" s="47">
        <v>50</v>
      </c>
      <c r="M177" s="47">
        <v>150</v>
      </c>
      <c r="N177" s="93"/>
      <c r="O177" s="98"/>
      <c r="P177" s="46">
        <v>4</v>
      </c>
      <c r="Q177" s="45"/>
      <c r="R177" s="45" t="s">
        <v>270</v>
      </c>
      <c r="S177" s="43">
        <v>2</v>
      </c>
      <c r="T177" s="606" t="s">
        <v>270</v>
      </c>
      <c r="U177" s="606" t="s">
        <v>270</v>
      </c>
      <c r="V177" s="44" t="s">
        <v>271</v>
      </c>
      <c r="W177" s="44">
        <v>5</v>
      </c>
      <c r="X177" s="44">
        <v>15</v>
      </c>
      <c r="Y177" s="44" t="s">
        <v>790</v>
      </c>
      <c r="Z177" s="77" t="s">
        <v>791</v>
      </c>
      <c r="AA177" s="44"/>
      <c r="AB177" s="44"/>
      <c r="AC177" s="43"/>
      <c r="AD177" s="43"/>
      <c r="AE177" s="42" t="s">
        <v>792</v>
      </c>
      <c r="AF177" s="41"/>
      <c r="AG177" s="41"/>
      <c r="AH177" s="41"/>
      <c r="AI177" s="41" t="s">
        <v>793</v>
      </c>
      <c r="AJ177" s="41"/>
      <c r="AK177" s="41"/>
      <c r="AL177" s="41"/>
    </row>
    <row r="178" spans="1:38" s="50" customFormat="1" ht="15.95" customHeight="1">
      <c r="A178" s="295" t="s">
        <v>794</v>
      </c>
      <c r="B178" s="50" t="s">
        <v>783</v>
      </c>
      <c r="C178" s="317">
        <v>46154</v>
      </c>
      <c r="D178" s="49" t="s">
        <v>784</v>
      </c>
      <c r="E178" s="77">
        <v>75</v>
      </c>
      <c r="F178" s="44">
        <v>950</v>
      </c>
      <c r="G178" s="44">
        <v>200</v>
      </c>
      <c r="H178" s="44">
        <v>150</v>
      </c>
      <c r="I178" s="48" t="s">
        <v>714</v>
      </c>
      <c r="J178" s="48" t="s">
        <v>270</v>
      </c>
      <c r="K178" s="47"/>
      <c r="L178" s="47">
        <v>50</v>
      </c>
      <c r="M178" s="47">
        <v>150</v>
      </c>
      <c r="N178" s="93"/>
      <c r="O178" s="98"/>
      <c r="P178" s="46">
        <v>4</v>
      </c>
      <c r="Q178" s="45"/>
      <c r="R178" s="45" t="s">
        <v>270</v>
      </c>
      <c r="S178" s="43">
        <v>2</v>
      </c>
      <c r="T178" s="606" t="s">
        <v>270</v>
      </c>
      <c r="U178" s="606" t="s">
        <v>270</v>
      </c>
      <c r="V178" s="44" t="s">
        <v>271</v>
      </c>
      <c r="W178" s="44">
        <v>5</v>
      </c>
      <c r="X178" s="44">
        <v>15</v>
      </c>
      <c r="Y178" s="44" t="s">
        <v>790</v>
      </c>
      <c r="Z178" s="44" t="s">
        <v>791</v>
      </c>
      <c r="AA178" s="44"/>
      <c r="AB178" s="44"/>
      <c r="AC178" s="43"/>
      <c r="AD178" s="43"/>
      <c r="AE178" s="42"/>
      <c r="AF178" s="41" t="s">
        <v>795</v>
      </c>
      <c r="AG178" s="41"/>
      <c r="AH178" s="41" t="s">
        <v>796</v>
      </c>
      <c r="AI178" s="41"/>
      <c r="AJ178" s="41"/>
      <c r="AK178" s="41"/>
      <c r="AL178" s="41"/>
    </row>
    <row r="179" spans="1:38" s="50" customFormat="1" ht="15.95" customHeight="1">
      <c r="A179" s="306" t="s">
        <v>797</v>
      </c>
      <c r="B179" s="50" t="s">
        <v>783</v>
      </c>
      <c r="C179" s="317">
        <v>46154</v>
      </c>
      <c r="D179" s="49" t="s">
        <v>798</v>
      </c>
      <c r="E179" s="44">
        <v>75</v>
      </c>
      <c r="F179" s="44">
        <v>950</v>
      </c>
      <c r="G179" s="44">
        <v>200</v>
      </c>
      <c r="H179" s="44">
        <v>150</v>
      </c>
      <c r="I179" s="48" t="s">
        <v>714</v>
      </c>
      <c r="J179" s="48" t="s">
        <v>270</v>
      </c>
      <c r="K179" s="47"/>
      <c r="L179" s="47">
        <v>50</v>
      </c>
      <c r="M179" s="47">
        <v>150</v>
      </c>
      <c r="N179" s="93"/>
      <c r="O179" s="98"/>
      <c r="P179" s="46">
        <v>4</v>
      </c>
      <c r="Q179" s="45"/>
      <c r="R179" s="45" t="s">
        <v>270</v>
      </c>
      <c r="S179" s="43">
        <v>2</v>
      </c>
      <c r="T179" s="606" t="s">
        <v>270</v>
      </c>
      <c r="U179" s="606" t="s">
        <v>270</v>
      </c>
      <c r="V179" s="44" t="s">
        <v>271</v>
      </c>
      <c r="W179" s="44">
        <v>5</v>
      </c>
      <c r="X179" s="44">
        <v>15</v>
      </c>
      <c r="Y179" s="44" t="s">
        <v>790</v>
      </c>
      <c r="Z179" s="44" t="s">
        <v>791</v>
      </c>
      <c r="AA179" s="44"/>
      <c r="AB179" s="44"/>
      <c r="AC179" s="43"/>
      <c r="AD179" s="43"/>
      <c r="AE179" s="42"/>
      <c r="AF179" s="41"/>
      <c r="AG179" s="41"/>
      <c r="AH179" s="41" t="s">
        <v>799</v>
      </c>
      <c r="AI179" s="41" t="s">
        <v>620</v>
      </c>
      <c r="AJ179" s="41"/>
      <c r="AK179" s="41"/>
      <c r="AL179" s="41"/>
    </row>
    <row r="180" spans="1:38" s="50" customFormat="1" ht="15.95" customHeight="1">
      <c r="A180" s="306" t="s">
        <v>800</v>
      </c>
      <c r="B180" s="50" t="s">
        <v>797</v>
      </c>
      <c r="C180" s="317">
        <v>46154</v>
      </c>
      <c r="D180" s="49"/>
      <c r="E180" s="44">
        <v>75</v>
      </c>
      <c r="F180" s="44">
        <v>950</v>
      </c>
      <c r="G180" s="44">
        <v>200</v>
      </c>
      <c r="H180" s="44">
        <v>150</v>
      </c>
      <c r="I180" s="48" t="s">
        <v>714</v>
      </c>
      <c r="J180" s="48" t="s">
        <v>270</v>
      </c>
      <c r="K180" s="47"/>
      <c r="L180" s="47">
        <v>50</v>
      </c>
      <c r="M180" s="47">
        <v>150</v>
      </c>
      <c r="N180" s="93"/>
      <c r="O180" s="98"/>
      <c r="P180" s="46">
        <v>4</v>
      </c>
      <c r="Q180" s="45"/>
      <c r="R180" s="45" t="s">
        <v>270</v>
      </c>
      <c r="S180" s="43">
        <v>2</v>
      </c>
      <c r="T180" s="606" t="s">
        <v>270</v>
      </c>
      <c r="U180" s="606" t="s">
        <v>270</v>
      </c>
      <c r="V180" s="44" t="s">
        <v>271</v>
      </c>
      <c r="W180" s="44">
        <v>5</v>
      </c>
      <c r="X180" s="44">
        <v>15</v>
      </c>
      <c r="Y180" s="77" t="s">
        <v>718</v>
      </c>
      <c r="Z180" s="44" t="s">
        <v>791</v>
      </c>
      <c r="AA180" s="44"/>
      <c r="AB180" s="44"/>
      <c r="AC180" s="43"/>
      <c r="AD180" s="43"/>
      <c r="AE180" s="42"/>
      <c r="AF180" s="41"/>
      <c r="AG180" s="41"/>
      <c r="AH180" s="41" t="s">
        <v>799</v>
      </c>
      <c r="AI180" s="395" t="s">
        <v>801</v>
      </c>
      <c r="AJ180" s="395"/>
      <c r="AK180" s="395"/>
      <c r="AL180" s="41"/>
    </row>
    <row r="181" spans="1:38" s="50" customFormat="1" ht="15.95" customHeight="1">
      <c r="A181" s="306" t="s">
        <v>802</v>
      </c>
      <c r="B181" s="50" t="s">
        <v>800</v>
      </c>
      <c r="C181" s="316">
        <v>46155</v>
      </c>
      <c r="D181" s="49" t="s">
        <v>803</v>
      </c>
      <c r="E181" s="44">
        <v>75</v>
      </c>
      <c r="F181" s="44">
        <v>950</v>
      </c>
      <c r="G181" s="44">
        <v>200</v>
      </c>
      <c r="H181" s="44">
        <v>150</v>
      </c>
      <c r="I181" s="48" t="s">
        <v>714</v>
      </c>
      <c r="J181" s="48" t="s">
        <v>270</v>
      </c>
      <c r="K181" s="47"/>
      <c r="L181" s="47">
        <v>50</v>
      </c>
      <c r="M181" s="47">
        <v>150</v>
      </c>
      <c r="N181" s="605"/>
      <c r="O181" s="604"/>
      <c r="P181" s="46">
        <v>4</v>
      </c>
      <c r="Q181" s="45"/>
      <c r="R181" s="45" t="s">
        <v>270</v>
      </c>
      <c r="S181" s="43">
        <v>2</v>
      </c>
      <c r="T181" s="606" t="s">
        <v>270</v>
      </c>
      <c r="U181" s="606" t="s">
        <v>270</v>
      </c>
      <c r="V181" s="44" t="s">
        <v>271</v>
      </c>
      <c r="W181" s="44">
        <v>5</v>
      </c>
      <c r="X181" s="44">
        <v>15</v>
      </c>
      <c r="Y181" s="77" t="s">
        <v>718</v>
      </c>
      <c r="Z181" s="44" t="s">
        <v>791</v>
      </c>
      <c r="AA181" s="44"/>
      <c r="AB181" s="44"/>
      <c r="AC181" s="43"/>
      <c r="AD181" s="43"/>
      <c r="AE181" s="42"/>
      <c r="AF181" s="41"/>
      <c r="AG181" s="41"/>
      <c r="AH181" s="41" t="s">
        <v>799</v>
      </c>
      <c r="AI181" s="395" t="s">
        <v>804</v>
      </c>
      <c r="AJ181" s="395"/>
      <c r="AK181" s="395"/>
      <c r="AL181" s="41"/>
    </row>
    <row r="182" spans="1:38" s="50" customFormat="1" ht="15.95" customHeight="1">
      <c r="A182" s="295" t="s">
        <v>805</v>
      </c>
      <c r="B182" s="50" t="s">
        <v>800</v>
      </c>
      <c r="C182" s="317">
        <v>46155</v>
      </c>
      <c r="D182" s="360" t="s">
        <v>806</v>
      </c>
      <c r="E182" s="44">
        <v>75</v>
      </c>
      <c r="F182" s="44">
        <v>950</v>
      </c>
      <c r="G182" s="44">
        <v>200</v>
      </c>
      <c r="H182" s="44">
        <v>150</v>
      </c>
      <c r="I182" s="48" t="s">
        <v>807</v>
      </c>
      <c r="J182" s="48" t="s">
        <v>270</v>
      </c>
      <c r="K182" s="47"/>
      <c r="L182" s="47">
        <v>50</v>
      </c>
      <c r="M182" s="47">
        <v>150</v>
      </c>
      <c r="N182" s="93"/>
      <c r="O182" s="98"/>
      <c r="P182" s="46">
        <v>4</v>
      </c>
      <c r="Q182" s="45"/>
      <c r="R182" s="45" t="s">
        <v>270</v>
      </c>
      <c r="S182" s="43">
        <v>2</v>
      </c>
      <c r="T182" s="606" t="s">
        <v>270</v>
      </c>
      <c r="U182" s="606" t="s">
        <v>270</v>
      </c>
      <c r="V182" s="44" t="s">
        <v>271</v>
      </c>
      <c r="W182" s="44">
        <v>5</v>
      </c>
      <c r="X182" s="44">
        <v>15</v>
      </c>
      <c r="Y182" s="77" t="s">
        <v>270</v>
      </c>
      <c r="Z182" s="44" t="s">
        <v>421</v>
      </c>
      <c r="AA182" s="44"/>
      <c r="AB182" s="44"/>
      <c r="AC182" s="43"/>
      <c r="AD182" s="43"/>
      <c r="AE182" s="42"/>
      <c r="AF182" s="41" t="s">
        <v>808</v>
      </c>
      <c r="AG182" s="41"/>
      <c r="AH182" s="41"/>
      <c r="AI182" s="395" t="s">
        <v>809</v>
      </c>
      <c r="AJ182" s="395"/>
      <c r="AK182" s="395"/>
      <c r="AL182" s="41"/>
    </row>
    <row r="183" spans="1:38" s="50" customFormat="1" ht="15.95" customHeight="1">
      <c r="A183" s="359" t="s">
        <v>810</v>
      </c>
      <c r="B183" s="50" t="s">
        <v>800</v>
      </c>
      <c r="C183" s="318">
        <v>46155</v>
      </c>
      <c r="D183" s="360" t="s">
        <v>811</v>
      </c>
      <c r="E183" s="44">
        <v>75</v>
      </c>
      <c r="F183" s="44">
        <v>950</v>
      </c>
      <c r="G183" s="44">
        <v>200</v>
      </c>
      <c r="H183" s="44">
        <v>150</v>
      </c>
      <c r="I183" s="48" t="s">
        <v>807</v>
      </c>
      <c r="J183" s="48" t="s">
        <v>270</v>
      </c>
      <c r="K183" s="47"/>
      <c r="L183" s="47">
        <v>50</v>
      </c>
      <c r="M183" s="47">
        <v>150</v>
      </c>
      <c r="N183" s="93"/>
      <c r="O183" s="98"/>
      <c r="P183" s="46">
        <v>4</v>
      </c>
      <c r="Q183" s="45"/>
      <c r="R183" s="45" t="s">
        <v>270</v>
      </c>
      <c r="S183" s="43">
        <v>2</v>
      </c>
      <c r="T183" s="606" t="s">
        <v>270</v>
      </c>
      <c r="U183" s="606" t="s">
        <v>270</v>
      </c>
      <c r="V183" s="44" t="s">
        <v>271</v>
      </c>
      <c r="W183" s="44">
        <v>5</v>
      </c>
      <c r="X183" s="44">
        <v>15</v>
      </c>
      <c r="Y183" s="77" t="s">
        <v>747</v>
      </c>
      <c r="Z183" s="44" t="s">
        <v>421</v>
      </c>
      <c r="AA183" s="44"/>
      <c r="AB183" s="44"/>
      <c r="AC183" s="43"/>
      <c r="AD183" s="43"/>
      <c r="AE183" s="42"/>
      <c r="AF183" s="41"/>
      <c r="AG183" s="41"/>
      <c r="AH183" s="41"/>
      <c r="AI183" s="41"/>
      <c r="AJ183" s="41"/>
      <c r="AK183" s="41"/>
      <c r="AL183" s="41"/>
    </row>
    <row r="184" spans="1:38" s="50" customFormat="1" ht="15.95" customHeight="1">
      <c r="A184" s="295" t="s">
        <v>812</v>
      </c>
      <c r="B184" s="50" t="s">
        <v>802</v>
      </c>
      <c r="C184" s="316">
        <v>46156</v>
      </c>
      <c r="D184" s="360" t="s">
        <v>813</v>
      </c>
      <c r="E184" s="44">
        <v>75</v>
      </c>
      <c r="F184" s="44">
        <v>950</v>
      </c>
      <c r="G184" s="44">
        <v>200</v>
      </c>
      <c r="H184" s="44">
        <v>150</v>
      </c>
      <c r="I184" s="658" t="s">
        <v>814</v>
      </c>
      <c r="J184" s="48" t="s">
        <v>270</v>
      </c>
      <c r="K184" s="47"/>
      <c r="L184" s="47">
        <v>50</v>
      </c>
      <c r="M184" s="47">
        <v>150</v>
      </c>
      <c r="N184" s="605"/>
      <c r="O184" s="604"/>
      <c r="P184" s="46">
        <v>4</v>
      </c>
      <c r="Q184" s="45"/>
      <c r="R184" s="45" t="s">
        <v>270</v>
      </c>
      <c r="S184" s="43">
        <v>2</v>
      </c>
      <c r="T184" s="606" t="s">
        <v>270</v>
      </c>
      <c r="U184" s="606" t="s">
        <v>270</v>
      </c>
      <c r="V184" s="44" t="s">
        <v>271</v>
      </c>
      <c r="W184" s="44">
        <v>5</v>
      </c>
      <c r="X184" s="44">
        <v>15</v>
      </c>
      <c r="Y184" s="77" t="s">
        <v>270</v>
      </c>
      <c r="Z184" s="44" t="s">
        <v>421</v>
      </c>
      <c r="AA184" s="44"/>
      <c r="AB184" s="44"/>
      <c r="AC184" s="43"/>
      <c r="AD184" s="43"/>
      <c r="AE184" s="42"/>
      <c r="AF184" s="41"/>
      <c r="AG184" s="41"/>
      <c r="AH184" s="41"/>
      <c r="AI184" s="41"/>
      <c r="AJ184" s="41"/>
      <c r="AK184" s="41"/>
      <c r="AL184" s="41"/>
    </row>
    <row r="185" spans="1:38" s="50" customFormat="1" ht="15.95" customHeight="1">
      <c r="A185" s="359" t="s">
        <v>815</v>
      </c>
      <c r="B185" s="50" t="s">
        <v>802</v>
      </c>
      <c r="C185" s="317">
        <v>46156</v>
      </c>
      <c r="D185" s="360" t="s">
        <v>816</v>
      </c>
      <c r="E185" s="44">
        <v>75</v>
      </c>
      <c r="F185" s="44">
        <v>950</v>
      </c>
      <c r="G185" s="44">
        <v>200</v>
      </c>
      <c r="H185" s="44">
        <v>150</v>
      </c>
      <c r="I185" s="658" t="s">
        <v>814</v>
      </c>
      <c r="J185" s="48" t="s">
        <v>270</v>
      </c>
      <c r="K185" s="47"/>
      <c r="L185" s="47">
        <v>50</v>
      </c>
      <c r="M185" s="47">
        <v>150</v>
      </c>
      <c r="N185" s="605"/>
      <c r="O185" s="604"/>
      <c r="P185" s="46">
        <v>4</v>
      </c>
      <c r="Q185" s="45"/>
      <c r="R185" s="45" t="s">
        <v>270</v>
      </c>
      <c r="S185" s="43">
        <v>2</v>
      </c>
      <c r="T185" s="606" t="s">
        <v>270</v>
      </c>
      <c r="U185" s="606" t="s">
        <v>270</v>
      </c>
      <c r="V185" s="44" t="s">
        <v>271</v>
      </c>
      <c r="W185" s="44">
        <v>5</v>
      </c>
      <c r="X185" s="44">
        <v>15</v>
      </c>
      <c r="Y185" s="77" t="s">
        <v>270</v>
      </c>
      <c r="Z185" s="44" t="s">
        <v>421</v>
      </c>
      <c r="AA185" s="44"/>
      <c r="AB185" s="44"/>
      <c r="AC185" s="43"/>
      <c r="AD185" s="43"/>
      <c r="AE185" s="42"/>
      <c r="AF185" s="41" t="s">
        <v>817</v>
      </c>
      <c r="AG185" s="41"/>
      <c r="AH185" s="41"/>
      <c r="AI185" s="41"/>
      <c r="AJ185" s="41"/>
      <c r="AK185" s="41"/>
      <c r="AL185" s="41"/>
    </row>
    <row r="186" spans="1:38" s="50" customFormat="1" ht="15.95" customHeight="1">
      <c r="A186" s="306" t="s">
        <v>818</v>
      </c>
      <c r="B186" s="50" t="s">
        <v>802</v>
      </c>
      <c r="C186" s="317">
        <v>46156</v>
      </c>
      <c r="D186" s="360" t="s">
        <v>819</v>
      </c>
      <c r="E186" s="44">
        <v>75</v>
      </c>
      <c r="F186" s="44">
        <v>950</v>
      </c>
      <c r="G186" s="44">
        <v>200</v>
      </c>
      <c r="H186" s="44">
        <v>150</v>
      </c>
      <c r="I186" s="82" t="s">
        <v>820</v>
      </c>
      <c r="J186" s="48" t="s">
        <v>270</v>
      </c>
      <c r="K186" s="47"/>
      <c r="L186" s="47">
        <v>50</v>
      </c>
      <c r="M186" s="47">
        <v>150</v>
      </c>
      <c r="N186" s="605"/>
      <c r="O186" s="604"/>
      <c r="P186" s="46">
        <v>4</v>
      </c>
      <c r="Q186" s="45"/>
      <c r="R186" s="45" t="s">
        <v>270</v>
      </c>
      <c r="S186" s="43">
        <v>2</v>
      </c>
      <c r="T186" s="606" t="s">
        <v>270</v>
      </c>
      <c r="U186" s="606" t="s">
        <v>270</v>
      </c>
      <c r="V186" s="44" t="s">
        <v>271</v>
      </c>
      <c r="W186" s="44">
        <v>5</v>
      </c>
      <c r="X186" s="44">
        <v>15</v>
      </c>
      <c r="Y186" s="77" t="s">
        <v>821</v>
      </c>
      <c r="Z186" s="44" t="s">
        <v>421</v>
      </c>
      <c r="AA186" s="44"/>
      <c r="AB186" s="44"/>
      <c r="AC186" s="43"/>
      <c r="AD186" s="43"/>
      <c r="AE186" s="42"/>
      <c r="AF186" s="41"/>
      <c r="AG186" s="41"/>
      <c r="AH186" s="41"/>
      <c r="AI186" s="41" t="s">
        <v>822</v>
      </c>
      <c r="AJ186" s="41"/>
      <c r="AK186" s="41"/>
      <c r="AL186" s="41"/>
    </row>
    <row r="187" spans="1:38" s="50" customFormat="1" ht="15.95" customHeight="1">
      <c r="A187" s="306" t="s">
        <v>823</v>
      </c>
      <c r="B187" s="50" t="s">
        <v>818</v>
      </c>
      <c r="C187" s="317">
        <v>46156</v>
      </c>
      <c r="D187" s="360" t="s">
        <v>824</v>
      </c>
      <c r="E187" s="44">
        <v>75</v>
      </c>
      <c r="F187" s="44">
        <v>950</v>
      </c>
      <c r="G187" s="44">
        <v>200</v>
      </c>
      <c r="H187" s="44">
        <v>150</v>
      </c>
      <c r="I187" s="48" t="s">
        <v>820</v>
      </c>
      <c r="J187" s="48" t="s">
        <v>270</v>
      </c>
      <c r="K187" s="47"/>
      <c r="L187" s="47">
        <v>50</v>
      </c>
      <c r="M187" s="47">
        <v>150</v>
      </c>
      <c r="N187" s="605"/>
      <c r="O187" s="604"/>
      <c r="P187" s="46">
        <v>4</v>
      </c>
      <c r="Q187" s="45"/>
      <c r="R187" s="45" t="s">
        <v>270</v>
      </c>
      <c r="S187" s="43">
        <v>2</v>
      </c>
      <c r="T187" s="606" t="s">
        <v>270</v>
      </c>
      <c r="U187" s="606" t="s">
        <v>270</v>
      </c>
      <c r="V187" s="77">
        <v>20</v>
      </c>
      <c r="W187" s="77">
        <v>2</v>
      </c>
      <c r="X187" s="44">
        <v>15</v>
      </c>
      <c r="Y187" s="44" t="s">
        <v>821</v>
      </c>
      <c r="Z187" s="44" t="s">
        <v>421</v>
      </c>
      <c r="AA187" s="44"/>
      <c r="AB187" s="44"/>
      <c r="AC187" s="43"/>
      <c r="AD187" s="43"/>
      <c r="AE187" s="42"/>
      <c r="AF187" s="41" t="s">
        <v>825</v>
      </c>
      <c r="AG187" s="41" t="s">
        <v>704</v>
      </c>
      <c r="AH187" s="41"/>
      <c r="AI187" s="41" t="s">
        <v>826</v>
      </c>
      <c r="AJ187" s="41"/>
      <c r="AK187" s="41"/>
      <c r="AL187" s="41"/>
    </row>
    <row r="188" spans="1:38" s="50" customFormat="1" ht="15.95" customHeight="1">
      <c r="A188" s="293" t="s">
        <v>827</v>
      </c>
      <c r="B188" s="50" t="s">
        <v>823</v>
      </c>
      <c r="C188" s="318">
        <v>46156</v>
      </c>
      <c r="D188" s="360"/>
      <c r="E188" s="44">
        <v>75</v>
      </c>
      <c r="F188" s="44">
        <v>950</v>
      </c>
      <c r="G188" s="44">
        <v>200</v>
      </c>
      <c r="H188" s="44">
        <v>150</v>
      </c>
      <c r="I188" s="48" t="s">
        <v>820</v>
      </c>
      <c r="J188" s="48" t="s">
        <v>270</v>
      </c>
      <c r="K188" s="47"/>
      <c r="L188" s="47">
        <v>50</v>
      </c>
      <c r="M188" s="47">
        <v>150</v>
      </c>
      <c r="N188" s="605"/>
      <c r="O188" s="604"/>
      <c r="P188" s="46">
        <v>4</v>
      </c>
      <c r="Q188" s="45"/>
      <c r="R188" s="45" t="s">
        <v>270</v>
      </c>
      <c r="S188" s="43">
        <v>2</v>
      </c>
      <c r="T188" s="606" t="s">
        <v>270</v>
      </c>
      <c r="U188" s="606" t="s">
        <v>270</v>
      </c>
      <c r="V188" s="44">
        <v>20</v>
      </c>
      <c r="W188" s="44">
        <v>2</v>
      </c>
      <c r="X188" s="44">
        <v>15</v>
      </c>
      <c r="Y188" t="s">
        <v>828</v>
      </c>
      <c r="Z188" s="44" t="s">
        <v>421</v>
      </c>
      <c r="AA188" s="44"/>
      <c r="AB188" s="44"/>
      <c r="AC188" s="43"/>
      <c r="AD188" s="43"/>
      <c r="AE188" s="42"/>
      <c r="AF188" s="41"/>
      <c r="AG188" s="41"/>
      <c r="AH188" s="41"/>
      <c r="AI188" s="41"/>
      <c r="AJ188" s="41"/>
      <c r="AK188" s="41"/>
      <c r="AL188" s="41"/>
    </row>
    <row r="189" spans="1:38" s="50" customFormat="1" ht="29.1">
      <c r="A189" s="306" t="s">
        <v>829</v>
      </c>
      <c r="B189" s="50" t="s">
        <v>823</v>
      </c>
      <c r="C189" s="316">
        <v>46157</v>
      </c>
      <c r="D189" s="404" t="s">
        <v>830</v>
      </c>
      <c r="E189" s="44">
        <v>75</v>
      </c>
      <c r="F189" s="44">
        <v>950</v>
      </c>
      <c r="G189" s="44">
        <v>200</v>
      </c>
      <c r="H189" s="44">
        <v>150</v>
      </c>
      <c r="I189" s="48" t="s">
        <v>831</v>
      </c>
      <c r="J189" s="48" t="s">
        <v>270</v>
      </c>
      <c r="K189" s="47"/>
      <c r="L189" s="47">
        <v>50</v>
      </c>
      <c r="M189" s="47">
        <v>150</v>
      </c>
      <c r="N189" s="605"/>
      <c r="O189" s="604"/>
      <c r="P189" s="46">
        <v>4</v>
      </c>
      <c r="Q189" s="45"/>
      <c r="R189" s="45" t="s">
        <v>270</v>
      </c>
      <c r="S189" s="43">
        <v>2</v>
      </c>
      <c r="T189" s="606" t="s">
        <v>270</v>
      </c>
      <c r="U189" s="606" t="s">
        <v>270</v>
      </c>
      <c r="V189" s="44">
        <v>20</v>
      </c>
      <c r="W189" s="77">
        <v>5</v>
      </c>
      <c r="X189" s="44">
        <v>15</v>
      </c>
      <c r="Y189" s="44" t="s">
        <v>828</v>
      </c>
      <c r="Z189" s="44" t="s">
        <v>421</v>
      </c>
      <c r="AA189" s="44">
        <v>75</v>
      </c>
      <c r="AB189" s="44">
        <v>950</v>
      </c>
      <c r="AC189" s="44">
        <v>200</v>
      </c>
      <c r="AD189" s="44">
        <v>150</v>
      </c>
      <c r="AE189" s="42"/>
      <c r="AF189" s="41" t="s">
        <v>832</v>
      </c>
      <c r="AG189" s="41"/>
      <c r="AH189" s="41"/>
      <c r="AI189" s="41"/>
      <c r="AJ189" s="41"/>
      <c r="AK189" s="41"/>
      <c r="AL189" s="41"/>
    </row>
    <row r="190" spans="1:38" s="50" customFormat="1" ht="15.95" customHeight="1">
      <c r="A190" s="306" t="s">
        <v>833</v>
      </c>
      <c r="B190" s="50" t="s">
        <v>823</v>
      </c>
      <c r="C190" s="317">
        <v>46157</v>
      </c>
      <c r="D190" s="49" t="s">
        <v>834</v>
      </c>
      <c r="E190" s="44">
        <v>75</v>
      </c>
      <c r="F190" s="44">
        <v>950</v>
      </c>
      <c r="G190" s="44">
        <v>200</v>
      </c>
      <c r="H190" s="44">
        <v>150</v>
      </c>
      <c r="I190" s="48" t="s">
        <v>831</v>
      </c>
      <c r="J190" s="48" t="s">
        <v>270</v>
      </c>
      <c r="K190" s="47"/>
      <c r="L190" s="47">
        <v>50</v>
      </c>
      <c r="M190" s="47">
        <v>150</v>
      </c>
      <c r="N190" s="605"/>
      <c r="O190" s="604"/>
      <c r="P190" s="46">
        <v>4</v>
      </c>
      <c r="Q190" s="45"/>
      <c r="R190" s="45" t="s">
        <v>270</v>
      </c>
      <c r="S190" s="43">
        <v>2</v>
      </c>
      <c r="T190" s="606" t="s">
        <v>270</v>
      </c>
      <c r="U190" s="606" t="s">
        <v>270</v>
      </c>
      <c r="V190" s="44">
        <v>20</v>
      </c>
      <c r="W190" s="44">
        <v>5</v>
      </c>
      <c r="X190" s="44">
        <v>15</v>
      </c>
      <c r="Y190" s="77" t="s">
        <v>821</v>
      </c>
      <c r="Z190" s="44" t="s">
        <v>421</v>
      </c>
      <c r="AA190" s="44"/>
      <c r="AB190" s="44"/>
      <c r="AC190" s="43"/>
      <c r="AD190" s="43"/>
      <c r="AE190" s="42"/>
      <c r="AF190" s="41" t="s">
        <v>835</v>
      </c>
      <c r="AG190" s="41"/>
      <c r="AH190" s="41"/>
      <c r="AI190" s="400" t="s">
        <v>836</v>
      </c>
      <c r="AJ190" s="400"/>
      <c r="AK190" s="400"/>
      <c r="AL190" s="41"/>
    </row>
    <row r="191" spans="1:38" s="50" customFormat="1" ht="15.95" customHeight="1">
      <c r="A191" s="306" t="s">
        <v>837</v>
      </c>
      <c r="B191" s="50" t="s">
        <v>833</v>
      </c>
      <c r="C191" s="317">
        <v>46157</v>
      </c>
      <c r="D191" s="49" t="s">
        <v>838</v>
      </c>
      <c r="E191" s="44">
        <v>75</v>
      </c>
      <c r="F191" s="44">
        <v>950</v>
      </c>
      <c r="G191" s="44">
        <v>200</v>
      </c>
      <c r="H191" s="44">
        <v>150</v>
      </c>
      <c r="I191" s="48" t="s">
        <v>831</v>
      </c>
      <c r="J191" s="48" t="s">
        <v>270</v>
      </c>
      <c r="K191" s="47"/>
      <c r="L191" s="47">
        <v>50</v>
      </c>
      <c r="M191" s="47">
        <v>150</v>
      </c>
      <c r="N191" s="605"/>
      <c r="O191" s="604"/>
      <c r="P191" s="46">
        <v>4</v>
      </c>
      <c r="Q191" s="45"/>
      <c r="R191" s="45" t="s">
        <v>270</v>
      </c>
      <c r="S191" s="43">
        <v>2</v>
      </c>
      <c r="T191" s="606" t="s">
        <v>270</v>
      </c>
      <c r="U191" s="606" t="s">
        <v>270</v>
      </c>
      <c r="V191" s="77">
        <v>10</v>
      </c>
      <c r="W191" s="44">
        <v>5</v>
      </c>
      <c r="X191" s="44">
        <v>15</v>
      </c>
      <c r="Y191" s="44" t="s">
        <v>821</v>
      </c>
      <c r="Z191" s="44" t="s">
        <v>421</v>
      </c>
      <c r="AA191" s="44"/>
      <c r="AB191" s="44"/>
      <c r="AC191" s="43"/>
      <c r="AD191" s="43"/>
      <c r="AE191" s="42"/>
      <c r="AF191" s="41"/>
      <c r="AG191" s="41"/>
      <c r="AH191" s="41"/>
      <c r="AI191" s="395" t="s">
        <v>839</v>
      </c>
      <c r="AJ191" s="395"/>
      <c r="AK191" s="395"/>
      <c r="AL191" s="41"/>
    </row>
    <row r="192" spans="1:38" s="50" customFormat="1" ht="15.95" customHeight="1">
      <c r="A192" s="401" t="s">
        <v>840</v>
      </c>
      <c r="B192" s="50" t="s">
        <v>833</v>
      </c>
      <c r="C192" s="331">
        <v>46158</v>
      </c>
      <c r="D192" s="49" t="s">
        <v>841</v>
      </c>
      <c r="E192" s="44">
        <v>75</v>
      </c>
      <c r="F192" s="44">
        <v>950</v>
      </c>
      <c r="G192" s="44">
        <v>200</v>
      </c>
      <c r="H192" s="44">
        <v>150</v>
      </c>
      <c r="I192" s="48" t="s">
        <v>831</v>
      </c>
      <c r="J192" s="48" t="s">
        <v>270</v>
      </c>
      <c r="K192" s="47"/>
      <c r="L192" s="47">
        <v>50</v>
      </c>
      <c r="M192" s="47">
        <v>150</v>
      </c>
      <c r="N192" s="605"/>
      <c r="O192" s="604"/>
      <c r="P192" s="46">
        <v>4</v>
      </c>
      <c r="Q192" s="45"/>
      <c r="R192" s="45" t="s">
        <v>270</v>
      </c>
      <c r="S192" s="83">
        <v>10</v>
      </c>
      <c r="T192" s="606" t="s">
        <v>270</v>
      </c>
      <c r="U192" s="606" t="s">
        <v>270</v>
      </c>
      <c r="V192" s="77">
        <v>20</v>
      </c>
      <c r="W192" s="44">
        <v>5</v>
      </c>
      <c r="X192" s="44">
        <v>15</v>
      </c>
      <c r="Y192" s="44" t="s">
        <v>821</v>
      </c>
      <c r="Z192" s="44" t="s">
        <v>421</v>
      </c>
      <c r="AA192" s="44"/>
      <c r="AB192" s="44"/>
      <c r="AC192" s="43"/>
      <c r="AD192" s="43"/>
      <c r="AE192" s="42"/>
      <c r="AF192" s="41"/>
      <c r="AG192" s="41"/>
      <c r="AH192" s="41"/>
      <c r="AI192" s="41"/>
      <c r="AJ192" s="41"/>
      <c r="AK192" s="41"/>
      <c r="AL192" s="41"/>
    </row>
    <row r="193" spans="1:38" s="50" customFormat="1" ht="15.95" customHeight="1">
      <c r="A193" s="359" t="s">
        <v>842</v>
      </c>
      <c r="B193" s="50" t="s">
        <v>837</v>
      </c>
      <c r="C193" s="316">
        <v>46159</v>
      </c>
      <c r="D193" s="49" t="s">
        <v>843</v>
      </c>
      <c r="E193" s="44">
        <v>75</v>
      </c>
      <c r="F193" s="44">
        <v>950</v>
      </c>
      <c r="G193" s="44">
        <v>200</v>
      </c>
      <c r="H193" s="44">
        <v>150</v>
      </c>
      <c r="I193" s="48" t="s">
        <v>831</v>
      </c>
      <c r="J193" s="48" t="s">
        <v>270</v>
      </c>
      <c r="K193" s="47"/>
      <c r="L193" s="47">
        <v>50</v>
      </c>
      <c r="M193" s="47">
        <v>150</v>
      </c>
      <c r="N193" s="605"/>
      <c r="O193" s="604"/>
      <c r="P193" s="46">
        <v>4</v>
      </c>
      <c r="Q193" s="45"/>
      <c r="R193" s="45" t="s">
        <v>270</v>
      </c>
      <c r="S193" s="43">
        <v>10</v>
      </c>
      <c r="T193" s="606" t="s">
        <v>270</v>
      </c>
      <c r="U193" s="606" t="s">
        <v>270</v>
      </c>
      <c r="V193" s="44">
        <v>20</v>
      </c>
      <c r="W193" s="44">
        <v>5</v>
      </c>
      <c r="X193" s="44">
        <v>15</v>
      </c>
      <c r="Y193" s="44" t="s">
        <v>821</v>
      </c>
      <c r="Z193" s="44" t="s">
        <v>421</v>
      </c>
      <c r="AA193" s="44"/>
      <c r="AB193" s="44"/>
      <c r="AC193" s="43"/>
      <c r="AD193" s="43"/>
      <c r="AE193" s="42" t="s">
        <v>844</v>
      </c>
      <c r="AF193" s="41"/>
      <c r="AG193" s="41"/>
      <c r="AH193" s="41"/>
      <c r="AI193" s="41"/>
      <c r="AJ193" s="41"/>
      <c r="AK193" s="41"/>
      <c r="AL193" s="41"/>
    </row>
    <row r="194" spans="1:38" s="50" customFormat="1" ht="15.95" customHeight="1">
      <c r="A194" s="306" t="s">
        <v>845</v>
      </c>
      <c r="B194" s="50" t="s">
        <v>837</v>
      </c>
      <c r="C194" s="317">
        <v>46159</v>
      </c>
      <c r="D194" s="49" t="s">
        <v>846</v>
      </c>
      <c r="E194" s="44">
        <v>75</v>
      </c>
      <c r="F194" s="44">
        <v>950</v>
      </c>
      <c r="G194" s="44">
        <v>200</v>
      </c>
      <c r="H194" s="44">
        <v>150</v>
      </c>
      <c r="I194" s="48" t="s">
        <v>831</v>
      </c>
      <c r="J194" s="48" t="s">
        <v>270</v>
      </c>
      <c r="K194" s="47"/>
      <c r="L194" s="47">
        <v>50</v>
      </c>
      <c r="M194" s="47">
        <v>150</v>
      </c>
      <c r="N194" s="605"/>
      <c r="O194" s="604"/>
      <c r="P194" s="46">
        <v>4</v>
      </c>
      <c r="Q194" s="45"/>
      <c r="R194" s="45" t="s">
        <v>270</v>
      </c>
      <c r="S194" s="83">
        <v>2</v>
      </c>
      <c r="T194" s="606" t="s">
        <v>270</v>
      </c>
      <c r="U194" s="606" t="s">
        <v>270</v>
      </c>
      <c r="V194" s="44">
        <v>20</v>
      </c>
      <c r="W194" s="44">
        <v>5</v>
      </c>
      <c r="X194" s="44">
        <v>15</v>
      </c>
      <c r="Y194" s="77" t="s">
        <v>847</v>
      </c>
      <c r="Z194" s="44" t="s">
        <v>421</v>
      </c>
      <c r="AA194" s="44"/>
      <c r="AB194" s="44"/>
      <c r="AC194" s="43"/>
      <c r="AD194" s="43"/>
      <c r="AE194" s="42" t="s">
        <v>848</v>
      </c>
      <c r="AF194" s="41"/>
      <c r="AG194" s="41"/>
      <c r="AH194" s="41"/>
      <c r="AI194" s="41"/>
      <c r="AJ194" s="41"/>
      <c r="AK194" s="41"/>
      <c r="AL194" s="41"/>
    </row>
    <row r="195" spans="1:38" s="50" customFormat="1" ht="15.95" customHeight="1">
      <c r="A195" s="295" t="s">
        <v>849</v>
      </c>
      <c r="B195" s="50" t="s">
        <v>837</v>
      </c>
      <c r="C195" s="318">
        <v>46159</v>
      </c>
      <c r="D195" s="49" t="s">
        <v>850</v>
      </c>
      <c r="E195" s="44">
        <v>75</v>
      </c>
      <c r="F195" s="44">
        <v>950</v>
      </c>
      <c r="G195" s="44">
        <v>200</v>
      </c>
      <c r="H195" s="44">
        <v>150</v>
      </c>
      <c r="I195" s="48" t="s">
        <v>831</v>
      </c>
      <c r="J195" s="48" t="s">
        <v>270</v>
      </c>
      <c r="K195" s="47"/>
      <c r="L195" s="47">
        <v>50</v>
      </c>
      <c r="M195" s="47">
        <v>150</v>
      </c>
      <c r="N195" s="605"/>
      <c r="O195" s="604"/>
      <c r="P195" s="46">
        <v>4</v>
      </c>
      <c r="Q195" s="45"/>
      <c r="R195" s="45" t="s">
        <v>270</v>
      </c>
      <c r="S195" s="43">
        <v>2</v>
      </c>
      <c r="T195" s="606" t="s">
        <v>270</v>
      </c>
      <c r="U195" s="606" t="s">
        <v>270</v>
      </c>
      <c r="V195" s="44">
        <v>20</v>
      </c>
      <c r="W195" s="44">
        <v>5</v>
      </c>
      <c r="X195" s="44">
        <v>15</v>
      </c>
      <c r="Y195" s="44" t="s">
        <v>847</v>
      </c>
      <c r="Z195" s="44" t="s">
        <v>421</v>
      </c>
      <c r="AA195" s="44"/>
      <c r="AB195" s="44"/>
      <c r="AC195" s="43"/>
      <c r="AD195" s="43"/>
      <c r="AE195" s="42"/>
      <c r="AF195" s="41"/>
      <c r="AG195" s="41"/>
      <c r="AH195" s="41"/>
      <c r="AI195" s="395" t="s">
        <v>851</v>
      </c>
      <c r="AJ195" s="395"/>
      <c r="AK195" s="395"/>
      <c r="AL195" s="41"/>
    </row>
    <row r="196" spans="1:38" s="50" customFormat="1" ht="15.95" customHeight="1">
      <c r="A196" s="295" t="s">
        <v>852</v>
      </c>
      <c r="B196" s="50" t="s">
        <v>837</v>
      </c>
      <c r="C196" s="316">
        <v>46160</v>
      </c>
      <c r="D196" s="49" t="s">
        <v>853</v>
      </c>
      <c r="E196" s="44">
        <v>75</v>
      </c>
      <c r="F196" s="44">
        <v>950</v>
      </c>
      <c r="G196" s="44">
        <v>200</v>
      </c>
      <c r="H196" s="44">
        <v>150</v>
      </c>
      <c r="I196" s="48" t="s">
        <v>831</v>
      </c>
      <c r="J196" s="48" t="s">
        <v>270</v>
      </c>
      <c r="K196" s="47"/>
      <c r="L196" s="47">
        <v>50</v>
      </c>
      <c r="M196" s="47">
        <v>150</v>
      </c>
      <c r="N196" s="605"/>
      <c r="O196" s="604"/>
      <c r="P196" s="46">
        <v>4</v>
      </c>
      <c r="Q196" s="45"/>
      <c r="R196" s="45" t="s">
        <v>270</v>
      </c>
      <c r="S196" s="43">
        <v>2</v>
      </c>
      <c r="T196" s="606" t="s">
        <v>270</v>
      </c>
      <c r="U196" s="606" t="s">
        <v>270</v>
      </c>
      <c r="V196" s="44">
        <v>20</v>
      </c>
      <c r="W196" s="44">
        <v>5</v>
      </c>
      <c r="X196" s="44">
        <v>15</v>
      </c>
      <c r="Y196" s="44" t="s">
        <v>847</v>
      </c>
      <c r="Z196" s="44" t="s">
        <v>421</v>
      </c>
      <c r="AA196" s="44"/>
      <c r="AB196" s="44"/>
      <c r="AC196" s="43"/>
      <c r="AD196" s="43"/>
      <c r="AE196" s="42"/>
      <c r="AF196" s="41"/>
      <c r="AG196" s="41"/>
      <c r="AH196" s="41"/>
      <c r="AI196" s="41"/>
      <c r="AJ196" s="41"/>
      <c r="AK196" s="41"/>
      <c r="AL196" s="41"/>
    </row>
    <row r="197" spans="1:38" s="50" customFormat="1" ht="15.95" customHeight="1">
      <c r="A197" s="295" t="s">
        <v>854</v>
      </c>
      <c r="B197" s="50" t="s">
        <v>837</v>
      </c>
      <c r="C197" s="317">
        <v>46160</v>
      </c>
      <c r="D197" s="49" t="s">
        <v>838</v>
      </c>
      <c r="E197" s="44">
        <v>75</v>
      </c>
      <c r="F197" s="44">
        <v>950</v>
      </c>
      <c r="G197" s="44">
        <v>200</v>
      </c>
      <c r="H197" s="44">
        <v>150</v>
      </c>
      <c r="I197" s="48" t="s">
        <v>831</v>
      </c>
      <c r="J197" s="48" t="s">
        <v>270</v>
      </c>
      <c r="K197" s="47"/>
      <c r="L197" s="47">
        <v>50</v>
      </c>
      <c r="M197" s="47">
        <v>150</v>
      </c>
      <c r="N197" s="605"/>
      <c r="O197" s="604"/>
      <c r="P197" s="46">
        <v>4</v>
      </c>
      <c r="Q197" s="45"/>
      <c r="R197" s="45" t="s">
        <v>270</v>
      </c>
      <c r="S197" s="43">
        <v>2</v>
      </c>
      <c r="T197" s="606" t="s">
        <v>270</v>
      </c>
      <c r="U197" s="606" t="s">
        <v>270</v>
      </c>
      <c r="V197" s="77">
        <v>10</v>
      </c>
      <c r="W197" s="44">
        <v>5</v>
      </c>
      <c r="X197" s="44">
        <v>15</v>
      </c>
      <c r="Y197" s="44" t="s">
        <v>847</v>
      </c>
      <c r="Z197" s="44" t="s">
        <v>421</v>
      </c>
      <c r="AA197" s="44"/>
      <c r="AB197" s="44"/>
      <c r="AC197" s="43"/>
      <c r="AD197" s="43"/>
      <c r="AE197" s="42"/>
      <c r="AF197" s="41"/>
      <c r="AG197" s="41"/>
      <c r="AH197" s="41"/>
      <c r="AI197" s="395" t="s">
        <v>851</v>
      </c>
      <c r="AJ197" s="395"/>
      <c r="AK197" s="395"/>
      <c r="AL197" s="41"/>
    </row>
    <row r="198" spans="1:38" s="50" customFormat="1" ht="15.95" customHeight="1">
      <c r="A198" s="295" t="s">
        <v>855</v>
      </c>
      <c r="B198" s="50" t="s">
        <v>837</v>
      </c>
      <c r="C198" s="317">
        <v>46160</v>
      </c>
      <c r="D198" s="360" t="s">
        <v>856</v>
      </c>
      <c r="E198" s="44">
        <v>75</v>
      </c>
      <c r="F198" s="44">
        <v>950</v>
      </c>
      <c r="G198" s="44">
        <v>200</v>
      </c>
      <c r="H198" s="44">
        <v>150</v>
      </c>
      <c r="I198" s="82" t="s">
        <v>857</v>
      </c>
      <c r="J198" s="48" t="s">
        <v>270</v>
      </c>
      <c r="K198" s="47"/>
      <c r="L198" s="47">
        <v>50</v>
      </c>
      <c r="M198" s="47">
        <v>150</v>
      </c>
      <c r="N198" s="605"/>
      <c r="O198" s="604"/>
      <c r="P198" s="46">
        <v>4</v>
      </c>
      <c r="Q198" s="45"/>
      <c r="R198" s="45" t="s">
        <v>270</v>
      </c>
      <c r="S198" s="43">
        <v>2</v>
      </c>
      <c r="T198" s="606" t="s">
        <v>270</v>
      </c>
      <c r="U198" s="606" t="s">
        <v>270</v>
      </c>
      <c r="V198" s="44">
        <v>10</v>
      </c>
      <c r="W198" s="44">
        <v>5</v>
      </c>
      <c r="X198" s="44">
        <v>15</v>
      </c>
      <c r="Y198" s="44" t="s">
        <v>847</v>
      </c>
      <c r="Z198" s="44" t="s">
        <v>421</v>
      </c>
      <c r="AA198" s="44"/>
      <c r="AB198" s="44"/>
      <c r="AC198" s="43"/>
      <c r="AD198" s="43"/>
      <c r="AE198" s="42"/>
      <c r="AF198" s="41"/>
      <c r="AG198" s="41"/>
      <c r="AH198" s="41"/>
      <c r="AI198" s="41"/>
      <c r="AJ198" s="41"/>
      <c r="AK198" s="41"/>
      <c r="AL198" s="41"/>
    </row>
    <row r="199" spans="1:38" s="50" customFormat="1" ht="15.95" customHeight="1">
      <c r="A199" s="295" t="s">
        <v>858</v>
      </c>
      <c r="B199" s="50" t="s">
        <v>837</v>
      </c>
      <c r="C199" s="317">
        <v>46160</v>
      </c>
      <c r="D199" s="49" t="s">
        <v>859</v>
      </c>
      <c r="E199" s="77">
        <v>65</v>
      </c>
      <c r="F199" s="44">
        <v>950</v>
      </c>
      <c r="G199" s="44">
        <v>200</v>
      </c>
      <c r="H199" s="44">
        <v>150</v>
      </c>
      <c r="I199" s="48" t="s">
        <v>860</v>
      </c>
      <c r="J199" s="48" t="s">
        <v>270</v>
      </c>
      <c r="K199" s="47"/>
      <c r="L199" s="47">
        <v>50</v>
      </c>
      <c r="M199" s="47">
        <v>150</v>
      </c>
      <c r="N199" s="605"/>
      <c r="O199" s="604"/>
      <c r="P199" s="46">
        <v>4</v>
      </c>
      <c r="Q199" s="45"/>
      <c r="R199" s="45" t="s">
        <v>270</v>
      </c>
      <c r="S199" s="43">
        <v>2</v>
      </c>
      <c r="T199" s="606" t="s">
        <v>270</v>
      </c>
      <c r="U199" s="606" t="s">
        <v>270</v>
      </c>
      <c r="V199" s="44">
        <v>10</v>
      </c>
      <c r="W199" s="44">
        <v>5</v>
      </c>
      <c r="X199" s="44">
        <v>15</v>
      </c>
      <c r="Y199" s="44" t="s">
        <v>847</v>
      </c>
      <c r="Z199" s="44" t="s">
        <v>421</v>
      </c>
      <c r="AA199" s="44"/>
      <c r="AB199" s="44"/>
      <c r="AC199" s="43"/>
      <c r="AD199" s="43"/>
      <c r="AE199" s="42"/>
      <c r="AF199" s="41"/>
      <c r="AG199" s="41"/>
      <c r="AH199" s="41"/>
      <c r="AI199" s="41"/>
      <c r="AJ199" s="41"/>
      <c r="AK199" s="41"/>
      <c r="AL199" s="41"/>
    </row>
    <row r="200" spans="1:38" s="50" customFormat="1" ht="15.95" customHeight="1">
      <c r="A200" s="295" t="s">
        <v>861</v>
      </c>
      <c r="B200" s="50" t="s">
        <v>837</v>
      </c>
      <c r="C200" s="318">
        <v>46160</v>
      </c>
      <c r="D200" s="49" t="s">
        <v>862</v>
      </c>
      <c r="E200" s="44">
        <v>60</v>
      </c>
      <c r="F200" s="44">
        <v>950</v>
      </c>
      <c r="G200" s="44">
        <v>200</v>
      </c>
      <c r="H200" s="44">
        <v>150</v>
      </c>
      <c r="I200" s="48" t="s">
        <v>860</v>
      </c>
      <c r="J200" s="48" t="s">
        <v>270</v>
      </c>
      <c r="K200" s="47"/>
      <c r="L200" s="47">
        <v>50</v>
      </c>
      <c r="M200" s="47">
        <v>150</v>
      </c>
      <c r="N200" s="605"/>
      <c r="O200" s="604"/>
      <c r="P200" s="46">
        <v>4</v>
      </c>
      <c r="Q200" s="45"/>
      <c r="R200" s="45" t="s">
        <v>270</v>
      </c>
      <c r="S200" s="43">
        <v>2</v>
      </c>
      <c r="T200" s="606" t="s">
        <v>270</v>
      </c>
      <c r="U200" s="606" t="s">
        <v>270</v>
      </c>
      <c r="V200" s="44">
        <v>10</v>
      </c>
      <c r="W200" s="44">
        <v>5</v>
      </c>
      <c r="X200" s="44">
        <v>15</v>
      </c>
      <c r="Y200" s="44" t="s">
        <v>847</v>
      </c>
      <c r="Z200" s="44" t="s">
        <v>421</v>
      </c>
      <c r="AA200" s="44"/>
      <c r="AB200" s="44"/>
      <c r="AC200" s="43"/>
      <c r="AD200" s="43"/>
      <c r="AE200" s="42"/>
      <c r="AF200" s="41"/>
      <c r="AG200" s="41"/>
      <c r="AH200" s="41"/>
      <c r="AI200" s="41"/>
      <c r="AJ200" s="41"/>
      <c r="AK200" s="41"/>
      <c r="AL200" s="41"/>
    </row>
    <row r="201" spans="1:38" s="50" customFormat="1" ht="15.95" customHeight="1">
      <c r="A201" s="295" t="s">
        <v>863</v>
      </c>
      <c r="B201" s="50" t="s">
        <v>861</v>
      </c>
      <c r="C201" s="317">
        <v>46161</v>
      </c>
      <c r="D201" s="49" t="s">
        <v>864</v>
      </c>
      <c r="E201" s="44">
        <v>60</v>
      </c>
      <c r="F201" s="44">
        <v>950</v>
      </c>
      <c r="G201" s="44">
        <v>200</v>
      </c>
      <c r="H201" s="44">
        <v>150</v>
      </c>
      <c r="I201" s="48" t="s">
        <v>860</v>
      </c>
      <c r="J201" s="48" t="s">
        <v>270</v>
      </c>
      <c r="K201" s="47"/>
      <c r="L201" s="47">
        <v>50</v>
      </c>
      <c r="M201" s="47">
        <v>150</v>
      </c>
      <c r="N201" s="605"/>
      <c r="O201" s="604"/>
      <c r="P201" s="46">
        <v>4</v>
      </c>
      <c r="Q201" s="45"/>
      <c r="R201" s="45" t="s">
        <v>270</v>
      </c>
      <c r="S201" s="43">
        <v>2</v>
      </c>
      <c r="T201" s="606" t="s">
        <v>270</v>
      </c>
      <c r="U201" s="606" t="s">
        <v>270</v>
      </c>
      <c r="V201" s="44">
        <v>10</v>
      </c>
      <c r="W201" s="44">
        <v>5</v>
      </c>
      <c r="X201" s="44">
        <v>15</v>
      </c>
      <c r="Y201" s="44" t="s">
        <v>847</v>
      </c>
      <c r="Z201" s="44" t="s">
        <v>421</v>
      </c>
      <c r="AA201" s="44"/>
      <c r="AB201" s="44"/>
      <c r="AC201" s="43"/>
      <c r="AD201" s="43"/>
      <c r="AE201" s="42"/>
      <c r="AF201" s="41"/>
      <c r="AG201" s="41"/>
      <c r="AH201" s="41"/>
      <c r="AI201" s="41"/>
      <c r="AJ201" s="41"/>
      <c r="AK201" s="41"/>
      <c r="AL201" s="41"/>
    </row>
    <row r="202" spans="1:38" s="50" customFormat="1" ht="15.95" customHeight="1">
      <c r="A202" s="295" t="s">
        <v>865</v>
      </c>
      <c r="B202" s="50" t="s">
        <v>861</v>
      </c>
      <c r="C202" s="317">
        <v>46161</v>
      </c>
      <c r="D202" s="49"/>
      <c r="E202" s="44">
        <v>60</v>
      </c>
      <c r="F202" s="44">
        <v>950</v>
      </c>
      <c r="G202" s="44">
        <v>200</v>
      </c>
      <c r="H202" s="44">
        <v>150</v>
      </c>
      <c r="I202" s="48" t="s">
        <v>860</v>
      </c>
      <c r="J202" s="48" t="s">
        <v>270</v>
      </c>
      <c r="K202" s="47"/>
      <c r="L202" s="47">
        <v>50</v>
      </c>
      <c r="M202" s="47">
        <v>150</v>
      </c>
      <c r="N202" s="605"/>
      <c r="O202" s="604"/>
      <c r="P202" s="46">
        <v>4</v>
      </c>
      <c r="Q202" s="45"/>
      <c r="R202" s="45" t="s">
        <v>270</v>
      </c>
      <c r="S202" s="83">
        <v>5</v>
      </c>
      <c r="T202" s="606" t="s">
        <v>270</v>
      </c>
      <c r="U202" s="606" t="s">
        <v>270</v>
      </c>
      <c r="V202" s="44">
        <v>10</v>
      </c>
      <c r="W202" s="44">
        <v>5</v>
      </c>
      <c r="X202" s="44">
        <v>15</v>
      </c>
      <c r="Y202" s="44" t="s">
        <v>847</v>
      </c>
      <c r="Z202" s="44" t="s">
        <v>421</v>
      </c>
      <c r="AA202" s="44"/>
      <c r="AB202" s="44"/>
      <c r="AC202" s="43"/>
      <c r="AD202" s="43"/>
      <c r="AE202" s="42"/>
      <c r="AF202" s="41"/>
      <c r="AG202" s="41"/>
      <c r="AH202" s="41"/>
      <c r="AI202" s="41"/>
      <c r="AJ202" s="41"/>
      <c r="AK202" s="41"/>
      <c r="AL202" s="41"/>
    </row>
    <row r="203" spans="1:38" s="50" customFormat="1" ht="15.95" customHeight="1">
      <c r="C203" s="317"/>
      <c r="D203" s="49"/>
      <c r="E203" s="44"/>
      <c r="F203" s="44"/>
      <c r="G203" s="44"/>
      <c r="H203" s="44"/>
      <c r="I203" s="403"/>
      <c r="J203" s="48"/>
      <c r="K203" s="47"/>
      <c r="L203" s="47"/>
      <c r="M203" s="47"/>
      <c r="N203" s="93"/>
      <c r="O203" s="98"/>
      <c r="P203" s="46"/>
      <c r="Q203" s="45"/>
      <c r="R203" s="45"/>
      <c r="S203" s="43"/>
      <c r="T203" s="91"/>
      <c r="U203" s="91"/>
      <c r="V203" s="44"/>
      <c r="W203" s="44"/>
      <c r="X203" s="44"/>
      <c r="Y203" s="44"/>
      <c r="Z203" s="44"/>
      <c r="AA203" s="44"/>
      <c r="AB203" s="44"/>
      <c r="AC203" s="43"/>
      <c r="AD203" s="43"/>
      <c r="AE203" s="42"/>
      <c r="AF203" s="41"/>
      <c r="AG203" s="41"/>
      <c r="AH203" s="41"/>
      <c r="AI203" s="41"/>
      <c r="AJ203" s="41"/>
      <c r="AK203" s="41"/>
      <c r="AL203" s="41"/>
    </row>
    <row r="204" spans="1:38" s="50" customFormat="1" ht="15.95" customHeight="1">
      <c r="A204" s="306" t="s">
        <v>866</v>
      </c>
      <c r="C204" s="317">
        <v>46164</v>
      </c>
      <c r="D204" s="49"/>
      <c r="E204" s="44">
        <v>100</v>
      </c>
      <c r="F204" s="50" t="s">
        <v>654</v>
      </c>
      <c r="G204" s="27">
        <v>150</v>
      </c>
      <c r="H204" s="80">
        <v>180</v>
      </c>
      <c r="I204" s="48">
        <v>5</v>
      </c>
      <c r="J204" s="48">
        <v>150</v>
      </c>
      <c r="K204" s="47"/>
      <c r="L204" s="47" t="s">
        <v>270</v>
      </c>
      <c r="M204" s="47" t="s">
        <v>270</v>
      </c>
      <c r="N204" s="605" t="s">
        <v>270</v>
      </c>
      <c r="O204" s="98"/>
      <c r="P204" s="46">
        <v>4</v>
      </c>
      <c r="Q204" s="45"/>
      <c r="R204" s="45">
        <v>4</v>
      </c>
      <c r="S204" s="43">
        <v>0</v>
      </c>
      <c r="T204" s="606">
        <v>1</v>
      </c>
      <c r="U204" s="91">
        <v>3</v>
      </c>
      <c r="V204" s="44" t="s">
        <v>271</v>
      </c>
      <c r="W204" s="44">
        <v>7</v>
      </c>
      <c r="X204" s="44">
        <v>10</v>
      </c>
      <c r="Y204" s="44" t="s">
        <v>270</v>
      </c>
      <c r="Z204" s="44" t="s">
        <v>401</v>
      </c>
      <c r="AA204" s="44"/>
      <c r="AB204" s="44"/>
      <c r="AC204" s="43"/>
      <c r="AD204" s="43"/>
      <c r="AE204" s="42" t="s">
        <v>867</v>
      </c>
      <c r="AF204" s="41" t="s">
        <v>868</v>
      </c>
      <c r="AG204" s="41"/>
      <c r="AH204" s="41"/>
      <c r="AI204" s="41" t="s">
        <v>869</v>
      </c>
      <c r="AJ204" s="41"/>
      <c r="AK204" s="41"/>
      <c r="AL204" s="41"/>
    </row>
    <row r="205" spans="1:38" s="50" customFormat="1" ht="15.95" customHeight="1">
      <c r="A205" s="359" t="s">
        <v>870</v>
      </c>
      <c r="C205" s="316">
        <v>46166</v>
      </c>
      <c r="D205" s="49" t="s">
        <v>871</v>
      </c>
      <c r="E205" s="44">
        <v>100</v>
      </c>
      <c r="F205" s="50" t="s">
        <v>654</v>
      </c>
      <c r="G205" s="27">
        <v>150</v>
      </c>
      <c r="H205" s="80">
        <v>180</v>
      </c>
      <c r="I205" s="48">
        <v>5</v>
      </c>
      <c r="J205" s="48">
        <v>150</v>
      </c>
      <c r="K205" s="47"/>
      <c r="L205" s="47" t="s">
        <v>270</v>
      </c>
      <c r="M205" s="47" t="s">
        <v>270</v>
      </c>
      <c r="N205" s="605" t="s">
        <v>270</v>
      </c>
      <c r="O205" s="98"/>
      <c r="P205" s="46">
        <v>4</v>
      </c>
      <c r="Q205" s="45"/>
      <c r="R205" s="45">
        <v>4</v>
      </c>
      <c r="S205" s="43">
        <v>0</v>
      </c>
      <c r="T205" s="606">
        <v>1</v>
      </c>
      <c r="U205" s="91">
        <v>3</v>
      </c>
      <c r="V205" s="44" t="s">
        <v>271</v>
      </c>
      <c r="W205" s="44">
        <v>7</v>
      </c>
      <c r="X205" s="44">
        <v>10</v>
      </c>
      <c r="Y205" s="44" t="s">
        <v>270</v>
      </c>
      <c r="Z205" s="44" t="s">
        <v>401</v>
      </c>
      <c r="AA205" s="44"/>
      <c r="AB205" s="44"/>
      <c r="AC205" s="43"/>
      <c r="AD205" s="43"/>
      <c r="AE205" s="42" t="s">
        <v>867</v>
      </c>
      <c r="AF205" s="41" t="s">
        <v>872</v>
      </c>
      <c r="AG205" s="41"/>
      <c r="AH205" s="41" t="s">
        <v>873</v>
      </c>
      <c r="AI205" s="41"/>
      <c r="AJ205" s="41"/>
      <c r="AK205" s="41"/>
      <c r="AL205" s="41"/>
    </row>
    <row r="206" spans="1:38" s="50" customFormat="1" ht="15.95" customHeight="1">
      <c r="A206" s="306" t="s">
        <v>874</v>
      </c>
      <c r="C206" s="317">
        <v>46166</v>
      </c>
      <c r="D206" s="49" t="s">
        <v>875</v>
      </c>
      <c r="E206" s="44">
        <v>100</v>
      </c>
      <c r="F206" s="50" t="s">
        <v>654</v>
      </c>
      <c r="G206" s="27">
        <v>150</v>
      </c>
      <c r="H206" s="80">
        <v>180</v>
      </c>
      <c r="I206" s="48">
        <v>5</v>
      </c>
      <c r="J206" s="48">
        <v>150</v>
      </c>
      <c r="K206" s="47"/>
      <c r="L206" s="47" t="s">
        <v>270</v>
      </c>
      <c r="M206" s="47" t="s">
        <v>270</v>
      </c>
      <c r="N206" s="605" t="s">
        <v>270</v>
      </c>
      <c r="O206" s="98"/>
      <c r="P206" s="46">
        <v>4</v>
      </c>
      <c r="Q206" s="45"/>
      <c r="R206" s="45">
        <v>4</v>
      </c>
      <c r="S206" s="43">
        <v>0</v>
      </c>
      <c r="T206" s="606">
        <v>1</v>
      </c>
      <c r="U206" s="91">
        <v>3</v>
      </c>
      <c r="V206" s="44" t="s">
        <v>271</v>
      </c>
      <c r="W206" s="44">
        <v>7</v>
      </c>
      <c r="X206" s="44">
        <v>10</v>
      </c>
      <c r="Y206" s="44" t="s">
        <v>270</v>
      </c>
      <c r="Z206" s="44" t="s">
        <v>401</v>
      </c>
      <c r="AA206" s="44"/>
      <c r="AB206" s="44"/>
      <c r="AC206" s="43"/>
      <c r="AD206" s="43"/>
      <c r="AE206" s="42"/>
      <c r="AG206" s="41"/>
      <c r="AH206" s="41" t="s">
        <v>876</v>
      </c>
      <c r="AI206" s="41" t="s">
        <v>877</v>
      </c>
      <c r="AJ206" s="41"/>
      <c r="AK206" s="41"/>
      <c r="AL206" s="41"/>
    </row>
    <row r="207" spans="1:38" s="50" customFormat="1" ht="15.95" customHeight="1">
      <c r="A207" s="306" t="s">
        <v>878</v>
      </c>
      <c r="B207" s="50" t="s">
        <v>874</v>
      </c>
      <c r="C207" s="318">
        <v>46166</v>
      </c>
      <c r="D207" s="49" t="s">
        <v>879</v>
      </c>
      <c r="E207" s="44">
        <v>100</v>
      </c>
      <c r="F207" s="50" t="s">
        <v>654</v>
      </c>
      <c r="G207" s="27">
        <v>150</v>
      </c>
      <c r="H207" s="80">
        <v>180</v>
      </c>
      <c r="I207" s="48">
        <v>5</v>
      </c>
      <c r="J207" s="48">
        <v>150</v>
      </c>
      <c r="K207" s="47"/>
      <c r="L207" s="47" t="s">
        <v>270</v>
      </c>
      <c r="M207" s="47" t="s">
        <v>270</v>
      </c>
      <c r="N207" s="605" t="s">
        <v>270</v>
      </c>
      <c r="O207" s="98"/>
      <c r="P207" s="46">
        <v>4</v>
      </c>
      <c r="Q207" s="45"/>
      <c r="R207" s="344">
        <v>2</v>
      </c>
      <c r="S207" s="43">
        <v>0</v>
      </c>
      <c r="T207" s="606">
        <v>1</v>
      </c>
      <c r="U207" s="91">
        <v>3</v>
      </c>
      <c r="V207" s="44" t="s">
        <v>271</v>
      </c>
      <c r="W207" s="44">
        <v>7</v>
      </c>
      <c r="X207" s="44">
        <v>10</v>
      </c>
      <c r="Y207" s="44" t="s">
        <v>270</v>
      </c>
      <c r="Z207" s="44" t="s">
        <v>401</v>
      </c>
      <c r="AA207" s="44"/>
      <c r="AB207" s="44"/>
      <c r="AC207" s="43"/>
      <c r="AD207" s="43"/>
      <c r="AE207" s="42"/>
      <c r="AF207" s="41"/>
      <c r="AG207" s="41"/>
      <c r="AH207" s="41" t="s">
        <v>880</v>
      </c>
      <c r="AI207" s="41" t="s">
        <v>881</v>
      </c>
      <c r="AJ207" s="41"/>
      <c r="AK207" s="41"/>
      <c r="AL207" s="41"/>
    </row>
    <row r="208" spans="1:38" s="50" customFormat="1" ht="15.95" customHeight="1">
      <c r="A208" s="306" t="s">
        <v>882</v>
      </c>
      <c r="B208" s="50" t="s">
        <v>874</v>
      </c>
      <c r="C208" s="316">
        <v>46167</v>
      </c>
      <c r="D208" s="49" t="s">
        <v>883</v>
      </c>
      <c r="E208" s="44">
        <v>100</v>
      </c>
      <c r="F208" s="50" t="s">
        <v>654</v>
      </c>
      <c r="G208" s="27">
        <v>150</v>
      </c>
      <c r="H208" s="80">
        <v>180</v>
      </c>
      <c r="I208" s="48">
        <v>5</v>
      </c>
      <c r="J208" s="48">
        <v>150</v>
      </c>
      <c r="K208" s="47"/>
      <c r="L208" s="47" t="s">
        <v>270</v>
      </c>
      <c r="M208" s="47" t="s">
        <v>270</v>
      </c>
      <c r="N208" s="605" t="s">
        <v>270</v>
      </c>
      <c r="O208" s="98"/>
      <c r="P208" s="46">
        <v>4</v>
      </c>
      <c r="Q208" s="45"/>
      <c r="R208" s="344">
        <v>5</v>
      </c>
      <c r="S208" s="43">
        <v>0</v>
      </c>
      <c r="T208" s="606">
        <v>1</v>
      </c>
      <c r="U208" s="91">
        <v>3</v>
      </c>
      <c r="V208" s="44" t="s">
        <v>271</v>
      </c>
      <c r="W208" s="44">
        <v>7</v>
      </c>
      <c r="X208" s="44">
        <v>10</v>
      </c>
      <c r="Y208" s="44" t="s">
        <v>270</v>
      </c>
      <c r="Z208" s="44" t="s">
        <v>401</v>
      </c>
      <c r="AA208" s="44"/>
      <c r="AB208" s="44"/>
      <c r="AC208" s="43"/>
      <c r="AD208" s="43"/>
      <c r="AE208" s="42"/>
      <c r="AF208" s="41"/>
      <c r="AG208" s="41"/>
      <c r="AH208" s="41" t="s">
        <v>884</v>
      </c>
      <c r="AI208" s="41" t="s">
        <v>670</v>
      </c>
      <c r="AJ208" s="41"/>
      <c r="AK208" s="41"/>
      <c r="AL208" s="41"/>
    </row>
    <row r="209" spans="1:38" s="50" customFormat="1" ht="15.95" customHeight="1">
      <c r="A209" s="306" t="s">
        <v>885</v>
      </c>
      <c r="B209" s="50" t="s">
        <v>874</v>
      </c>
      <c r="C209" s="317">
        <v>46167</v>
      </c>
      <c r="D209" s="49" t="s">
        <v>886</v>
      </c>
      <c r="E209" s="44">
        <v>100</v>
      </c>
      <c r="F209" s="50" t="s">
        <v>654</v>
      </c>
      <c r="G209" s="27">
        <v>150</v>
      </c>
      <c r="H209" s="80">
        <v>180</v>
      </c>
      <c r="I209" s="82">
        <v>10</v>
      </c>
      <c r="J209" s="48">
        <v>150</v>
      </c>
      <c r="K209" s="47"/>
      <c r="L209" s="47" t="s">
        <v>270</v>
      </c>
      <c r="M209" s="47" t="s">
        <v>270</v>
      </c>
      <c r="N209" s="93"/>
      <c r="O209" s="98"/>
      <c r="P209" s="46">
        <v>4</v>
      </c>
      <c r="Q209" s="45"/>
      <c r="R209" s="45">
        <v>5</v>
      </c>
      <c r="S209" s="43">
        <v>0</v>
      </c>
      <c r="T209" s="606">
        <v>1</v>
      </c>
      <c r="U209" s="91">
        <v>3</v>
      </c>
      <c r="V209" s="44" t="s">
        <v>271</v>
      </c>
      <c r="W209" s="44">
        <v>7</v>
      </c>
      <c r="X209" s="44">
        <v>10</v>
      </c>
      <c r="Y209" s="44" t="s">
        <v>270</v>
      </c>
      <c r="Z209" s="44" t="s">
        <v>401</v>
      </c>
      <c r="AA209" s="44"/>
      <c r="AB209" s="44"/>
      <c r="AC209" s="43"/>
      <c r="AD209" s="43"/>
      <c r="AE209" s="42"/>
      <c r="AF209" s="41"/>
      <c r="AG209" s="41"/>
      <c r="AH209" s="41" t="s">
        <v>887</v>
      </c>
      <c r="AI209" s="41" t="s">
        <v>888</v>
      </c>
      <c r="AJ209" s="41"/>
      <c r="AK209" s="41"/>
      <c r="AL209" s="41"/>
    </row>
    <row r="210" spans="1:38" s="50" customFormat="1" ht="15.95" customHeight="1">
      <c r="A210" s="306" t="s">
        <v>889</v>
      </c>
      <c r="B210" s="50" t="s">
        <v>874</v>
      </c>
      <c r="C210" s="318">
        <v>46167</v>
      </c>
      <c r="D210" s="49" t="s">
        <v>890</v>
      </c>
      <c r="E210" s="44">
        <v>100</v>
      </c>
      <c r="F210" s="50" t="s">
        <v>654</v>
      </c>
      <c r="G210" s="27">
        <v>150</v>
      </c>
      <c r="H210" s="80">
        <v>180</v>
      </c>
      <c r="I210" s="48">
        <v>10</v>
      </c>
      <c r="J210" s="48">
        <v>150</v>
      </c>
      <c r="K210" s="47"/>
      <c r="L210" s="47" t="s">
        <v>270</v>
      </c>
      <c r="M210" s="47" t="s">
        <v>270</v>
      </c>
      <c r="N210" s="93"/>
      <c r="O210" s="98"/>
      <c r="P210" s="46">
        <v>4</v>
      </c>
      <c r="Q210" s="45"/>
      <c r="R210" s="45">
        <v>5</v>
      </c>
      <c r="S210" s="43">
        <v>0</v>
      </c>
      <c r="T210" s="606">
        <v>1</v>
      </c>
      <c r="U210" s="91">
        <v>3</v>
      </c>
      <c r="V210" s="44" t="s">
        <v>271</v>
      </c>
      <c r="W210" s="77">
        <v>10</v>
      </c>
      <c r="X210" s="44">
        <v>10</v>
      </c>
      <c r="Y210" s="44" t="s">
        <v>270</v>
      </c>
      <c r="Z210" s="44" t="s">
        <v>401</v>
      </c>
      <c r="AA210" s="44"/>
      <c r="AB210" s="44"/>
      <c r="AC210" s="43"/>
      <c r="AD210" s="43"/>
      <c r="AE210" s="42"/>
      <c r="AF210" s="41"/>
      <c r="AG210" s="41"/>
      <c r="AH210" s="41"/>
      <c r="AI210" s="41"/>
      <c r="AJ210" s="41"/>
      <c r="AK210" s="41"/>
      <c r="AL210" s="41"/>
    </row>
    <row r="211" spans="1:38" s="50" customFormat="1" ht="15.95" customHeight="1">
      <c r="A211" s="295" t="s">
        <v>891</v>
      </c>
      <c r="B211" s="50" t="s">
        <v>874</v>
      </c>
      <c r="C211" s="316">
        <v>46168</v>
      </c>
      <c r="D211" s="49" t="s">
        <v>892</v>
      </c>
      <c r="E211" s="44">
        <v>100</v>
      </c>
      <c r="F211" s="50" t="s">
        <v>654</v>
      </c>
      <c r="G211" s="27">
        <v>150</v>
      </c>
      <c r="H211" s="80">
        <v>180</v>
      </c>
      <c r="I211" s="82">
        <v>5</v>
      </c>
      <c r="J211" s="48">
        <v>150</v>
      </c>
      <c r="K211" s="47"/>
      <c r="L211" s="47" t="s">
        <v>270</v>
      </c>
      <c r="M211" s="47" t="s">
        <v>270</v>
      </c>
      <c r="N211" s="93"/>
      <c r="O211" s="98"/>
      <c r="P211" s="46">
        <v>4</v>
      </c>
      <c r="Q211" s="45"/>
      <c r="R211" s="344">
        <v>4</v>
      </c>
      <c r="S211" s="43">
        <v>0</v>
      </c>
      <c r="T211" s="606">
        <v>1</v>
      </c>
      <c r="U211" s="91">
        <v>3</v>
      </c>
      <c r="V211" s="44" t="s">
        <v>271</v>
      </c>
      <c r="W211" s="44">
        <v>10</v>
      </c>
      <c r="X211" s="44">
        <v>10</v>
      </c>
      <c r="Y211" s="44" t="s">
        <v>270</v>
      </c>
      <c r="Z211" s="44" t="s">
        <v>401</v>
      </c>
      <c r="AA211" s="44"/>
      <c r="AB211" s="44"/>
      <c r="AC211" s="43"/>
      <c r="AD211" s="43"/>
      <c r="AE211" s="42"/>
      <c r="AF211" s="41"/>
      <c r="AG211" s="41"/>
      <c r="AH211" s="41"/>
      <c r="AI211" s="41"/>
      <c r="AJ211" s="41"/>
      <c r="AK211" s="41"/>
      <c r="AL211" s="41"/>
    </row>
    <row r="212" spans="1:38" s="50" customFormat="1" ht="15.95" customHeight="1">
      <c r="A212" s="306" t="s">
        <v>893</v>
      </c>
      <c r="B212" s="50" t="s">
        <v>874</v>
      </c>
      <c r="C212" s="317">
        <v>46168</v>
      </c>
      <c r="D212" s="49" t="s">
        <v>894</v>
      </c>
      <c r="E212" s="44">
        <v>100</v>
      </c>
      <c r="F212" s="50" t="s">
        <v>654</v>
      </c>
      <c r="G212" s="27">
        <v>150</v>
      </c>
      <c r="H212" s="80">
        <v>180</v>
      </c>
      <c r="I212" s="48">
        <v>5</v>
      </c>
      <c r="J212" s="48">
        <v>150</v>
      </c>
      <c r="K212" s="47"/>
      <c r="L212" s="47" t="s">
        <v>270</v>
      </c>
      <c r="M212" s="47" t="s">
        <v>270</v>
      </c>
      <c r="N212" s="93"/>
      <c r="O212" s="98"/>
      <c r="P212" s="46">
        <v>4</v>
      </c>
      <c r="Q212" s="45"/>
      <c r="R212" s="45">
        <v>4</v>
      </c>
      <c r="S212" s="43">
        <v>0</v>
      </c>
      <c r="T212" s="606">
        <v>1</v>
      </c>
      <c r="U212" s="91">
        <v>3</v>
      </c>
      <c r="V212" s="44" t="s">
        <v>271</v>
      </c>
      <c r="W212" s="77">
        <v>7</v>
      </c>
      <c r="X212" s="44">
        <v>10</v>
      </c>
      <c r="Y212" s="44" t="s">
        <v>270</v>
      </c>
      <c r="Z212" s="44" t="s">
        <v>401</v>
      </c>
      <c r="AA212" s="44"/>
      <c r="AB212" s="44"/>
      <c r="AC212" s="43"/>
      <c r="AD212" s="43"/>
      <c r="AE212" s="42"/>
      <c r="AF212" s="41"/>
      <c r="AG212" s="41"/>
      <c r="AH212" s="41"/>
      <c r="AI212" s="41" t="s">
        <v>895</v>
      </c>
      <c r="AJ212" s="41"/>
      <c r="AK212" s="41"/>
      <c r="AL212" s="41"/>
    </row>
    <row r="213" spans="1:38" s="50" customFormat="1" ht="15.95" customHeight="1">
      <c r="A213" s="306" t="s">
        <v>896</v>
      </c>
      <c r="B213" s="50" t="s">
        <v>874</v>
      </c>
      <c r="C213" s="318">
        <v>46168</v>
      </c>
      <c r="D213" s="49" t="s">
        <v>897</v>
      </c>
      <c r="E213" s="77">
        <v>120</v>
      </c>
      <c r="F213" s="50" t="s">
        <v>654</v>
      </c>
      <c r="G213" s="27">
        <v>150</v>
      </c>
      <c r="H213" s="80">
        <v>180</v>
      </c>
      <c r="I213" s="48">
        <v>5</v>
      </c>
      <c r="J213" s="48">
        <v>150</v>
      </c>
      <c r="K213" s="47"/>
      <c r="L213" s="47" t="s">
        <v>270</v>
      </c>
      <c r="M213" s="47" t="s">
        <v>270</v>
      </c>
      <c r="N213" s="93"/>
      <c r="O213" s="98"/>
      <c r="P213" s="453">
        <v>4</v>
      </c>
      <c r="Q213" s="45"/>
      <c r="R213" s="45">
        <v>4</v>
      </c>
      <c r="S213" s="43">
        <v>0</v>
      </c>
      <c r="T213" s="606">
        <v>1</v>
      </c>
      <c r="U213" s="91">
        <v>3</v>
      </c>
      <c r="V213" s="44" t="s">
        <v>271</v>
      </c>
      <c r="W213" s="44">
        <v>7</v>
      </c>
      <c r="X213" s="44">
        <v>10</v>
      </c>
      <c r="Y213" s="44" t="s">
        <v>270</v>
      </c>
      <c r="Z213" s="44" t="s">
        <v>401</v>
      </c>
      <c r="AA213" s="44"/>
      <c r="AB213" s="44"/>
      <c r="AC213" s="43"/>
      <c r="AD213" s="43"/>
      <c r="AE213" s="42"/>
      <c r="AF213" s="41"/>
      <c r="AG213" s="41"/>
      <c r="AH213" s="41" t="s">
        <v>898</v>
      </c>
      <c r="AI213" s="395" t="s">
        <v>899</v>
      </c>
      <c r="AJ213" s="395"/>
      <c r="AK213" s="395"/>
      <c r="AL213" s="41"/>
    </row>
    <row r="214" spans="1:38" s="50" customFormat="1" ht="15.95" customHeight="1">
      <c r="A214" s="50" t="s">
        <v>900</v>
      </c>
      <c r="B214" s="50" t="s">
        <v>896</v>
      </c>
      <c r="C214" s="316">
        <v>46178</v>
      </c>
      <c r="D214" s="49"/>
      <c r="E214" s="44">
        <v>120</v>
      </c>
      <c r="F214" s="50" t="s">
        <v>654</v>
      </c>
      <c r="G214" s="27">
        <v>150</v>
      </c>
      <c r="H214" s="80">
        <v>180</v>
      </c>
      <c r="I214" s="82">
        <v>1</v>
      </c>
      <c r="J214" s="48">
        <v>150</v>
      </c>
      <c r="K214" s="47"/>
      <c r="L214" s="47" t="s">
        <v>270</v>
      </c>
      <c r="M214" s="47" t="s">
        <v>270</v>
      </c>
      <c r="N214" s="93"/>
      <c r="O214" s="98"/>
      <c r="P214" s="453">
        <v>4</v>
      </c>
      <c r="Q214" s="45"/>
      <c r="R214" s="45">
        <v>4</v>
      </c>
      <c r="S214" s="43">
        <v>0</v>
      </c>
      <c r="T214" s="606">
        <v>1</v>
      </c>
      <c r="U214" s="91">
        <v>3</v>
      </c>
      <c r="V214" s="44" t="s">
        <v>271</v>
      </c>
      <c r="W214" s="44">
        <v>7</v>
      </c>
      <c r="X214" s="44">
        <v>10</v>
      </c>
      <c r="Y214" s="44" t="s">
        <v>270</v>
      </c>
      <c r="Z214" s="44" t="s">
        <v>401</v>
      </c>
      <c r="AA214" s="44"/>
      <c r="AB214" s="44"/>
      <c r="AC214" s="43"/>
      <c r="AD214" s="43"/>
      <c r="AE214" s="42"/>
      <c r="AF214" s="41"/>
      <c r="AG214" s="41"/>
      <c r="AH214" s="41"/>
      <c r="AI214" s="41" t="s">
        <v>901</v>
      </c>
      <c r="AJ214" s="41"/>
      <c r="AK214" s="41"/>
      <c r="AL214" s="41"/>
    </row>
    <row r="215" spans="1:38" s="50" customFormat="1" ht="15.95" customHeight="1">
      <c r="A215" s="447" t="s">
        <v>902</v>
      </c>
      <c r="C215" s="317">
        <v>46178</v>
      </c>
      <c r="D215" s="360" t="s">
        <v>903</v>
      </c>
      <c r="E215" s="44">
        <v>120</v>
      </c>
      <c r="F215" s="50" t="s">
        <v>654</v>
      </c>
      <c r="G215" s="27">
        <v>150</v>
      </c>
      <c r="H215" s="80">
        <v>180</v>
      </c>
      <c r="I215" s="358">
        <v>1</v>
      </c>
      <c r="J215" s="48">
        <v>150</v>
      </c>
      <c r="K215" s="47"/>
      <c r="L215" s="47" t="s">
        <v>270</v>
      </c>
      <c r="M215" s="47" t="s">
        <v>270</v>
      </c>
      <c r="N215" s="93"/>
      <c r="O215" s="98"/>
      <c r="P215" s="46">
        <v>4</v>
      </c>
      <c r="Q215" s="45"/>
      <c r="R215" s="344">
        <v>0</v>
      </c>
      <c r="S215" s="43">
        <v>0</v>
      </c>
      <c r="T215" s="606">
        <v>1</v>
      </c>
      <c r="U215" s="91">
        <v>3</v>
      </c>
      <c r="V215" s="44" t="s">
        <v>271</v>
      </c>
      <c r="W215" s="44">
        <v>7</v>
      </c>
      <c r="X215" s="44">
        <v>10</v>
      </c>
      <c r="Y215" s="44" t="s">
        <v>270</v>
      </c>
      <c r="Z215" s="44" t="s">
        <v>401</v>
      </c>
      <c r="AA215" s="44"/>
      <c r="AB215" s="44"/>
      <c r="AC215" s="43"/>
      <c r="AD215" s="43"/>
      <c r="AE215" s="42"/>
      <c r="AF215" s="41"/>
      <c r="AG215" s="41"/>
      <c r="AH215" s="41"/>
      <c r="AI215" s="41"/>
      <c r="AJ215" s="41"/>
      <c r="AK215" s="41"/>
      <c r="AL215" s="41"/>
    </row>
    <row r="216" spans="1:38" s="50" customFormat="1" ht="15.95" customHeight="1">
      <c r="A216" s="401" t="s">
        <v>904</v>
      </c>
      <c r="C216" s="317">
        <v>46178</v>
      </c>
      <c r="D216" s="49" t="s">
        <v>905</v>
      </c>
      <c r="E216" s="44">
        <v>120</v>
      </c>
      <c r="F216" s="50" t="s">
        <v>654</v>
      </c>
      <c r="G216" s="27">
        <v>150</v>
      </c>
      <c r="H216" s="80">
        <v>180</v>
      </c>
      <c r="I216" s="82">
        <v>0</v>
      </c>
      <c r="J216" s="48" t="s">
        <v>270</v>
      </c>
      <c r="K216" s="47"/>
      <c r="L216" s="47" t="s">
        <v>270</v>
      </c>
      <c r="M216" s="47" t="s">
        <v>270</v>
      </c>
      <c r="N216" s="93"/>
      <c r="O216" s="98"/>
      <c r="P216" s="46">
        <v>4</v>
      </c>
      <c r="Q216" s="45"/>
      <c r="R216" s="45">
        <v>4</v>
      </c>
      <c r="S216" s="43">
        <v>0</v>
      </c>
      <c r="T216" s="606">
        <v>1</v>
      </c>
      <c r="U216" s="91">
        <v>3</v>
      </c>
      <c r="V216" s="44" t="s">
        <v>271</v>
      </c>
      <c r="W216" s="44">
        <v>7</v>
      </c>
      <c r="X216" s="44">
        <v>10</v>
      </c>
      <c r="Y216" s="44" t="s">
        <v>270</v>
      </c>
      <c r="Z216" s="44" t="s">
        <v>401</v>
      </c>
      <c r="AA216" s="44"/>
      <c r="AB216" s="44"/>
      <c r="AC216" s="43"/>
      <c r="AD216" s="43"/>
      <c r="AE216" s="42"/>
      <c r="AF216" s="41"/>
      <c r="AG216" s="41"/>
      <c r="AH216" s="41"/>
      <c r="AI216" s="41"/>
      <c r="AJ216" s="41"/>
      <c r="AK216" s="41"/>
      <c r="AL216" s="41"/>
    </row>
    <row r="217" spans="1:38" s="50" customFormat="1" ht="15.95" customHeight="1">
      <c r="A217" s="306" t="s">
        <v>906</v>
      </c>
      <c r="B217" s="50" t="s">
        <v>905</v>
      </c>
      <c r="C217" s="316">
        <v>46182</v>
      </c>
      <c r="D217" s="49" t="s">
        <v>905</v>
      </c>
      <c r="E217" s="44">
        <v>120</v>
      </c>
      <c r="F217" s="50" t="s">
        <v>654</v>
      </c>
      <c r="G217" s="27">
        <v>150</v>
      </c>
      <c r="H217" s="80">
        <v>180</v>
      </c>
      <c r="I217" s="48">
        <v>0</v>
      </c>
      <c r="J217" s="48" t="s">
        <v>270</v>
      </c>
      <c r="K217" s="47"/>
      <c r="L217" s="47" t="s">
        <v>270</v>
      </c>
      <c r="M217" s="47" t="s">
        <v>270</v>
      </c>
      <c r="N217" s="93"/>
      <c r="O217" s="98"/>
      <c r="P217" s="46">
        <v>4</v>
      </c>
      <c r="Q217" s="45"/>
      <c r="R217" s="45">
        <v>4</v>
      </c>
      <c r="S217" s="43">
        <v>0</v>
      </c>
      <c r="T217" s="606">
        <v>1</v>
      </c>
      <c r="U217" s="91">
        <v>3</v>
      </c>
      <c r="V217" s="44" t="s">
        <v>271</v>
      </c>
      <c r="W217" s="44">
        <v>7</v>
      </c>
      <c r="X217" s="44">
        <v>10</v>
      </c>
      <c r="Y217" s="44" t="s">
        <v>270</v>
      </c>
      <c r="Z217" s="44" t="s">
        <v>401</v>
      </c>
      <c r="AA217" s="44"/>
      <c r="AB217" s="44"/>
      <c r="AC217" s="43"/>
      <c r="AD217" s="43"/>
      <c r="AE217" s="42" t="s">
        <v>907</v>
      </c>
      <c r="AF217" s="41" t="s">
        <v>908</v>
      </c>
      <c r="AG217" s="41"/>
      <c r="AH217" s="41"/>
      <c r="AI217" s="41" t="s">
        <v>909</v>
      </c>
      <c r="AJ217" s="41"/>
      <c r="AK217" s="41"/>
      <c r="AL217" s="41"/>
    </row>
    <row r="218" spans="1:38" s="50" customFormat="1" ht="15.95" customHeight="1">
      <c r="A218" s="50" t="s">
        <v>910</v>
      </c>
      <c r="C218" s="317">
        <v>46182</v>
      </c>
      <c r="D218" s="49" t="s">
        <v>911</v>
      </c>
      <c r="E218" s="27">
        <v>200</v>
      </c>
      <c r="F218" s="80">
        <v>890</v>
      </c>
      <c r="G218" s="27">
        <v>50</v>
      </c>
      <c r="H218" s="80">
        <v>50</v>
      </c>
      <c r="I218" s="48" t="s">
        <v>270</v>
      </c>
      <c r="J218" s="73" t="s">
        <v>270</v>
      </c>
      <c r="K218" s="74"/>
      <c r="L218" s="47" t="s">
        <v>270</v>
      </c>
      <c r="M218" s="47" t="s">
        <v>270</v>
      </c>
      <c r="N218" s="170" t="s">
        <v>270</v>
      </c>
      <c r="O218" s="837" t="s">
        <v>383</v>
      </c>
      <c r="P218" s="837"/>
      <c r="Q218" s="837"/>
      <c r="R218" s="837"/>
      <c r="S218" s="837"/>
      <c r="T218" s="837"/>
      <c r="U218" s="837"/>
      <c r="V218" s="837"/>
      <c r="W218" s="837"/>
      <c r="X218" s="44">
        <v>30</v>
      </c>
      <c r="Y218" s="44" t="s">
        <v>270</v>
      </c>
      <c r="Z218" s="44" t="s">
        <v>270</v>
      </c>
      <c r="AA218" s="44"/>
      <c r="AB218" s="44"/>
      <c r="AC218" s="43"/>
      <c r="AD218" s="43"/>
      <c r="AE218" s="42"/>
      <c r="AF218" s="41"/>
      <c r="AG218" s="41"/>
      <c r="AH218" s="41"/>
      <c r="AI218" s="41"/>
      <c r="AJ218" s="41"/>
      <c r="AK218" s="41"/>
      <c r="AL218" s="41"/>
    </row>
    <row r="219" spans="1:38" s="50" customFormat="1" ht="15.95" customHeight="1">
      <c r="A219" s="306" t="s">
        <v>912</v>
      </c>
      <c r="B219" s="50" t="s">
        <v>905</v>
      </c>
      <c r="C219" s="317">
        <v>46182</v>
      </c>
      <c r="D219" s="49" t="s">
        <v>905</v>
      </c>
      <c r="E219" s="44">
        <v>120</v>
      </c>
      <c r="F219" s="50" t="s">
        <v>654</v>
      </c>
      <c r="G219" s="27">
        <v>150</v>
      </c>
      <c r="H219" s="80">
        <v>180</v>
      </c>
      <c r="I219" s="48">
        <v>0</v>
      </c>
      <c r="J219" s="48" t="s">
        <v>270</v>
      </c>
      <c r="K219" s="47"/>
      <c r="L219" s="47" t="s">
        <v>270</v>
      </c>
      <c r="M219" s="47" t="s">
        <v>270</v>
      </c>
      <c r="N219" s="93"/>
      <c r="O219" s="98"/>
      <c r="P219" s="46">
        <v>4</v>
      </c>
      <c r="Q219" s="45"/>
      <c r="R219" s="45">
        <v>4</v>
      </c>
      <c r="S219" s="43">
        <v>0</v>
      </c>
      <c r="T219" s="606">
        <v>1</v>
      </c>
      <c r="U219" s="91">
        <v>3</v>
      </c>
      <c r="V219" s="44" t="s">
        <v>271</v>
      </c>
      <c r="W219" s="44">
        <v>7</v>
      </c>
      <c r="X219" s="44">
        <v>10</v>
      </c>
      <c r="Y219" s="44" t="s">
        <v>270</v>
      </c>
      <c r="Z219" s="44" t="s">
        <v>401</v>
      </c>
      <c r="AA219" s="44"/>
      <c r="AB219" s="44"/>
      <c r="AC219" s="43"/>
      <c r="AD219" s="43"/>
      <c r="AE219" s="42"/>
      <c r="AF219" s="41"/>
      <c r="AG219" s="41"/>
      <c r="AH219" s="41"/>
      <c r="AI219" s="41"/>
      <c r="AJ219" s="41"/>
      <c r="AK219" s="41"/>
      <c r="AL219" s="41"/>
    </row>
    <row r="220" spans="1:38" s="50" customFormat="1" ht="15.95" customHeight="1">
      <c r="A220" s="50" t="s">
        <v>913</v>
      </c>
      <c r="C220" s="317">
        <v>46182</v>
      </c>
      <c r="D220" s="49" t="s">
        <v>911</v>
      </c>
      <c r="E220" s="27">
        <v>200</v>
      </c>
      <c r="F220" s="80">
        <v>890</v>
      </c>
      <c r="G220" s="27">
        <v>50</v>
      </c>
      <c r="H220" s="80">
        <v>50</v>
      </c>
      <c r="I220" s="48" t="s">
        <v>270</v>
      </c>
      <c r="J220" s="73" t="s">
        <v>270</v>
      </c>
      <c r="K220" s="74"/>
      <c r="L220" s="47" t="s">
        <v>270</v>
      </c>
      <c r="M220" s="47" t="s">
        <v>270</v>
      </c>
      <c r="N220" s="170" t="s">
        <v>270</v>
      </c>
      <c r="O220" s="837" t="s">
        <v>914</v>
      </c>
      <c r="P220" s="837"/>
      <c r="Q220" s="837"/>
      <c r="R220" s="837"/>
      <c r="S220" s="837"/>
      <c r="T220" s="837"/>
      <c r="U220" s="837"/>
      <c r="V220" s="837"/>
      <c r="W220" s="837"/>
      <c r="X220" s="44">
        <v>30</v>
      </c>
      <c r="Y220" s="44" t="s">
        <v>270</v>
      </c>
      <c r="Z220" s="44" t="s">
        <v>270</v>
      </c>
      <c r="AA220" s="44"/>
      <c r="AB220" s="44"/>
      <c r="AC220" s="43"/>
      <c r="AD220" s="43"/>
      <c r="AE220" s="42"/>
      <c r="AF220" s="41"/>
      <c r="AG220" s="41"/>
      <c r="AH220" s="41"/>
      <c r="AI220" s="41"/>
      <c r="AJ220" s="41"/>
      <c r="AK220" s="41"/>
      <c r="AL220" s="41"/>
    </row>
    <row r="221" spans="1:38" s="50" customFormat="1" ht="15.95" customHeight="1">
      <c r="A221" s="306" t="s">
        <v>915</v>
      </c>
      <c r="B221" s="50" t="s">
        <v>905</v>
      </c>
      <c r="C221" s="316">
        <v>46183</v>
      </c>
      <c r="D221" s="49" t="s">
        <v>905</v>
      </c>
      <c r="E221" s="44">
        <v>120</v>
      </c>
      <c r="F221" s="50" t="s">
        <v>654</v>
      </c>
      <c r="G221" s="27">
        <v>150</v>
      </c>
      <c r="H221" s="80">
        <v>180</v>
      </c>
      <c r="I221" s="48">
        <v>0</v>
      </c>
      <c r="J221" s="48" t="s">
        <v>270</v>
      </c>
      <c r="K221" s="47"/>
      <c r="L221" s="47" t="s">
        <v>270</v>
      </c>
      <c r="M221" s="47" t="s">
        <v>270</v>
      </c>
      <c r="N221" s="93"/>
      <c r="O221" s="98"/>
      <c r="P221" s="46">
        <v>4</v>
      </c>
      <c r="Q221" s="45"/>
      <c r="R221" s="45">
        <v>4</v>
      </c>
      <c r="S221" s="43">
        <v>0</v>
      </c>
      <c r="T221" s="606">
        <v>1</v>
      </c>
      <c r="U221" s="91">
        <v>3</v>
      </c>
      <c r="V221" s="44" t="s">
        <v>271</v>
      </c>
      <c r="W221" s="44">
        <v>7</v>
      </c>
      <c r="X221" s="44">
        <v>10</v>
      </c>
      <c r="Y221" s="44" t="s">
        <v>270</v>
      </c>
      <c r="Z221" s="44" t="s">
        <v>401</v>
      </c>
      <c r="AA221" s="44"/>
      <c r="AB221" s="44"/>
      <c r="AC221" s="43"/>
      <c r="AD221" s="43"/>
      <c r="AE221" s="42" t="s">
        <v>908</v>
      </c>
      <c r="AF221" s="41"/>
      <c r="AG221" s="41"/>
      <c r="AH221" s="41"/>
      <c r="AI221" s="41"/>
      <c r="AJ221" s="41"/>
      <c r="AK221" s="41"/>
      <c r="AL221" s="41"/>
    </row>
    <row r="222" spans="1:38" s="50" customFormat="1" ht="15.95" customHeight="1">
      <c r="A222" s="306" t="s">
        <v>916</v>
      </c>
      <c r="B222" s="50" t="s">
        <v>905</v>
      </c>
      <c r="C222" s="317">
        <v>46183</v>
      </c>
      <c r="D222" s="49" t="s">
        <v>905</v>
      </c>
      <c r="E222" s="44">
        <v>120</v>
      </c>
      <c r="F222" s="50" t="s">
        <v>654</v>
      </c>
      <c r="G222" s="27">
        <v>150</v>
      </c>
      <c r="H222" s="80">
        <v>180</v>
      </c>
      <c r="I222" s="48">
        <v>0</v>
      </c>
      <c r="J222" s="48" t="s">
        <v>270</v>
      </c>
      <c r="K222" s="47"/>
      <c r="L222" s="47" t="s">
        <v>270</v>
      </c>
      <c r="M222" s="47" t="s">
        <v>270</v>
      </c>
      <c r="N222" s="93"/>
      <c r="O222" s="98"/>
      <c r="P222" s="46">
        <v>4</v>
      </c>
      <c r="Q222" s="45"/>
      <c r="R222" s="344">
        <v>10</v>
      </c>
      <c r="S222" s="43">
        <v>0</v>
      </c>
      <c r="T222" s="606">
        <v>1</v>
      </c>
      <c r="U222" s="91">
        <v>3</v>
      </c>
      <c r="V222" s="44" t="s">
        <v>271</v>
      </c>
      <c r="W222" s="44">
        <v>7</v>
      </c>
      <c r="X222" s="44">
        <v>10</v>
      </c>
      <c r="Y222" s="44" t="s">
        <v>270</v>
      </c>
      <c r="Z222" s="44" t="s">
        <v>401</v>
      </c>
      <c r="AA222" s="44"/>
      <c r="AB222" s="44"/>
      <c r="AC222" s="43"/>
      <c r="AD222" s="43"/>
      <c r="AE222" s="42"/>
      <c r="AF222" s="41"/>
      <c r="AG222" s="41"/>
      <c r="AH222" s="41"/>
      <c r="AI222" s="41"/>
      <c r="AJ222" s="41"/>
      <c r="AK222" s="41"/>
      <c r="AL222" s="41"/>
    </row>
    <row r="223" spans="1:38" s="50" customFormat="1" ht="15.95" customHeight="1">
      <c r="A223" s="455" t="s">
        <v>917</v>
      </c>
      <c r="B223" s="50" t="s">
        <v>905</v>
      </c>
      <c r="C223" s="318">
        <v>46183</v>
      </c>
      <c r="D223" s="49" t="s">
        <v>905</v>
      </c>
      <c r="E223" s="44">
        <v>120</v>
      </c>
      <c r="F223" s="50" t="s">
        <v>654</v>
      </c>
      <c r="G223" s="27">
        <v>150</v>
      </c>
      <c r="H223" s="80">
        <v>180</v>
      </c>
      <c r="I223" s="48">
        <v>0</v>
      </c>
      <c r="J223" s="48" t="s">
        <v>270</v>
      </c>
      <c r="K223" s="47"/>
      <c r="L223" s="47" t="s">
        <v>270</v>
      </c>
      <c r="M223" s="47" t="s">
        <v>270</v>
      </c>
      <c r="N223" s="93"/>
      <c r="O223" s="98"/>
      <c r="P223" s="46">
        <v>4</v>
      </c>
      <c r="Q223" s="45"/>
      <c r="R223" s="45">
        <v>10</v>
      </c>
      <c r="S223" s="43">
        <v>0</v>
      </c>
      <c r="T223" s="606">
        <v>1</v>
      </c>
      <c r="U223" s="91">
        <v>3</v>
      </c>
      <c r="V223" s="44" t="s">
        <v>271</v>
      </c>
      <c r="W223" s="44">
        <v>7</v>
      </c>
      <c r="X223" s="44">
        <v>10</v>
      </c>
      <c r="Y223" s="44" t="s">
        <v>270</v>
      </c>
      <c r="Z223" s="44" t="s">
        <v>401</v>
      </c>
      <c r="AA223" s="44"/>
      <c r="AB223" s="44"/>
      <c r="AC223" s="43"/>
      <c r="AD223" s="43"/>
      <c r="AE223" s="42"/>
      <c r="AF223" s="41" t="s">
        <v>918</v>
      </c>
      <c r="AG223" s="41"/>
      <c r="AH223" s="41"/>
      <c r="AI223" s="41"/>
      <c r="AJ223" s="41"/>
      <c r="AK223" s="41"/>
      <c r="AL223" s="41"/>
    </row>
    <row r="224" spans="1:38" s="50" customFormat="1" ht="15.95" customHeight="1">
      <c r="A224" s="455" t="s">
        <v>919</v>
      </c>
      <c r="B224" s="50" t="s">
        <v>905</v>
      </c>
      <c r="C224" s="316">
        <v>46184</v>
      </c>
      <c r="D224" s="49" t="s">
        <v>920</v>
      </c>
      <c r="E224" s="44">
        <v>120</v>
      </c>
      <c r="F224" s="50" t="s">
        <v>654</v>
      </c>
      <c r="G224" s="27">
        <v>150</v>
      </c>
      <c r="H224" s="80">
        <v>180</v>
      </c>
      <c r="I224" s="48">
        <v>0</v>
      </c>
      <c r="J224" s="48" t="s">
        <v>270</v>
      </c>
      <c r="K224" s="47"/>
      <c r="L224" s="47" t="s">
        <v>270</v>
      </c>
      <c r="M224" s="47" t="s">
        <v>270</v>
      </c>
      <c r="N224" s="93"/>
      <c r="O224" s="98"/>
      <c r="P224" s="46">
        <v>4</v>
      </c>
      <c r="Q224" s="45"/>
      <c r="R224" s="45">
        <v>10</v>
      </c>
      <c r="S224" s="43">
        <v>0</v>
      </c>
      <c r="T224" s="606">
        <v>1</v>
      </c>
      <c r="U224" s="91">
        <v>3</v>
      </c>
      <c r="V224" s="44" t="s">
        <v>271</v>
      </c>
      <c r="W224" s="44">
        <v>7</v>
      </c>
      <c r="X224" s="44">
        <v>10</v>
      </c>
      <c r="Y224" s="44" t="s">
        <v>270</v>
      </c>
      <c r="Z224" s="44" t="s">
        <v>401</v>
      </c>
      <c r="AA224" s="44"/>
      <c r="AB224" s="44"/>
      <c r="AC224" s="43"/>
      <c r="AD224" s="43"/>
      <c r="AE224" s="42" t="s">
        <v>921</v>
      </c>
      <c r="AF224" s="41" t="s">
        <v>922</v>
      </c>
      <c r="AG224" s="41"/>
      <c r="AH224" s="41"/>
      <c r="AI224" s="41"/>
      <c r="AJ224" s="41"/>
      <c r="AK224" s="41"/>
      <c r="AL224" s="41"/>
    </row>
    <row r="225" spans="1:38" s="50" customFormat="1" ht="15.95" customHeight="1">
      <c r="A225" s="455" t="s">
        <v>923</v>
      </c>
      <c r="B225" s="50" t="s">
        <v>270</v>
      </c>
      <c r="C225" s="317">
        <v>46184</v>
      </c>
      <c r="D225" s="49"/>
      <c r="E225" s="44">
        <v>120</v>
      </c>
      <c r="F225" s="50" t="s">
        <v>654</v>
      </c>
      <c r="G225" s="27">
        <v>150</v>
      </c>
      <c r="H225" s="80">
        <v>180</v>
      </c>
      <c r="I225" s="82">
        <v>2</v>
      </c>
      <c r="J225" s="82">
        <v>150</v>
      </c>
      <c r="K225" s="47"/>
      <c r="L225" s="47" t="s">
        <v>270</v>
      </c>
      <c r="M225" s="47" t="s">
        <v>270</v>
      </c>
      <c r="N225" s="93"/>
      <c r="O225" s="98"/>
      <c r="P225" s="46">
        <v>4</v>
      </c>
      <c r="Q225" s="45"/>
      <c r="R225" s="45">
        <v>10</v>
      </c>
      <c r="S225" s="43">
        <v>0</v>
      </c>
      <c r="T225" s="606">
        <v>1</v>
      </c>
      <c r="U225" s="91">
        <v>3</v>
      </c>
      <c r="V225" s="44" t="s">
        <v>271</v>
      </c>
      <c r="W225" s="44">
        <v>7</v>
      </c>
      <c r="X225" s="44">
        <v>10</v>
      </c>
      <c r="Y225" s="44" t="s">
        <v>270</v>
      </c>
      <c r="Z225" s="44" t="s">
        <v>401</v>
      </c>
      <c r="AA225" s="44"/>
      <c r="AB225" s="44"/>
      <c r="AC225" s="43"/>
      <c r="AD225" s="43"/>
      <c r="AE225" s="42" t="s">
        <v>924</v>
      </c>
      <c r="AF225" s="41"/>
      <c r="AG225" s="41"/>
      <c r="AH225" s="41"/>
      <c r="AI225" s="41"/>
      <c r="AJ225" s="41"/>
      <c r="AK225" s="41"/>
      <c r="AL225" s="41"/>
    </row>
    <row r="226" spans="1:38" s="50" customFormat="1" ht="15.95" customHeight="1">
      <c r="A226" s="306" t="s">
        <v>925</v>
      </c>
      <c r="B226" s="50" t="s">
        <v>270</v>
      </c>
      <c r="C226" s="318">
        <v>46184</v>
      </c>
      <c r="D226" s="49"/>
      <c r="E226" s="44">
        <v>120</v>
      </c>
      <c r="F226" s="50" t="s">
        <v>654</v>
      </c>
      <c r="G226" s="27">
        <v>150</v>
      </c>
      <c r="H226" s="80">
        <v>180</v>
      </c>
      <c r="I226" s="82">
        <v>5</v>
      </c>
      <c r="J226" s="48">
        <v>150</v>
      </c>
      <c r="K226" s="47"/>
      <c r="L226" s="47" t="s">
        <v>270</v>
      </c>
      <c r="M226" s="47" t="s">
        <v>270</v>
      </c>
      <c r="N226" s="93"/>
      <c r="O226" s="98"/>
      <c r="P226" s="46">
        <v>4</v>
      </c>
      <c r="Q226" s="45"/>
      <c r="R226" s="45">
        <v>10</v>
      </c>
      <c r="S226" s="43">
        <v>0</v>
      </c>
      <c r="T226" s="606">
        <v>1</v>
      </c>
      <c r="U226" s="91">
        <v>3</v>
      </c>
      <c r="V226" s="44" t="s">
        <v>271</v>
      </c>
      <c r="W226" s="44">
        <v>7</v>
      </c>
      <c r="X226" s="44">
        <v>10</v>
      </c>
      <c r="Y226" s="44" t="s">
        <v>270</v>
      </c>
      <c r="Z226" s="44" t="s">
        <v>401</v>
      </c>
      <c r="AA226" s="44"/>
      <c r="AB226" s="44"/>
      <c r="AC226" s="43"/>
      <c r="AD226" s="43"/>
      <c r="AE226" s="42"/>
      <c r="AF226" s="41" t="s">
        <v>926</v>
      </c>
      <c r="AG226" s="41"/>
      <c r="AH226" s="41"/>
      <c r="AI226" s="41" t="s">
        <v>927</v>
      </c>
      <c r="AJ226" s="41"/>
      <c r="AK226" s="41"/>
      <c r="AL226" s="41"/>
    </row>
    <row r="227" spans="1:38" s="50" customFormat="1" ht="15.95" customHeight="1">
      <c r="A227" s="306" t="s">
        <v>928</v>
      </c>
      <c r="B227" s="50" t="s">
        <v>905</v>
      </c>
      <c r="C227" s="317">
        <v>46185</v>
      </c>
      <c r="D227" s="49"/>
      <c r="E227" s="44">
        <v>120</v>
      </c>
      <c r="F227" s="50" t="s">
        <v>654</v>
      </c>
      <c r="G227" s="27">
        <v>150</v>
      </c>
      <c r="H227" s="80">
        <v>180</v>
      </c>
      <c r="I227" s="48">
        <v>0</v>
      </c>
      <c r="J227" s="48" t="s">
        <v>270</v>
      </c>
      <c r="K227" s="47"/>
      <c r="L227" s="47" t="s">
        <v>270</v>
      </c>
      <c r="M227" s="47" t="s">
        <v>270</v>
      </c>
      <c r="N227" s="93"/>
      <c r="O227" s="98"/>
      <c r="P227" s="46">
        <v>4</v>
      </c>
      <c r="Q227" s="45"/>
      <c r="R227" s="45">
        <v>10</v>
      </c>
      <c r="S227" s="43">
        <v>0</v>
      </c>
      <c r="T227" s="606">
        <v>1</v>
      </c>
      <c r="U227" s="91">
        <v>3</v>
      </c>
      <c r="V227" s="44" t="s">
        <v>271</v>
      </c>
      <c r="W227" s="44">
        <v>7</v>
      </c>
      <c r="X227" s="44">
        <v>10</v>
      </c>
      <c r="Y227" s="44" t="s">
        <v>270</v>
      </c>
      <c r="Z227" s="44" t="s">
        <v>401</v>
      </c>
      <c r="AA227" s="44"/>
      <c r="AB227" s="44"/>
      <c r="AC227" s="43"/>
      <c r="AD227" s="43"/>
      <c r="AE227" s="42"/>
      <c r="AF227" s="41" t="s">
        <v>908</v>
      </c>
      <c r="AG227" s="41"/>
      <c r="AH227" s="41"/>
      <c r="AI227" s="41"/>
      <c r="AJ227" s="41"/>
      <c r="AK227" s="41"/>
      <c r="AL227" s="41"/>
    </row>
    <row r="228" spans="1:38" s="50" customFormat="1" ht="15.95" customHeight="1">
      <c r="A228" s="359" t="s">
        <v>929</v>
      </c>
      <c r="B228" s="50" t="s">
        <v>905</v>
      </c>
      <c r="C228" s="317">
        <v>46185</v>
      </c>
      <c r="D228" s="49" t="s">
        <v>930</v>
      </c>
      <c r="E228" s="44">
        <v>120</v>
      </c>
      <c r="F228" s="50" t="s">
        <v>654</v>
      </c>
      <c r="G228" s="27">
        <v>150</v>
      </c>
      <c r="H228" s="80">
        <v>180</v>
      </c>
      <c r="I228" s="48">
        <v>0</v>
      </c>
      <c r="J228" s="48" t="s">
        <v>270</v>
      </c>
      <c r="K228" s="47"/>
      <c r="L228" s="47" t="s">
        <v>270</v>
      </c>
      <c r="M228" s="47" t="s">
        <v>270</v>
      </c>
      <c r="N228" s="93"/>
      <c r="O228" s="98"/>
      <c r="P228" s="46">
        <v>4</v>
      </c>
      <c r="Q228" s="45"/>
      <c r="R228" s="45">
        <v>10</v>
      </c>
      <c r="S228" s="43">
        <v>0</v>
      </c>
      <c r="T228" s="606">
        <v>1</v>
      </c>
      <c r="U228" s="91">
        <v>3</v>
      </c>
      <c r="V228" s="44" t="s">
        <v>271</v>
      </c>
      <c r="W228" s="44">
        <v>7</v>
      </c>
      <c r="X228" s="44">
        <v>10</v>
      </c>
      <c r="Y228" s="44" t="s">
        <v>270</v>
      </c>
      <c r="Z228" s="44" t="s">
        <v>401</v>
      </c>
      <c r="AA228" s="44"/>
      <c r="AB228" s="44"/>
      <c r="AC228" s="43"/>
      <c r="AD228" s="43"/>
      <c r="AF228" s="41" t="s">
        <v>931</v>
      </c>
      <c r="AG228" s="41"/>
      <c r="AH228" s="41"/>
      <c r="AI228" s="41"/>
      <c r="AJ228" s="41"/>
      <c r="AK228" s="41"/>
      <c r="AL228" s="41"/>
    </row>
    <row r="229" spans="1:38" s="50" customFormat="1" ht="15.95" customHeight="1">
      <c r="A229" s="306" t="s">
        <v>932</v>
      </c>
      <c r="C229" s="317">
        <v>46185</v>
      </c>
      <c r="D229" s="49"/>
      <c r="E229" s="44">
        <v>120</v>
      </c>
      <c r="F229" s="50" t="s">
        <v>654</v>
      </c>
      <c r="G229" s="27">
        <v>150</v>
      </c>
      <c r="H229" s="80">
        <v>180</v>
      </c>
      <c r="I229" s="82">
        <v>5</v>
      </c>
      <c r="J229" s="48">
        <v>150</v>
      </c>
      <c r="K229" s="47"/>
      <c r="L229" s="47" t="s">
        <v>270</v>
      </c>
      <c r="M229" s="47" t="s">
        <v>270</v>
      </c>
      <c r="N229" s="93"/>
      <c r="O229" s="98"/>
      <c r="P229" s="46">
        <v>4</v>
      </c>
      <c r="Q229" s="45"/>
      <c r="R229" s="344">
        <v>4</v>
      </c>
      <c r="S229" s="43">
        <v>0</v>
      </c>
      <c r="T229" s="606">
        <v>1</v>
      </c>
      <c r="U229" s="91">
        <v>3</v>
      </c>
      <c r="V229" s="44" t="s">
        <v>271</v>
      </c>
      <c r="W229" s="44">
        <v>7</v>
      </c>
      <c r="X229" s="44">
        <v>10</v>
      </c>
      <c r="Y229" s="44" t="s">
        <v>270</v>
      </c>
      <c r="Z229" s="44" t="s">
        <v>401</v>
      </c>
      <c r="AA229" s="44"/>
      <c r="AB229" s="44"/>
      <c r="AC229" s="43"/>
      <c r="AD229" s="43"/>
      <c r="AE229" s="42"/>
      <c r="AF229" s="41" t="s">
        <v>926</v>
      </c>
      <c r="AG229" s="41"/>
      <c r="AH229" s="41"/>
      <c r="AI229" s="41"/>
      <c r="AJ229" s="41"/>
      <c r="AK229" s="41"/>
      <c r="AL229" s="41"/>
    </row>
    <row r="230" spans="1:38" s="50" customFormat="1" ht="15.95" customHeight="1">
      <c r="A230" s="457" t="s">
        <v>933</v>
      </c>
      <c r="C230" s="317">
        <v>46185</v>
      </c>
      <c r="D230" s="49"/>
      <c r="E230" s="44">
        <v>120</v>
      </c>
      <c r="F230" s="77">
        <v>750</v>
      </c>
      <c r="G230" s="27">
        <v>150</v>
      </c>
      <c r="H230" s="80">
        <v>180</v>
      </c>
      <c r="I230" s="48">
        <v>5</v>
      </c>
      <c r="J230" s="48">
        <v>150</v>
      </c>
      <c r="K230" s="47"/>
      <c r="L230" s="47" t="s">
        <v>270</v>
      </c>
      <c r="M230" s="47" t="s">
        <v>270</v>
      </c>
      <c r="N230" s="93"/>
      <c r="O230" s="98"/>
      <c r="P230" s="46">
        <v>4</v>
      </c>
      <c r="Q230" s="45"/>
      <c r="R230" s="45">
        <v>4</v>
      </c>
      <c r="S230" s="43">
        <v>0</v>
      </c>
      <c r="T230" s="606">
        <v>1</v>
      </c>
      <c r="U230" s="91">
        <v>3</v>
      </c>
      <c r="V230" s="44" t="s">
        <v>271</v>
      </c>
      <c r="W230" s="44">
        <v>7</v>
      </c>
      <c r="X230" s="44">
        <v>10</v>
      </c>
      <c r="Y230" s="44" t="s">
        <v>270</v>
      </c>
      <c r="Z230" s="44" t="s">
        <v>401</v>
      </c>
      <c r="AA230" s="44"/>
      <c r="AB230" s="44"/>
      <c r="AC230" s="43"/>
      <c r="AD230" s="43"/>
      <c r="AE230" s="42"/>
      <c r="AF230" s="41"/>
      <c r="AG230" s="41"/>
      <c r="AH230" s="41"/>
      <c r="AI230" s="41"/>
      <c r="AJ230" s="41"/>
      <c r="AK230" s="41"/>
      <c r="AL230" s="41"/>
    </row>
    <row r="231" spans="1:38" s="50" customFormat="1" ht="15.95" customHeight="1">
      <c r="A231" s="50" t="s">
        <v>934</v>
      </c>
      <c r="C231" s="316">
        <v>46188</v>
      </c>
      <c r="D231" s="49" t="s">
        <v>911</v>
      </c>
      <c r="E231" s="44">
        <v>80</v>
      </c>
      <c r="F231" s="44">
        <v>200</v>
      </c>
      <c r="G231" s="27">
        <v>150</v>
      </c>
      <c r="H231" s="80">
        <v>180</v>
      </c>
      <c r="I231" s="833" t="s">
        <v>935</v>
      </c>
      <c r="J231" s="834"/>
      <c r="K231" s="834"/>
      <c r="L231" s="834"/>
      <c r="M231" s="834"/>
      <c r="N231" s="834"/>
      <c r="O231" s="834"/>
      <c r="P231" s="834"/>
      <c r="Q231" s="834"/>
      <c r="R231" s="834"/>
      <c r="S231" s="834"/>
      <c r="T231" s="834"/>
      <c r="U231" s="834"/>
      <c r="V231" s="834"/>
      <c r="W231" s="834"/>
      <c r="X231" s="835"/>
      <c r="Y231" s="44"/>
      <c r="Z231" s="44"/>
      <c r="AA231" s="44"/>
      <c r="AB231" s="44"/>
      <c r="AC231" s="43"/>
      <c r="AD231" s="43"/>
      <c r="AE231" s="42"/>
      <c r="AG231" s="41"/>
      <c r="AH231" s="41"/>
      <c r="AI231" s="41"/>
      <c r="AJ231" s="41"/>
      <c r="AK231" s="41"/>
      <c r="AL231" s="41"/>
    </row>
    <row r="232" spans="1:38" s="50" customFormat="1" ht="15.95" customHeight="1">
      <c r="A232" s="401" t="s">
        <v>936</v>
      </c>
      <c r="B232" s="50" t="s">
        <v>905</v>
      </c>
      <c r="C232" s="317">
        <v>46188</v>
      </c>
      <c r="D232" s="49"/>
      <c r="E232" s="44">
        <v>120</v>
      </c>
      <c r="F232" s="50" t="s">
        <v>654</v>
      </c>
      <c r="G232" s="27">
        <v>150</v>
      </c>
      <c r="H232" s="80">
        <v>180</v>
      </c>
      <c r="I232" s="48">
        <v>0</v>
      </c>
      <c r="J232" s="48" t="s">
        <v>270</v>
      </c>
      <c r="K232" s="47"/>
      <c r="L232" s="47" t="s">
        <v>270</v>
      </c>
      <c r="M232" s="47" t="s">
        <v>270</v>
      </c>
      <c r="N232" s="93"/>
      <c r="O232" s="98"/>
      <c r="P232" s="46">
        <v>4</v>
      </c>
      <c r="Q232" s="45"/>
      <c r="R232" s="45">
        <v>4</v>
      </c>
      <c r="S232" s="43">
        <v>0</v>
      </c>
      <c r="T232" s="606">
        <v>1</v>
      </c>
      <c r="U232" s="91">
        <v>3</v>
      </c>
      <c r="V232" s="44" t="s">
        <v>271</v>
      </c>
      <c r="W232" s="44">
        <v>7</v>
      </c>
      <c r="X232" s="44">
        <v>10</v>
      </c>
      <c r="Y232" s="44" t="s">
        <v>270</v>
      </c>
      <c r="Z232" s="44" t="s">
        <v>401</v>
      </c>
      <c r="AA232" s="44"/>
      <c r="AB232" s="44"/>
      <c r="AC232" s="43"/>
      <c r="AD232" s="43"/>
      <c r="AE232" s="42"/>
      <c r="AF232" s="41" t="s">
        <v>937</v>
      </c>
      <c r="AG232" s="41"/>
      <c r="AH232" s="41"/>
      <c r="AI232" s="41"/>
      <c r="AJ232" s="41"/>
      <c r="AK232" s="41"/>
      <c r="AL232" s="41"/>
    </row>
    <row r="233" spans="1:38" s="50" customFormat="1" ht="15.95" customHeight="1">
      <c r="A233" s="50" t="s">
        <v>938</v>
      </c>
      <c r="C233" s="317">
        <v>46188</v>
      </c>
      <c r="D233" s="49" t="s">
        <v>911</v>
      </c>
      <c r="E233" s="44">
        <v>80</v>
      </c>
      <c r="F233" s="44">
        <v>300</v>
      </c>
      <c r="G233" s="27">
        <v>150</v>
      </c>
      <c r="H233" s="80">
        <v>180</v>
      </c>
      <c r="I233" s="833" t="s">
        <v>935</v>
      </c>
      <c r="J233" s="834"/>
      <c r="K233" s="834"/>
      <c r="L233" s="834"/>
      <c r="M233" s="834"/>
      <c r="N233" s="834"/>
      <c r="O233" s="834"/>
      <c r="P233" s="834"/>
      <c r="Q233" s="834"/>
      <c r="R233" s="834"/>
      <c r="S233" s="834"/>
      <c r="T233" s="834"/>
      <c r="U233" s="834"/>
      <c r="V233" s="834"/>
      <c r="W233" s="834"/>
      <c r="X233" s="835"/>
      <c r="Y233" s="44"/>
      <c r="Z233" s="44"/>
      <c r="AA233" s="44"/>
      <c r="AB233" s="44"/>
      <c r="AC233" s="43"/>
      <c r="AD233" s="43"/>
      <c r="AE233" s="42" t="s">
        <v>924</v>
      </c>
      <c r="AF233" s="41"/>
      <c r="AG233" s="41"/>
      <c r="AH233" s="41"/>
      <c r="AI233" s="41"/>
      <c r="AJ233" s="41"/>
      <c r="AK233" s="41"/>
      <c r="AL233" s="41"/>
    </row>
    <row r="234" spans="1:38" s="50" customFormat="1" ht="15.95" customHeight="1">
      <c r="A234" s="295" t="s">
        <v>939</v>
      </c>
      <c r="B234" s="50" t="s">
        <v>905</v>
      </c>
      <c r="C234" s="318">
        <v>46188</v>
      </c>
      <c r="D234" s="49" t="s">
        <v>940</v>
      </c>
      <c r="E234" s="44">
        <v>120</v>
      </c>
      <c r="F234" s="50" t="s">
        <v>654</v>
      </c>
      <c r="G234" s="27">
        <v>150</v>
      </c>
      <c r="H234" s="80">
        <v>180</v>
      </c>
      <c r="I234" s="48">
        <v>0</v>
      </c>
      <c r="J234" s="48" t="s">
        <v>270</v>
      </c>
      <c r="K234" s="47"/>
      <c r="L234" s="47" t="s">
        <v>270</v>
      </c>
      <c r="M234" s="47" t="s">
        <v>270</v>
      </c>
      <c r="N234" s="93"/>
      <c r="O234" s="98"/>
      <c r="P234" s="46">
        <v>4</v>
      </c>
      <c r="Q234" s="45"/>
      <c r="R234" s="45">
        <v>4</v>
      </c>
      <c r="S234" s="43">
        <v>0</v>
      </c>
      <c r="T234" s="606">
        <v>1</v>
      </c>
      <c r="U234" s="91">
        <v>3</v>
      </c>
      <c r="V234" s="44" t="s">
        <v>271</v>
      </c>
      <c r="W234" s="44">
        <v>7</v>
      </c>
      <c r="X234" s="44">
        <v>10</v>
      </c>
      <c r="Y234" s="44" t="s">
        <v>270</v>
      </c>
      <c r="Z234" s="44" t="s">
        <v>401</v>
      </c>
      <c r="AA234" s="44"/>
      <c r="AB234" s="44"/>
      <c r="AC234" s="43"/>
      <c r="AD234" s="43"/>
      <c r="AE234" s="42" t="s">
        <v>941</v>
      </c>
      <c r="AF234" s="41"/>
      <c r="AG234" s="41"/>
      <c r="AH234" s="41"/>
      <c r="AI234" s="41"/>
      <c r="AJ234" s="41"/>
      <c r="AK234" s="41"/>
      <c r="AL234" s="41"/>
    </row>
    <row r="235" spans="1:38" s="50" customFormat="1" ht="15.95" customHeight="1">
      <c r="A235" s="359" t="s">
        <v>942</v>
      </c>
      <c r="B235" s="50" t="s">
        <v>905</v>
      </c>
      <c r="C235" s="316">
        <v>46189</v>
      </c>
      <c r="D235" s="49"/>
      <c r="E235" s="44">
        <v>120</v>
      </c>
      <c r="F235" s="50" t="s">
        <v>654</v>
      </c>
      <c r="G235" s="27">
        <v>150</v>
      </c>
      <c r="H235" s="80">
        <v>180</v>
      </c>
      <c r="I235" s="48">
        <v>0</v>
      </c>
      <c r="J235" s="48" t="s">
        <v>270</v>
      </c>
      <c r="K235" s="47"/>
      <c r="L235" s="47" t="s">
        <v>270</v>
      </c>
      <c r="M235" s="47" t="s">
        <v>270</v>
      </c>
      <c r="N235" s="93"/>
      <c r="O235" s="98"/>
      <c r="P235" s="46">
        <v>4</v>
      </c>
      <c r="Q235" s="45"/>
      <c r="R235" s="45">
        <v>4</v>
      </c>
      <c r="S235" s="43">
        <v>0</v>
      </c>
      <c r="T235" s="95">
        <v>0.4</v>
      </c>
      <c r="U235" s="91">
        <v>3</v>
      </c>
      <c r="V235" s="44" t="s">
        <v>271</v>
      </c>
      <c r="W235" s="44">
        <v>7</v>
      </c>
      <c r="X235" s="44">
        <v>10</v>
      </c>
      <c r="Y235" s="44" t="s">
        <v>270</v>
      </c>
      <c r="Z235" s="44" t="s">
        <v>401</v>
      </c>
      <c r="AA235" s="44"/>
      <c r="AB235" s="44"/>
      <c r="AC235" s="43"/>
      <c r="AD235" s="43"/>
      <c r="AE235" s="42"/>
      <c r="AF235" s="41" t="s">
        <v>298</v>
      </c>
      <c r="AG235" s="41"/>
      <c r="AH235" s="41"/>
      <c r="AI235" s="41"/>
      <c r="AJ235" s="41"/>
      <c r="AK235" s="41"/>
      <c r="AL235" s="41"/>
    </row>
    <row r="236" spans="1:38" s="50" customFormat="1" ht="15.95" customHeight="1">
      <c r="A236" s="359" t="s">
        <v>943</v>
      </c>
      <c r="C236" s="317">
        <v>46189</v>
      </c>
      <c r="D236" s="49" t="s">
        <v>944</v>
      </c>
      <c r="E236" s="44">
        <v>120</v>
      </c>
      <c r="F236" s="50" t="s">
        <v>654</v>
      </c>
      <c r="G236" s="27">
        <v>150</v>
      </c>
      <c r="H236" s="80">
        <v>180</v>
      </c>
      <c r="I236" s="82">
        <v>2</v>
      </c>
      <c r="J236" s="48">
        <v>150</v>
      </c>
      <c r="K236" s="47"/>
      <c r="L236" s="47" t="s">
        <v>270</v>
      </c>
      <c r="M236" s="47" t="s">
        <v>270</v>
      </c>
      <c r="N236" s="93"/>
      <c r="O236" s="98"/>
      <c r="P236" s="46">
        <v>4</v>
      </c>
      <c r="Q236" s="45"/>
      <c r="R236" s="344" t="s">
        <v>945</v>
      </c>
      <c r="S236" s="43">
        <v>0</v>
      </c>
      <c r="T236" s="606">
        <v>0.4</v>
      </c>
      <c r="U236" s="91">
        <v>3</v>
      </c>
      <c r="V236" s="44" t="s">
        <v>271</v>
      </c>
      <c r="W236" s="44">
        <v>7</v>
      </c>
      <c r="X236" s="44">
        <v>10</v>
      </c>
      <c r="Y236" s="44" t="s">
        <v>270</v>
      </c>
      <c r="Z236" s="44" t="s">
        <v>401</v>
      </c>
      <c r="AA236" s="44"/>
      <c r="AB236" s="44"/>
      <c r="AC236" s="43"/>
      <c r="AD236" s="43"/>
      <c r="AE236" s="42"/>
      <c r="AF236" s="41" t="s">
        <v>487</v>
      </c>
      <c r="AG236" s="41"/>
      <c r="AH236" s="41"/>
      <c r="AI236" s="41"/>
      <c r="AJ236" s="41"/>
      <c r="AK236" s="41"/>
      <c r="AL236" s="41"/>
    </row>
    <row r="237" spans="1:38" s="50" customFormat="1" ht="15.95" customHeight="1">
      <c r="A237" s="306" t="s">
        <v>946</v>
      </c>
      <c r="C237" s="317">
        <v>46189</v>
      </c>
      <c r="D237" s="49" t="s">
        <v>947</v>
      </c>
      <c r="E237" s="44">
        <v>120</v>
      </c>
      <c r="F237" s="50" t="s">
        <v>654</v>
      </c>
      <c r="G237" s="27">
        <v>150</v>
      </c>
      <c r="H237" s="80">
        <v>180</v>
      </c>
      <c r="I237" s="48">
        <v>2</v>
      </c>
      <c r="J237" s="48">
        <v>150</v>
      </c>
      <c r="K237" s="47"/>
      <c r="L237" s="47" t="s">
        <v>270</v>
      </c>
      <c r="M237" s="47" t="s">
        <v>270</v>
      </c>
      <c r="N237" s="93"/>
      <c r="O237" s="98"/>
      <c r="P237" s="46">
        <v>4</v>
      </c>
      <c r="Q237" s="45"/>
      <c r="R237" s="344" t="s">
        <v>948</v>
      </c>
      <c r="S237" s="43">
        <v>0</v>
      </c>
      <c r="T237" s="606">
        <v>0.4</v>
      </c>
      <c r="U237" s="91">
        <v>3</v>
      </c>
      <c r="V237" s="44" t="s">
        <v>271</v>
      </c>
      <c r="W237" s="44">
        <v>7</v>
      </c>
      <c r="X237" s="44">
        <v>10</v>
      </c>
      <c r="Y237" s="44" t="s">
        <v>270</v>
      </c>
      <c r="Z237" s="44" t="s">
        <v>401</v>
      </c>
      <c r="AA237" s="44"/>
      <c r="AB237" s="44"/>
      <c r="AC237" s="43"/>
      <c r="AD237" s="43"/>
      <c r="AE237" s="42"/>
      <c r="AF237" s="41" t="s">
        <v>949</v>
      </c>
      <c r="AG237" s="41"/>
      <c r="AH237" s="41" t="s">
        <v>926</v>
      </c>
      <c r="AI237" s="41" t="s">
        <v>689</v>
      </c>
      <c r="AJ237" s="41"/>
      <c r="AK237" s="41"/>
      <c r="AL237" s="41"/>
    </row>
    <row r="238" spans="1:38" s="50" customFormat="1" ht="15.95" customHeight="1">
      <c r="A238" s="306" t="s">
        <v>950</v>
      </c>
      <c r="B238" s="50" t="s">
        <v>905</v>
      </c>
      <c r="C238" s="318">
        <v>46189</v>
      </c>
      <c r="D238" s="49"/>
      <c r="E238" s="44">
        <v>120</v>
      </c>
      <c r="F238" s="50" t="s">
        <v>654</v>
      </c>
      <c r="G238" s="27">
        <v>150</v>
      </c>
      <c r="H238" s="80">
        <v>180</v>
      </c>
      <c r="I238" s="82">
        <v>0</v>
      </c>
      <c r="J238" s="48" t="s">
        <v>270</v>
      </c>
      <c r="K238" s="47"/>
      <c r="L238" s="47" t="s">
        <v>270</v>
      </c>
      <c r="M238" s="47" t="s">
        <v>270</v>
      </c>
      <c r="N238" s="93"/>
      <c r="O238" s="98"/>
      <c r="P238" s="46">
        <v>4</v>
      </c>
      <c r="Q238" s="45"/>
      <c r="R238" s="45" t="s">
        <v>948</v>
      </c>
      <c r="S238" s="43">
        <v>0</v>
      </c>
      <c r="T238" s="606">
        <v>0.4</v>
      </c>
      <c r="U238" s="91">
        <v>3</v>
      </c>
      <c r="V238" s="44" t="s">
        <v>271</v>
      </c>
      <c r="W238" s="44">
        <v>7</v>
      </c>
      <c r="X238" s="44">
        <v>10</v>
      </c>
      <c r="Y238" s="44" t="s">
        <v>270</v>
      </c>
      <c r="Z238" s="44" t="s">
        <v>401</v>
      </c>
      <c r="AA238" s="44"/>
      <c r="AB238" s="44"/>
      <c r="AC238" s="43"/>
      <c r="AD238" s="43"/>
      <c r="AE238" s="42"/>
      <c r="AF238" s="41" t="s">
        <v>951</v>
      </c>
      <c r="AG238" s="41"/>
      <c r="AH238" s="41" t="s">
        <v>952</v>
      </c>
      <c r="AI238" s="41" t="s">
        <v>953</v>
      </c>
      <c r="AJ238" s="41"/>
      <c r="AK238" s="41"/>
      <c r="AL238" s="41"/>
    </row>
    <row r="239" spans="1:38" s="50" customFormat="1" ht="15.95" customHeight="1">
      <c r="A239" s="455" t="s">
        <v>954</v>
      </c>
      <c r="C239" s="316">
        <v>46190</v>
      </c>
      <c r="D239" s="49" t="s">
        <v>955</v>
      </c>
      <c r="E239" s="44">
        <v>120</v>
      </c>
      <c r="F239" s="50" t="s">
        <v>654</v>
      </c>
      <c r="G239" s="27">
        <v>150</v>
      </c>
      <c r="H239" s="80">
        <v>180</v>
      </c>
      <c r="I239" s="82">
        <v>1</v>
      </c>
      <c r="J239" s="82">
        <v>300</v>
      </c>
      <c r="K239" s="47"/>
      <c r="L239" s="47" t="s">
        <v>270</v>
      </c>
      <c r="M239" s="47" t="s">
        <v>270</v>
      </c>
      <c r="N239" s="93"/>
      <c r="O239" s="98"/>
      <c r="P239" s="46">
        <v>4</v>
      </c>
      <c r="Q239" s="45"/>
      <c r="R239" s="45" t="s">
        <v>948</v>
      </c>
      <c r="S239" s="43">
        <v>0</v>
      </c>
      <c r="T239" s="606">
        <v>0.4</v>
      </c>
      <c r="U239" s="91">
        <v>3</v>
      </c>
      <c r="V239" s="44" t="s">
        <v>271</v>
      </c>
      <c r="W239" s="44">
        <v>7</v>
      </c>
      <c r="X239" s="44">
        <v>10</v>
      </c>
      <c r="Y239" s="44" t="s">
        <v>270</v>
      </c>
      <c r="Z239" s="44" t="s">
        <v>401</v>
      </c>
      <c r="AA239" s="44"/>
      <c r="AB239" s="44"/>
      <c r="AC239" s="43"/>
      <c r="AD239" s="43"/>
      <c r="AE239" s="42" t="s">
        <v>956</v>
      </c>
      <c r="AF239" s="41" t="s">
        <v>957</v>
      </c>
      <c r="AG239" s="41"/>
      <c r="AH239" s="41"/>
      <c r="AI239" s="41"/>
      <c r="AJ239" s="41"/>
      <c r="AK239" s="41"/>
      <c r="AL239" s="41"/>
    </row>
    <row r="240" spans="1:38" s="50" customFormat="1" ht="15.95" customHeight="1">
      <c r="A240" s="295" t="s">
        <v>958</v>
      </c>
      <c r="C240" s="317">
        <v>46190</v>
      </c>
      <c r="D240" s="49" t="s">
        <v>959</v>
      </c>
      <c r="E240" s="44">
        <v>120</v>
      </c>
      <c r="F240" s="50" t="s">
        <v>654</v>
      </c>
      <c r="G240" s="27">
        <v>150</v>
      </c>
      <c r="H240" s="80">
        <v>180</v>
      </c>
      <c r="I240" s="82">
        <v>2</v>
      </c>
      <c r="J240" s="48">
        <v>300</v>
      </c>
      <c r="K240" s="47"/>
      <c r="L240" s="47" t="s">
        <v>270</v>
      </c>
      <c r="M240" s="47" t="s">
        <v>270</v>
      </c>
      <c r="N240" s="93"/>
      <c r="O240" s="98"/>
      <c r="P240" s="46">
        <v>4</v>
      </c>
      <c r="Q240" s="45"/>
      <c r="R240" s="45" t="s">
        <v>948</v>
      </c>
      <c r="S240" s="43">
        <v>0</v>
      </c>
      <c r="T240" s="606">
        <v>0.4</v>
      </c>
      <c r="U240" s="91">
        <v>3</v>
      </c>
      <c r="V240" s="44" t="s">
        <v>271</v>
      </c>
      <c r="W240" s="44">
        <v>7</v>
      </c>
      <c r="X240" s="44">
        <v>10</v>
      </c>
      <c r="Y240" s="44" t="s">
        <v>270</v>
      </c>
      <c r="Z240" s="44" t="s">
        <v>401</v>
      </c>
      <c r="AA240" s="44"/>
      <c r="AB240" s="44"/>
      <c r="AC240" s="43"/>
      <c r="AD240" s="43"/>
      <c r="AE240" s="42"/>
      <c r="AF240" s="41"/>
      <c r="AG240" s="41"/>
      <c r="AH240" s="41"/>
      <c r="AI240" s="41"/>
      <c r="AJ240" s="41"/>
      <c r="AK240" s="41"/>
      <c r="AL240" s="41"/>
    </row>
    <row r="241" spans="1:38" s="50" customFormat="1" ht="15.95" customHeight="1">
      <c r="A241" s="306" t="s">
        <v>960</v>
      </c>
      <c r="C241" s="317">
        <v>46190</v>
      </c>
      <c r="D241" s="49" t="s">
        <v>959</v>
      </c>
      <c r="E241" s="44">
        <v>120</v>
      </c>
      <c r="F241" s="50" t="s">
        <v>654</v>
      </c>
      <c r="G241" s="27">
        <v>150</v>
      </c>
      <c r="H241" s="80">
        <v>180</v>
      </c>
      <c r="I241" s="82">
        <v>3</v>
      </c>
      <c r="J241" s="48">
        <v>300</v>
      </c>
      <c r="K241" s="47"/>
      <c r="L241" s="47" t="s">
        <v>270</v>
      </c>
      <c r="M241" s="47" t="s">
        <v>270</v>
      </c>
      <c r="N241" s="93"/>
      <c r="O241" s="98"/>
      <c r="P241" s="46">
        <v>4</v>
      </c>
      <c r="Q241" s="45"/>
      <c r="R241" s="45" t="s">
        <v>948</v>
      </c>
      <c r="S241" s="43">
        <v>0</v>
      </c>
      <c r="T241" s="606">
        <v>0.4</v>
      </c>
      <c r="U241" s="91">
        <v>3</v>
      </c>
      <c r="V241" s="44" t="s">
        <v>271</v>
      </c>
      <c r="W241" s="44">
        <v>7</v>
      </c>
      <c r="X241" s="44">
        <v>10</v>
      </c>
      <c r="Y241" s="44" t="s">
        <v>270</v>
      </c>
      <c r="Z241" s="44" t="s">
        <v>401</v>
      </c>
      <c r="AA241" s="44"/>
      <c r="AB241" s="44"/>
      <c r="AC241" s="43"/>
      <c r="AD241" s="43"/>
      <c r="AE241" s="42"/>
      <c r="AF241" s="41"/>
      <c r="AG241" s="41"/>
      <c r="AH241" s="41"/>
      <c r="AI241" s="41"/>
      <c r="AJ241" s="41"/>
      <c r="AK241" s="41"/>
      <c r="AL241" s="41"/>
    </row>
    <row r="242" spans="1:38" s="50" customFormat="1" ht="15.95" customHeight="1">
      <c r="A242" s="455" t="s">
        <v>961</v>
      </c>
      <c r="C242" s="318">
        <v>46190</v>
      </c>
      <c r="D242" s="49" t="s">
        <v>962</v>
      </c>
      <c r="E242" s="44">
        <v>120</v>
      </c>
      <c r="F242" s="77">
        <v>600</v>
      </c>
      <c r="G242" s="27">
        <v>150</v>
      </c>
      <c r="H242" s="80">
        <v>180</v>
      </c>
      <c r="I242" s="82">
        <v>3</v>
      </c>
      <c r="J242" s="48">
        <v>300</v>
      </c>
      <c r="K242" s="47"/>
      <c r="L242" s="47" t="s">
        <v>270</v>
      </c>
      <c r="M242" s="47" t="s">
        <v>270</v>
      </c>
      <c r="N242" s="93"/>
      <c r="O242" s="98"/>
      <c r="P242" s="46">
        <v>4</v>
      </c>
      <c r="Q242" s="45"/>
      <c r="R242" s="45" t="s">
        <v>948</v>
      </c>
      <c r="S242" s="43">
        <v>0</v>
      </c>
      <c r="T242" s="606">
        <v>0.4</v>
      </c>
      <c r="U242" s="91">
        <v>3</v>
      </c>
      <c r="V242" s="44" t="s">
        <v>271</v>
      </c>
      <c r="W242" s="44">
        <v>7</v>
      </c>
      <c r="X242" s="44">
        <v>10</v>
      </c>
      <c r="Y242" s="44" t="s">
        <v>270</v>
      </c>
      <c r="Z242" s="44" t="s">
        <v>401</v>
      </c>
      <c r="AA242" s="44"/>
      <c r="AB242" s="44"/>
      <c r="AC242" s="43"/>
      <c r="AD242" s="43"/>
      <c r="AE242" s="42"/>
      <c r="AF242" s="41" t="s">
        <v>963</v>
      </c>
      <c r="AG242" s="41"/>
      <c r="AH242" s="41"/>
      <c r="AI242" s="41"/>
      <c r="AJ242" s="41"/>
      <c r="AK242" s="41"/>
      <c r="AL242" s="41"/>
    </row>
    <row r="243" spans="1:38" s="50" customFormat="1" ht="15.95" customHeight="1">
      <c r="A243" s="306" t="s">
        <v>964</v>
      </c>
      <c r="B243" s="50" t="s">
        <v>905</v>
      </c>
      <c r="C243" s="316">
        <v>46191</v>
      </c>
      <c r="D243" s="49"/>
      <c r="E243" s="44">
        <v>120</v>
      </c>
      <c r="F243" s="50" t="s">
        <v>654</v>
      </c>
      <c r="G243" s="27">
        <v>150</v>
      </c>
      <c r="H243" s="80">
        <v>180</v>
      </c>
      <c r="I243" s="82">
        <v>0</v>
      </c>
      <c r="J243" s="48" t="s">
        <v>270</v>
      </c>
      <c r="K243" s="47"/>
      <c r="L243" s="47" t="s">
        <v>270</v>
      </c>
      <c r="M243" s="47" t="s">
        <v>270</v>
      </c>
      <c r="N243" s="93"/>
      <c r="O243" s="98"/>
      <c r="P243" s="46">
        <v>4</v>
      </c>
      <c r="Q243" s="45"/>
      <c r="R243" s="45" t="s">
        <v>948</v>
      </c>
      <c r="S243" s="43">
        <v>0</v>
      </c>
      <c r="T243" s="606">
        <v>0.4</v>
      </c>
      <c r="U243" s="91">
        <v>3</v>
      </c>
      <c r="V243" s="44" t="s">
        <v>271</v>
      </c>
      <c r="W243" s="44">
        <v>7</v>
      </c>
      <c r="X243" s="44">
        <v>10</v>
      </c>
      <c r="Y243" s="44" t="s">
        <v>270</v>
      </c>
      <c r="Z243" s="44" t="s">
        <v>401</v>
      </c>
      <c r="AA243" s="44" t="s">
        <v>271</v>
      </c>
      <c r="AB243" s="44">
        <v>13</v>
      </c>
      <c r="AC243" s="44">
        <v>16</v>
      </c>
      <c r="AD243" s="44" t="s">
        <v>270</v>
      </c>
      <c r="AE243" s="42"/>
      <c r="AF243" s="41" t="s">
        <v>965</v>
      </c>
      <c r="AG243" s="41"/>
      <c r="AH243" s="41"/>
      <c r="AI243" s="41"/>
      <c r="AJ243" s="41"/>
      <c r="AK243" s="41"/>
      <c r="AL243" s="41"/>
    </row>
    <row r="244" spans="1:38" s="50" customFormat="1" ht="15.95" customHeight="1">
      <c r="A244" s="472" t="s">
        <v>966</v>
      </c>
      <c r="C244" s="317">
        <v>46191</v>
      </c>
      <c r="D244" s="841" t="s">
        <v>967</v>
      </c>
      <c r="E244" s="475">
        <v>120</v>
      </c>
      <c r="F244" s="475">
        <v>200</v>
      </c>
      <c r="G244" s="475">
        <v>50</v>
      </c>
      <c r="H244" s="475">
        <v>50</v>
      </c>
      <c r="I244" s="476" t="s">
        <v>270</v>
      </c>
      <c r="J244" s="476" t="s">
        <v>270</v>
      </c>
      <c r="K244" s="477"/>
      <c r="L244" s="477" t="s">
        <v>270</v>
      </c>
      <c r="M244" s="477" t="s">
        <v>270</v>
      </c>
      <c r="N244" s="478"/>
      <c r="O244" s="479"/>
      <c r="P244" s="480" t="s">
        <v>270</v>
      </c>
      <c r="Q244" s="481"/>
      <c r="R244" s="481" t="s">
        <v>270</v>
      </c>
      <c r="S244" s="482" t="s">
        <v>270</v>
      </c>
      <c r="T244" s="483">
        <v>0.4</v>
      </c>
      <c r="U244" s="483">
        <v>3</v>
      </c>
      <c r="V244" s="475" t="s">
        <v>271</v>
      </c>
      <c r="W244" s="475">
        <v>3</v>
      </c>
      <c r="X244" s="475">
        <v>30</v>
      </c>
      <c r="Y244" s="475" t="s">
        <v>270</v>
      </c>
      <c r="Z244" s="484" t="s">
        <v>270</v>
      </c>
      <c r="AA244" s="44"/>
      <c r="AB244" s="44"/>
      <c r="AC244" s="43"/>
      <c r="AD244" s="43"/>
      <c r="AE244" s="42"/>
      <c r="AF244" s="41"/>
      <c r="AG244" s="41"/>
      <c r="AH244" s="41"/>
      <c r="AI244" s="41"/>
      <c r="AJ244" s="41"/>
      <c r="AK244" s="41"/>
      <c r="AL244" s="41"/>
    </row>
    <row r="245" spans="1:38" s="50" customFormat="1" ht="15.95" customHeight="1">
      <c r="A245" s="473" t="s">
        <v>968</v>
      </c>
      <c r="C245" s="318">
        <v>46191</v>
      </c>
      <c r="D245" s="836"/>
      <c r="E245" s="44">
        <v>120</v>
      </c>
      <c r="F245" s="77">
        <v>300</v>
      </c>
      <c r="G245" s="44">
        <v>50</v>
      </c>
      <c r="H245" s="44">
        <v>50</v>
      </c>
      <c r="I245" s="48" t="s">
        <v>270</v>
      </c>
      <c r="J245" s="48" t="s">
        <v>270</v>
      </c>
      <c r="K245" s="47"/>
      <c r="L245" s="47" t="s">
        <v>270</v>
      </c>
      <c r="M245" s="47" t="s">
        <v>270</v>
      </c>
      <c r="N245" s="485"/>
      <c r="O245" s="486"/>
      <c r="P245" s="46" t="s">
        <v>270</v>
      </c>
      <c r="Q245" s="45"/>
      <c r="R245" s="45" t="s">
        <v>270</v>
      </c>
      <c r="S245" s="43" t="s">
        <v>270</v>
      </c>
      <c r="T245" s="487">
        <v>0.4</v>
      </c>
      <c r="U245" s="487">
        <v>3</v>
      </c>
      <c r="V245" s="44" t="s">
        <v>271</v>
      </c>
      <c r="W245" s="44">
        <v>3</v>
      </c>
      <c r="X245" s="44">
        <v>30</v>
      </c>
      <c r="Y245" s="44" t="s">
        <v>270</v>
      </c>
      <c r="Z245" s="488" t="s">
        <v>270</v>
      </c>
      <c r="AA245" s="44"/>
      <c r="AB245" s="44"/>
      <c r="AC245" s="43"/>
      <c r="AD245" s="43"/>
      <c r="AE245" s="42"/>
      <c r="AF245" s="41"/>
      <c r="AG245" s="41"/>
      <c r="AH245" s="41"/>
      <c r="AI245" s="41"/>
      <c r="AJ245" s="41"/>
      <c r="AK245" s="41"/>
      <c r="AL245" s="41"/>
    </row>
    <row r="246" spans="1:38" s="50" customFormat="1" ht="15.95" customHeight="1">
      <c r="A246" s="473" t="s">
        <v>969</v>
      </c>
      <c r="C246" s="316">
        <v>46192</v>
      </c>
      <c r="D246" s="836"/>
      <c r="E246" s="44">
        <v>120</v>
      </c>
      <c r="F246" s="44">
        <v>300</v>
      </c>
      <c r="G246" s="44">
        <v>50</v>
      </c>
      <c r="H246" s="44">
        <v>50</v>
      </c>
      <c r="I246" s="48" t="s">
        <v>270</v>
      </c>
      <c r="J246" s="48" t="s">
        <v>270</v>
      </c>
      <c r="K246" s="47"/>
      <c r="L246" s="47" t="s">
        <v>270</v>
      </c>
      <c r="M246" s="47" t="s">
        <v>270</v>
      </c>
      <c r="N246" s="485"/>
      <c r="O246" s="486"/>
      <c r="P246" s="46" t="s">
        <v>270</v>
      </c>
      <c r="Q246" s="45"/>
      <c r="R246" s="344" t="s">
        <v>948</v>
      </c>
      <c r="S246" s="43" t="s">
        <v>270</v>
      </c>
      <c r="T246" s="487">
        <v>0.4</v>
      </c>
      <c r="U246" s="487">
        <v>3</v>
      </c>
      <c r="V246" s="44" t="s">
        <v>271</v>
      </c>
      <c r="W246" s="44">
        <v>3</v>
      </c>
      <c r="X246" s="44">
        <v>30</v>
      </c>
      <c r="Y246" s="44" t="s">
        <v>270</v>
      </c>
      <c r="Z246" s="488" t="s">
        <v>270</v>
      </c>
      <c r="AA246" s="44"/>
      <c r="AB246" s="44"/>
      <c r="AC246" s="43"/>
      <c r="AD246" s="43"/>
      <c r="AE246" s="42"/>
      <c r="AF246" s="41"/>
      <c r="AG246" s="41"/>
      <c r="AH246" s="41"/>
      <c r="AI246" s="41"/>
      <c r="AJ246" s="41"/>
      <c r="AK246" s="41"/>
      <c r="AL246" s="41"/>
    </row>
    <row r="247" spans="1:38" s="50" customFormat="1" ht="15.95" customHeight="1">
      <c r="A247" s="473" t="s">
        <v>970</v>
      </c>
      <c r="C247" s="317">
        <v>46192</v>
      </c>
      <c r="D247" s="836"/>
      <c r="E247" s="44">
        <v>120</v>
      </c>
      <c r="F247" s="77">
        <v>500</v>
      </c>
      <c r="G247" s="44">
        <v>50</v>
      </c>
      <c r="H247" s="44">
        <v>50</v>
      </c>
      <c r="I247" s="48" t="s">
        <v>270</v>
      </c>
      <c r="J247" s="48" t="s">
        <v>270</v>
      </c>
      <c r="K247" s="47"/>
      <c r="L247" s="47" t="s">
        <v>270</v>
      </c>
      <c r="M247" s="47" t="s">
        <v>270</v>
      </c>
      <c r="N247" s="485"/>
      <c r="O247" s="486"/>
      <c r="P247" s="46" t="s">
        <v>270</v>
      </c>
      <c r="Q247" s="45"/>
      <c r="R247" s="45" t="s">
        <v>948</v>
      </c>
      <c r="S247" s="43" t="s">
        <v>270</v>
      </c>
      <c r="T247" s="487">
        <v>0.4</v>
      </c>
      <c r="U247" s="487">
        <v>3</v>
      </c>
      <c r="V247" s="44" t="s">
        <v>271</v>
      </c>
      <c r="W247" s="44">
        <v>3</v>
      </c>
      <c r="X247" s="44">
        <v>30</v>
      </c>
      <c r="Y247" s="44" t="s">
        <v>270</v>
      </c>
      <c r="Z247" s="488" t="s">
        <v>270</v>
      </c>
      <c r="AA247" s="44"/>
      <c r="AB247" s="44"/>
      <c r="AC247" s="43"/>
      <c r="AD247" s="43"/>
      <c r="AE247" s="42"/>
      <c r="AF247" s="41" t="s">
        <v>971</v>
      </c>
      <c r="AG247" s="41"/>
      <c r="AH247" s="41"/>
      <c r="AI247" s="41"/>
      <c r="AJ247" s="41"/>
      <c r="AK247" s="41"/>
      <c r="AL247" s="41"/>
    </row>
    <row r="248" spans="1:38" s="50" customFormat="1" ht="15.95" customHeight="1">
      <c r="A248" s="473" t="s">
        <v>972</v>
      </c>
      <c r="C248" s="318">
        <v>46192</v>
      </c>
      <c r="D248" s="836"/>
      <c r="E248" s="44">
        <v>120</v>
      </c>
      <c r="F248" s="44">
        <v>500</v>
      </c>
      <c r="G248" s="44">
        <v>50</v>
      </c>
      <c r="H248" s="44">
        <v>50</v>
      </c>
      <c r="I248" s="48" t="s">
        <v>270</v>
      </c>
      <c r="J248" s="48" t="s">
        <v>270</v>
      </c>
      <c r="K248" s="47"/>
      <c r="L248" s="47" t="s">
        <v>270</v>
      </c>
      <c r="M248" s="47" t="s">
        <v>270</v>
      </c>
      <c r="N248" s="485"/>
      <c r="O248" s="486"/>
      <c r="P248" s="46" t="s">
        <v>270</v>
      </c>
      <c r="Q248" s="45"/>
      <c r="R248" s="45" t="s">
        <v>270</v>
      </c>
      <c r="S248" s="43" t="s">
        <v>270</v>
      </c>
      <c r="T248" s="487">
        <v>0.4</v>
      </c>
      <c r="U248" s="487">
        <v>3</v>
      </c>
      <c r="V248" s="44" t="s">
        <v>271</v>
      </c>
      <c r="W248" s="44">
        <v>3</v>
      </c>
      <c r="X248" s="44">
        <v>30</v>
      </c>
      <c r="Y248" s="44" t="s">
        <v>270</v>
      </c>
      <c r="Z248" s="488" t="s">
        <v>270</v>
      </c>
      <c r="AA248" s="44"/>
      <c r="AB248" s="44"/>
      <c r="AC248" s="43"/>
      <c r="AD248" s="43"/>
      <c r="AE248" s="42"/>
      <c r="AF248" s="41" t="s">
        <v>971</v>
      </c>
      <c r="AG248" s="41"/>
      <c r="AH248" s="41"/>
      <c r="AI248" s="41"/>
      <c r="AJ248" s="41"/>
      <c r="AK248" s="41"/>
      <c r="AL248" s="41"/>
    </row>
    <row r="249" spans="1:38" s="50" customFormat="1" ht="15.95" customHeight="1">
      <c r="A249" s="473" t="s">
        <v>973</v>
      </c>
      <c r="C249" s="316">
        <v>46195</v>
      </c>
      <c r="D249" s="836"/>
      <c r="E249" s="44">
        <v>120</v>
      </c>
      <c r="F249" s="77">
        <v>400</v>
      </c>
      <c r="G249" s="44">
        <v>50</v>
      </c>
      <c r="H249" s="44">
        <v>50</v>
      </c>
      <c r="I249" s="48" t="s">
        <v>270</v>
      </c>
      <c r="J249" s="48" t="s">
        <v>270</v>
      </c>
      <c r="K249" s="47"/>
      <c r="L249" s="47" t="s">
        <v>270</v>
      </c>
      <c r="M249" s="47" t="s">
        <v>270</v>
      </c>
      <c r="N249" s="485"/>
      <c r="O249" s="486"/>
      <c r="P249" s="46" t="s">
        <v>270</v>
      </c>
      <c r="Q249" s="45"/>
      <c r="R249" s="45" t="s">
        <v>270</v>
      </c>
      <c r="S249" s="43" t="s">
        <v>270</v>
      </c>
      <c r="T249" s="487">
        <v>0.4</v>
      </c>
      <c r="U249" s="487">
        <v>3</v>
      </c>
      <c r="V249" s="44" t="s">
        <v>271</v>
      </c>
      <c r="W249" s="44">
        <v>3</v>
      </c>
      <c r="X249" s="44">
        <v>30</v>
      </c>
      <c r="Y249" s="44" t="s">
        <v>270</v>
      </c>
      <c r="Z249" s="488" t="s">
        <v>270</v>
      </c>
      <c r="AA249" s="44"/>
      <c r="AB249" s="44"/>
      <c r="AC249" s="43"/>
      <c r="AD249" s="43"/>
      <c r="AE249" s="42"/>
      <c r="AF249" s="41" t="s">
        <v>974</v>
      </c>
      <c r="AG249" s="41"/>
      <c r="AH249" s="41"/>
      <c r="AI249" s="41"/>
      <c r="AJ249" s="41"/>
      <c r="AK249" s="41"/>
      <c r="AL249" s="41"/>
    </row>
    <row r="250" spans="1:38" s="50" customFormat="1" ht="15.95" customHeight="1">
      <c r="A250" s="473" t="s">
        <v>975</v>
      </c>
      <c r="C250" s="317">
        <v>46195</v>
      </c>
      <c r="D250" s="836"/>
      <c r="E250" s="44">
        <v>120</v>
      </c>
      <c r="F250" s="77">
        <v>400</v>
      </c>
      <c r="G250" s="44">
        <v>50</v>
      </c>
      <c r="H250" s="44">
        <v>50</v>
      </c>
      <c r="I250" s="48" t="s">
        <v>270</v>
      </c>
      <c r="J250" s="48" t="s">
        <v>270</v>
      </c>
      <c r="K250" s="47"/>
      <c r="L250" s="47" t="s">
        <v>270</v>
      </c>
      <c r="M250" s="47" t="s">
        <v>270</v>
      </c>
      <c r="N250" s="485"/>
      <c r="O250" s="486"/>
      <c r="P250" s="46" t="s">
        <v>270</v>
      </c>
      <c r="Q250" s="45"/>
      <c r="R250" s="344" t="s">
        <v>948</v>
      </c>
      <c r="S250" s="43" t="s">
        <v>270</v>
      </c>
      <c r="T250" s="487">
        <v>0.4</v>
      </c>
      <c r="U250" s="487">
        <v>3</v>
      </c>
      <c r="V250" s="44" t="s">
        <v>271</v>
      </c>
      <c r="W250" s="44">
        <v>3</v>
      </c>
      <c r="X250" s="44">
        <v>30</v>
      </c>
      <c r="Y250" s="44" t="s">
        <v>270</v>
      </c>
      <c r="Z250" s="488" t="s">
        <v>270</v>
      </c>
      <c r="AA250" s="44"/>
      <c r="AB250" s="44"/>
      <c r="AC250" s="43"/>
      <c r="AD250" s="43"/>
      <c r="AE250" s="42"/>
      <c r="AF250" s="41" t="s">
        <v>976</v>
      </c>
      <c r="AG250" s="41"/>
      <c r="AH250" s="41"/>
      <c r="AI250" s="41"/>
      <c r="AJ250" s="41"/>
      <c r="AK250" s="41"/>
      <c r="AL250" s="41"/>
    </row>
    <row r="251" spans="1:38" s="50" customFormat="1" ht="15.95" customHeight="1">
      <c r="A251" s="474" t="s">
        <v>977</v>
      </c>
      <c r="C251" s="317">
        <v>46195</v>
      </c>
      <c r="D251" s="842"/>
      <c r="E251" s="489">
        <v>120</v>
      </c>
      <c r="F251" s="489">
        <v>350</v>
      </c>
      <c r="G251" s="489">
        <v>50</v>
      </c>
      <c r="H251" s="489">
        <v>50</v>
      </c>
      <c r="I251" s="490" t="s">
        <v>270</v>
      </c>
      <c r="J251" s="490" t="s">
        <v>270</v>
      </c>
      <c r="K251" s="491"/>
      <c r="L251" s="491" t="s">
        <v>270</v>
      </c>
      <c r="M251" s="491" t="s">
        <v>270</v>
      </c>
      <c r="N251" s="492"/>
      <c r="O251" s="493"/>
      <c r="P251" s="494" t="s">
        <v>270</v>
      </c>
      <c r="Q251" s="659"/>
      <c r="R251" s="495" t="s">
        <v>948</v>
      </c>
      <c r="S251" s="496" t="s">
        <v>270</v>
      </c>
      <c r="T251" s="497">
        <v>0.4</v>
      </c>
      <c r="U251" s="497">
        <v>3</v>
      </c>
      <c r="V251" s="489" t="s">
        <v>271</v>
      </c>
      <c r="W251" s="489">
        <v>3</v>
      </c>
      <c r="X251" s="489">
        <v>30</v>
      </c>
      <c r="Y251" s="489" t="s">
        <v>270</v>
      </c>
      <c r="Z251" s="498" t="s">
        <v>270</v>
      </c>
      <c r="AA251" s="44"/>
      <c r="AB251" s="44"/>
      <c r="AC251" s="43"/>
      <c r="AD251" s="43"/>
      <c r="AE251" s="42"/>
      <c r="AF251" s="41" t="s">
        <v>974</v>
      </c>
      <c r="AG251" s="41"/>
      <c r="AH251" s="41"/>
      <c r="AI251" s="41"/>
      <c r="AJ251" s="41"/>
      <c r="AK251" s="41"/>
      <c r="AL251" s="41"/>
    </row>
    <row r="252" spans="1:38" s="50" customFormat="1" ht="15.95" customHeight="1">
      <c r="A252" s="50" t="s">
        <v>978</v>
      </c>
      <c r="C252" s="316">
        <v>46196</v>
      </c>
      <c r="D252" s="49" t="s">
        <v>903</v>
      </c>
      <c r="E252" s="44">
        <v>120</v>
      </c>
      <c r="F252" s="50" t="s">
        <v>654</v>
      </c>
      <c r="G252" s="27">
        <v>150</v>
      </c>
      <c r="H252" s="80">
        <v>180</v>
      </c>
      <c r="I252" s="358">
        <v>2</v>
      </c>
      <c r="J252" s="48">
        <v>300</v>
      </c>
      <c r="K252" s="47"/>
      <c r="L252" s="47" t="s">
        <v>270</v>
      </c>
      <c r="M252" s="47" t="s">
        <v>270</v>
      </c>
      <c r="N252" s="93"/>
      <c r="O252" s="98"/>
      <c r="P252" s="46">
        <v>4</v>
      </c>
      <c r="Q252" s="45"/>
      <c r="R252" s="344">
        <v>0</v>
      </c>
      <c r="S252" s="43">
        <v>0</v>
      </c>
      <c r="T252" s="487">
        <v>0.4</v>
      </c>
      <c r="U252" s="91">
        <v>3</v>
      </c>
      <c r="V252" s="44" t="s">
        <v>271</v>
      </c>
      <c r="W252" s="44">
        <v>7</v>
      </c>
      <c r="X252" s="44">
        <v>10</v>
      </c>
      <c r="Y252" s="44" t="s">
        <v>270</v>
      </c>
      <c r="Z252" s="44" t="s">
        <v>401</v>
      </c>
      <c r="AA252" s="44"/>
      <c r="AB252" s="44"/>
      <c r="AC252" s="43"/>
      <c r="AD252" s="43"/>
      <c r="AE252" s="42"/>
      <c r="AF252" s="41"/>
      <c r="AG252" s="41"/>
      <c r="AH252" s="41"/>
      <c r="AI252" s="41"/>
      <c r="AJ252" s="41"/>
      <c r="AK252" s="41"/>
      <c r="AL252" s="41"/>
    </row>
    <row r="253" spans="1:38" s="50" customFormat="1" ht="15.95" customHeight="1">
      <c r="A253" s="50" t="s">
        <v>979</v>
      </c>
      <c r="C253" s="317">
        <v>46196</v>
      </c>
      <c r="D253" s="49" t="s">
        <v>980</v>
      </c>
      <c r="E253" s="44">
        <v>120</v>
      </c>
      <c r="F253" s="50" t="s">
        <v>654</v>
      </c>
      <c r="G253" s="27">
        <v>150</v>
      </c>
      <c r="H253" s="80">
        <v>180</v>
      </c>
      <c r="I253" s="358" t="s">
        <v>270</v>
      </c>
      <c r="J253" s="48" t="s">
        <v>270</v>
      </c>
      <c r="K253" s="47"/>
      <c r="L253" s="47" t="s">
        <v>270</v>
      </c>
      <c r="M253" s="47" t="s">
        <v>270</v>
      </c>
      <c r="N253" s="93"/>
      <c r="O253" s="98"/>
      <c r="P253" s="46">
        <v>4</v>
      </c>
      <c r="Q253" s="45"/>
      <c r="R253" s="45">
        <v>0</v>
      </c>
      <c r="S253" s="43">
        <v>0</v>
      </c>
      <c r="T253" s="487">
        <v>0.4</v>
      </c>
      <c r="U253" s="91">
        <v>3</v>
      </c>
      <c r="V253" s="44" t="s">
        <v>271</v>
      </c>
      <c r="W253" s="44">
        <v>7</v>
      </c>
      <c r="X253" s="44">
        <v>10</v>
      </c>
      <c r="Y253" s="44" t="s">
        <v>981</v>
      </c>
      <c r="Z253" s="44" t="s">
        <v>401</v>
      </c>
      <c r="AA253" s="44"/>
      <c r="AB253" s="44"/>
      <c r="AC253" s="43"/>
      <c r="AD253" s="43"/>
      <c r="AE253" s="42"/>
      <c r="AF253" s="41"/>
      <c r="AG253" s="41"/>
      <c r="AH253" s="41" t="s">
        <v>982</v>
      </c>
      <c r="AI253" s="41"/>
      <c r="AJ253" s="41"/>
      <c r="AK253" s="41"/>
      <c r="AL253" s="41"/>
    </row>
    <row r="254" spans="1:38" s="50" customFormat="1" ht="15.95" customHeight="1">
      <c r="A254" s="50" t="s">
        <v>983</v>
      </c>
      <c r="C254" s="317">
        <v>46196</v>
      </c>
      <c r="D254" s="49"/>
      <c r="E254" s="44">
        <v>120</v>
      </c>
      <c r="F254" s="50" t="s">
        <v>654</v>
      </c>
      <c r="G254" s="27">
        <v>150</v>
      </c>
      <c r="H254" s="80">
        <v>180</v>
      </c>
      <c r="I254" s="358">
        <v>2</v>
      </c>
      <c r="J254" s="48">
        <v>300</v>
      </c>
      <c r="K254" s="47"/>
      <c r="L254" s="47" t="s">
        <v>270</v>
      </c>
      <c r="M254" s="47" t="s">
        <v>270</v>
      </c>
      <c r="N254" s="93"/>
      <c r="O254" s="98"/>
      <c r="P254" s="46">
        <v>4</v>
      </c>
      <c r="Q254" s="45"/>
      <c r="R254" s="344" t="s">
        <v>948</v>
      </c>
      <c r="S254" s="43">
        <v>0</v>
      </c>
      <c r="T254" s="487">
        <v>0.4</v>
      </c>
      <c r="U254" s="91">
        <v>3</v>
      </c>
      <c r="V254" s="44" t="s">
        <v>271</v>
      </c>
      <c r="W254" s="44">
        <v>7</v>
      </c>
      <c r="X254" s="44">
        <v>10</v>
      </c>
      <c r="Y254" s="44" t="s">
        <v>984</v>
      </c>
      <c r="Z254" s="44" t="s">
        <v>401</v>
      </c>
      <c r="AA254" s="44"/>
      <c r="AB254" s="44"/>
      <c r="AC254" s="43"/>
      <c r="AD254" s="43"/>
      <c r="AE254" s="42"/>
      <c r="AF254" s="41"/>
      <c r="AG254" s="41"/>
      <c r="AH254" s="41" t="s">
        <v>985</v>
      </c>
      <c r="AI254" s="41" t="s">
        <v>986</v>
      </c>
      <c r="AJ254" s="41"/>
      <c r="AK254" s="41"/>
      <c r="AL254" s="41"/>
    </row>
    <row r="255" spans="1:38" s="50" customFormat="1" ht="15.95" customHeight="1">
      <c r="A255" s="50" t="s">
        <v>987</v>
      </c>
      <c r="C255" s="318">
        <v>46196</v>
      </c>
      <c r="D255" s="49"/>
      <c r="E255" s="44">
        <v>120</v>
      </c>
      <c r="F255" s="50" t="s">
        <v>654</v>
      </c>
      <c r="G255" s="27">
        <v>150</v>
      </c>
      <c r="H255" s="80">
        <v>180</v>
      </c>
      <c r="I255" s="358">
        <v>2</v>
      </c>
      <c r="J255" s="48">
        <v>300</v>
      </c>
      <c r="K255" s="47"/>
      <c r="L255" s="47" t="s">
        <v>270</v>
      </c>
      <c r="M255" s="47" t="s">
        <v>270</v>
      </c>
      <c r="N255" s="93"/>
      <c r="O255" s="98"/>
      <c r="P255" s="46">
        <v>4</v>
      </c>
      <c r="Q255" s="45"/>
      <c r="R255" s="344" t="s">
        <v>988</v>
      </c>
      <c r="S255" s="43">
        <v>0</v>
      </c>
      <c r="T255" s="487">
        <v>0.4</v>
      </c>
      <c r="U255" s="91">
        <v>3</v>
      </c>
      <c r="V255" s="44" t="s">
        <v>271</v>
      </c>
      <c r="W255" s="44">
        <v>7</v>
      </c>
      <c r="X255" s="44">
        <v>10</v>
      </c>
      <c r="Y255" s="44" t="s">
        <v>984</v>
      </c>
      <c r="Z255" s="44" t="s">
        <v>401</v>
      </c>
      <c r="AA255" s="44"/>
      <c r="AB255" s="44"/>
      <c r="AC255" s="43"/>
      <c r="AD255" s="43"/>
      <c r="AE255" s="42"/>
      <c r="AF255" s="41"/>
      <c r="AG255" s="41"/>
      <c r="AH255" s="41" t="s">
        <v>989</v>
      </c>
      <c r="AL255" s="41"/>
    </row>
    <row r="256" spans="1:38" s="50" customFormat="1" ht="15.95" customHeight="1">
      <c r="A256" s="401" t="s">
        <v>990</v>
      </c>
      <c r="C256" s="316">
        <v>46198</v>
      </c>
      <c r="D256" s="49" t="s">
        <v>991</v>
      </c>
      <c r="E256" s="77">
        <v>200</v>
      </c>
      <c r="F256" s="50" t="s">
        <v>654</v>
      </c>
      <c r="G256" s="78">
        <v>200</v>
      </c>
      <c r="H256" s="80">
        <v>180</v>
      </c>
      <c r="I256" s="358">
        <v>2</v>
      </c>
      <c r="J256" s="48">
        <v>300</v>
      </c>
      <c r="K256" s="47"/>
      <c r="L256" s="47" t="s">
        <v>270</v>
      </c>
      <c r="M256" s="47" t="s">
        <v>270</v>
      </c>
      <c r="N256" s="93"/>
      <c r="O256" s="98"/>
      <c r="P256" s="46">
        <v>4</v>
      </c>
      <c r="Q256" s="45"/>
      <c r="R256" s="45" t="s">
        <v>988</v>
      </c>
      <c r="S256" s="43">
        <v>0</v>
      </c>
      <c r="T256" s="487">
        <v>0.4</v>
      </c>
      <c r="U256" s="91">
        <v>3</v>
      </c>
      <c r="V256" s="44" t="s">
        <v>271</v>
      </c>
      <c r="W256" s="44">
        <v>7</v>
      </c>
      <c r="X256" s="44">
        <v>10</v>
      </c>
      <c r="Y256" s="77" t="s">
        <v>270</v>
      </c>
      <c r="Z256" s="44" t="s">
        <v>401</v>
      </c>
      <c r="AA256" s="44"/>
      <c r="AB256" s="44"/>
      <c r="AC256" s="43"/>
      <c r="AD256" s="43"/>
      <c r="AE256" s="42"/>
      <c r="AF256" s="41"/>
      <c r="AG256" s="41"/>
      <c r="AH256" s="41" t="s">
        <v>992</v>
      </c>
      <c r="AI256" s="41" t="s">
        <v>993</v>
      </c>
      <c r="AJ256" s="41"/>
      <c r="AK256" s="41"/>
      <c r="AL256" s="41"/>
    </row>
    <row r="257" spans="1:38" s="50" customFormat="1" ht="15.95" customHeight="1">
      <c r="A257" s="455" t="s">
        <v>994</v>
      </c>
      <c r="C257" s="317">
        <v>46198</v>
      </c>
      <c r="D257" s="839" t="s">
        <v>995</v>
      </c>
      <c r="E257" s="44">
        <v>200</v>
      </c>
      <c r="F257" s="50" t="s">
        <v>654</v>
      </c>
      <c r="G257" s="27">
        <v>200</v>
      </c>
      <c r="H257" s="80">
        <v>180</v>
      </c>
      <c r="I257" s="358">
        <v>2</v>
      </c>
      <c r="J257" s="48">
        <v>300</v>
      </c>
      <c r="K257" s="47"/>
      <c r="L257" s="47" t="s">
        <v>270</v>
      </c>
      <c r="M257" s="47" t="s">
        <v>270</v>
      </c>
      <c r="N257" s="93"/>
      <c r="O257" s="98"/>
      <c r="P257" s="46">
        <v>4</v>
      </c>
      <c r="Q257" s="45"/>
      <c r="R257" s="508" t="s">
        <v>948</v>
      </c>
      <c r="S257" s="43">
        <v>0</v>
      </c>
      <c r="T257" s="487">
        <v>0.4</v>
      </c>
      <c r="U257" s="91">
        <v>3</v>
      </c>
      <c r="V257" s="44" t="s">
        <v>271</v>
      </c>
      <c r="W257" s="44">
        <v>7</v>
      </c>
      <c r="X257" s="77">
        <v>30</v>
      </c>
      <c r="Y257" s="44" t="s">
        <v>270</v>
      </c>
      <c r="Z257" s="44" t="s">
        <v>401</v>
      </c>
      <c r="AA257" s="44"/>
      <c r="AB257" s="44"/>
      <c r="AC257" s="43"/>
      <c r="AD257" s="43"/>
      <c r="AE257" s="42"/>
      <c r="AF257" s="41"/>
      <c r="AG257" s="41"/>
      <c r="AH257" s="226" t="s">
        <v>996</v>
      </c>
      <c r="AI257" s="41"/>
      <c r="AJ257" s="41"/>
      <c r="AK257" s="41"/>
      <c r="AL257" s="41"/>
    </row>
    <row r="258" spans="1:38" s="50" customFormat="1" ht="15.95" customHeight="1">
      <c r="A258" s="306" t="s">
        <v>997</v>
      </c>
      <c r="C258" s="318">
        <v>46198</v>
      </c>
      <c r="D258" s="840"/>
      <c r="E258" s="44">
        <v>200</v>
      </c>
      <c r="F258" s="50" t="s">
        <v>654</v>
      </c>
      <c r="G258" s="27">
        <v>200</v>
      </c>
      <c r="H258" s="80">
        <v>180</v>
      </c>
      <c r="I258" s="358">
        <v>2</v>
      </c>
      <c r="J258" s="48">
        <v>300</v>
      </c>
      <c r="K258" s="47"/>
      <c r="L258" s="47" t="s">
        <v>270</v>
      </c>
      <c r="M258" s="47" t="s">
        <v>270</v>
      </c>
      <c r="N258" s="93"/>
      <c r="O258" s="98"/>
      <c r="P258" s="46">
        <v>4</v>
      </c>
      <c r="Q258" s="45"/>
      <c r="R258" s="509" t="s">
        <v>998</v>
      </c>
      <c r="S258" s="43">
        <v>0</v>
      </c>
      <c r="T258" s="487">
        <v>0.4</v>
      </c>
      <c r="U258" s="91">
        <v>3</v>
      </c>
      <c r="V258" s="44" t="s">
        <v>271</v>
      </c>
      <c r="W258" s="44">
        <v>7</v>
      </c>
      <c r="X258" s="77">
        <v>30</v>
      </c>
      <c r="Y258" s="44" t="s">
        <v>270</v>
      </c>
      <c r="Z258" s="44" t="s">
        <v>401</v>
      </c>
      <c r="AA258" s="44"/>
      <c r="AB258" s="44"/>
      <c r="AC258" s="43"/>
      <c r="AD258" s="43"/>
      <c r="AE258" s="42"/>
      <c r="AG258" s="41"/>
      <c r="AH258" s="226" t="s">
        <v>999</v>
      </c>
      <c r="AI258" s="41" t="s">
        <v>1000</v>
      </c>
      <c r="AJ258" s="41"/>
      <c r="AK258" s="41"/>
      <c r="AL258" s="41"/>
    </row>
    <row r="259" spans="1:38" s="50" customFormat="1" ht="15.95" customHeight="1">
      <c r="A259" s="295" t="s">
        <v>1001</v>
      </c>
      <c r="C259" s="316">
        <v>46199</v>
      </c>
      <c r="D259" s="49"/>
      <c r="E259" s="44">
        <v>200</v>
      </c>
      <c r="F259" s="50" t="s">
        <v>654</v>
      </c>
      <c r="G259" s="27">
        <v>200</v>
      </c>
      <c r="H259" s="80">
        <v>180</v>
      </c>
      <c r="I259" s="358">
        <v>2</v>
      </c>
      <c r="J259" s="48">
        <v>300</v>
      </c>
      <c r="K259" s="47"/>
      <c r="L259" s="47" t="s">
        <v>270</v>
      </c>
      <c r="M259" s="47" t="s">
        <v>270</v>
      </c>
      <c r="N259" s="93"/>
      <c r="O259" s="98"/>
      <c r="P259" s="46">
        <v>4</v>
      </c>
      <c r="Q259" s="45"/>
      <c r="R259" s="45" t="s">
        <v>998</v>
      </c>
      <c r="S259" s="43">
        <v>0</v>
      </c>
      <c r="T259" s="487">
        <v>0.4</v>
      </c>
      <c r="U259" s="91">
        <v>3</v>
      </c>
      <c r="V259" s="44" t="s">
        <v>271</v>
      </c>
      <c r="W259" s="44">
        <v>7</v>
      </c>
      <c r="X259" s="77">
        <v>30</v>
      </c>
      <c r="Y259" s="44" t="s">
        <v>270</v>
      </c>
      <c r="Z259" s="44" t="s">
        <v>401</v>
      </c>
      <c r="AA259" s="44"/>
      <c r="AB259" s="44"/>
      <c r="AC259" s="43"/>
      <c r="AD259" s="43"/>
      <c r="AE259" s="42" t="s">
        <v>1002</v>
      </c>
      <c r="AG259" s="41"/>
      <c r="AH259" s="41"/>
      <c r="AI259" s="41" t="s">
        <v>1003</v>
      </c>
      <c r="AJ259" s="41"/>
      <c r="AK259" s="41"/>
      <c r="AL259" s="41"/>
    </row>
    <row r="260" spans="1:38" s="50" customFormat="1" ht="15.95" customHeight="1">
      <c r="A260" s="359" t="s">
        <v>1004</v>
      </c>
      <c r="C260" s="317">
        <v>46199</v>
      </c>
      <c r="D260" s="49"/>
      <c r="E260" s="44">
        <v>200</v>
      </c>
      <c r="F260" s="50" t="s">
        <v>654</v>
      </c>
      <c r="G260" s="27">
        <v>200</v>
      </c>
      <c r="H260" s="80">
        <v>180</v>
      </c>
      <c r="I260" s="358">
        <v>2</v>
      </c>
      <c r="J260" s="48">
        <v>300</v>
      </c>
      <c r="K260" s="47"/>
      <c r="L260" s="47" t="s">
        <v>270</v>
      </c>
      <c r="M260" s="47" t="s">
        <v>270</v>
      </c>
      <c r="N260" s="93"/>
      <c r="O260" s="98"/>
      <c r="P260" s="46">
        <v>4</v>
      </c>
      <c r="Q260" s="45"/>
      <c r="R260" s="45" t="s">
        <v>998</v>
      </c>
      <c r="S260" s="43">
        <v>0</v>
      </c>
      <c r="T260" s="606">
        <v>0.4</v>
      </c>
      <c r="U260" s="91">
        <v>3</v>
      </c>
      <c r="V260" s="44" t="s">
        <v>271</v>
      </c>
      <c r="W260" s="44">
        <v>7</v>
      </c>
      <c r="X260" s="77">
        <v>60</v>
      </c>
      <c r="Y260" s="44" t="s">
        <v>270</v>
      </c>
      <c r="Z260" s="44" t="s">
        <v>401</v>
      </c>
      <c r="AA260" s="44"/>
      <c r="AB260" s="44"/>
      <c r="AC260" s="43"/>
      <c r="AD260" s="43"/>
      <c r="AE260" s="42" t="s">
        <v>1005</v>
      </c>
      <c r="AF260" s="510" t="s">
        <v>1006</v>
      </c>
      <c r="AG260" s="41"/>
      <c r="AH260" s="41"/>
      <c r="AI260" s="41"/>
      <c r="AJ260" s="41"/>
      <c r="AK260" s="41"/>
      <c r="AL260" s="41"/>
    </row>
    <row r="261" spans="1:38" s="50" customFormat="1" ht="15.95" customHeight="1">
      <c r="A261" s="306" t="s">
        <v>1007</v>
      </c>
      <c r="C261" s="318">
        <v>46199</v>
      </c>
      <c r="D261" s="49"/>
      <c r="E261" s="44">
        <v>200</v>
      </c>
      <c r="F261" s="50" t="s">
        <v>654</v>
      </c>
      <c r="G261" s="27">
        <v>200</v>
      </c>
      <c r="H261" s="80">
        <v>180</v>
      </c>
      <c r="I261" s="358">
        <v>2</v>
      </c>
      <c r="J261" s="48">
        <v>300</v>
      </c>
      <c r="K261" s="47"/>
      <c r="L261" s="47" t="s">
        <v>270</v>
      </c>
      <c r="M261" s="47" t="s">
        <v>270</v>
      </c>
      <c r="N261" s="93"/>
      <c r="O261" s="98"/>
      <c r="P261" s="46">
        <v>4</v>
      </c>
      <c r="Q261" s="45"/>
      <c r="R261" s="45" t="s">
        <v>998</v>
      </c>
      <c r="S261" s="43">
        <v>0</v>
      </c>
      <c r="T261" s="606">
        <v>0.4</v>
      </c>
      <c r="U261" s="91">
        <v>3</v>
      </c>
      <c r="V261" s="44" t="s">
        <v>271</v>
      </c>
      <c r="W261" s="44">
        <v>7</v>
      </c>
      <c r="X261" s="77">
        <v>30</v>
      </c>
      <c r="Y261" s="44" t="s">
        <v>270</v>
      </c>
      <c r="Z261" s="44" t="s">
        <v>401</v>
      </c>
      <c r="AA261" s="44"/>
      <c r="AB261" s="44"/>
      <c r="AC261" s="43"/>
      <c r="AD261" s="43"/>
      <c r="AE261" s="42" t="s">
        <v>1008</v>
      </c>
      <c r="AF261" s="41"/>
      <c r="AG261" s="41"/>
      <c r="AH261" s="41" t="s">
        <v>1009</v>
      </c>
      <c r="AI261" s="41"/>
      <c r="AJ261" s="41"/>
      <c r="AK261" s="41"/>
      <c r="AL261" s="41"/>
    </row>
    <row r="262" spans="1:38" s="50" customFormat="1" ht="15.95" customHeight="1">
      <c r="A262" s="295" t="s">
        <v>1010</v>
      </c>
      <c r="C262" s="316">
        <v>46201</v>
      </c>
      <c r="D262" s="49"/>
      <c r="E262" s="44">
        <v>200</v>
      </c>
      <c r="F262" s="50" t="s">
        <v>654</v>
      </c>
      <c r="G262" s="27">
        <v>200</v>
      </c>
      <c r="H262" s="80">
        <v>180</v>
      </c>
      <c r="I262" s="358">
        <v>2</v>
      </c>
      <c r="J262" s="48">
        <v>300</v>
      </c>
      <c r="K262" s="47"/>
      <c r="L262" s="47" t="s">
        <v>270</v>
      </c>
      <c r="M262" s="47" t="s">
        <v>270</v>
      </c>
      <c r="N262" s="93"/>
      <c r="O262" s="98"/>
      <c r="P262" s="46">
        <v>4</v>
      </c>
      <c r="Q262" s="45"/>
      <c r="R262" s="45" t="s">
        <v>998</v>
      </c>
      <c r="S262" s="43">
        <v>0</v>
      </c>
      <c r="T262" s="606">
        <v>0.4</v>
      </c>
      <c r="U262" s="91">
        <v>3</v>
      </c>
      <c r="V262" s="44" t="s">
        <v>271</v>
      </c>
      <c r="W262" s="44">
        <v>7</v>
      </c>
      <c r="X262" s="77">
        <v>60</v>
      </c>
      <c r="Y262" s="44" t="s">
        <v>270</v>
      </c>
      <c r="Z262" s="44" t="s">
        <v>401</v>
      </c>
      <c r="AA262" s="44"/>
      <c r="AB262" s="44"/>
      <c r="AC262" s="43"/>
      <c r="AD262" s="43"/>
      <c r="AE262" s="42" t="s">
        <v>1011</v>
      </c>
      <c r="AF262" s="41"/>
      <c r="AG262" s="41"/>
      <c r="AH262" s="41" t="s">
        <v>1012</v>
      </c>
      <c r="AI262" s="41"/>
      <c r="AJ262" s="41"/>
      <c r="AK262" s="41"/>
      <c r="AL262" s="41"/>
    </row>
    <row r="263" spans="1:38" s="50" customFormat="1" ht="15.95" customHeight="1">
      <c r="A263" s="295" t="s">
        <v>1013</v>
      </c>
      <c r="C263" s="317">
        <v>46201</v>
      </c>
      <c r="D263" s="49"/>
      <c r="E263" s="44">
        <v>200</v>
      </c>
      <c r="F263" s="50" t="s">
        <v>654</v>
      </c>
      <c r="G263" s="27">
        <v>200</v>
      </c>
      <c r="H263" s="80">
        <v>180</v>
      </c>
      <c r="I263" s="358">
        <v>2</v>
      </c>
      <c r="J263" s="48">
        <v>300</v>
      </c>
      <c r="K263" s="47"/>
      <c r="L263" s="47" t="s">
        <v>270</v>
      </c>
      <c r="M263" s="47" t="s">
        <v>270</v>
      </c>
      <c r="N263" s="93"/>
      <c r="O263" s="98"/>
      <c r="P263" s="46">
        <v>4</v>
      </c>
      <c r="Q263" s="45"/>
      <c r="R263" s="45" t="s">
        <v>998</v>
      </c>
      <c r="S263" s="43">
        <v>0</v>
      </c>
      <c r="T263" s="606">
        <v>0.4</v>
      </c>
      <c r="U263" s="91">
        <v>3</v>
      </c>
      <c r="V263" s="44" t="s">
        <v>271</v>
      </c>
      <c r="W263" s="44">
        <v>7</v>
      </c>
      <c r="X263" s="77">
        <v>30</v>
      </c>
      <c r="Y263" s="44" t="s">
        <v>270</v>
      </c>
      <c r="Z263" s="44" t="s">
        <v>401</v>
      </c>
      <c r="AA263" s="44"/>
      <c r="AB263" s="44"/>
      <c r="AC263" s="43"/>
      <c r="AD263" s="43"/>
      <c r="AE263" s="42" t="s">
        <v>1014</v>
      </c>
      <c r="AF263" s="41"/>
      <c r="AG263" s="41"/>
      <c r="AH263" s="41" t="s">
        <v>1015</v>
      </c>
      <c r="AI263" s="41"/>
      <c r="AJ263" s="41"/>
      <c r="AK263" s="41"/>
      <c r="AL263" s="41"/>
    </row>
    <row r="264" spans="1:38" s="50" customFormat="1" ht="15.95" customHeight="1">
      <c r="A264" s="306" t="s">
        <v>1016</v>
      </c>
      <c r="C264" s="318">
        <v>46201</v>
      </c>
      <c r="D264" s="49"/>
      <c r="E264" s="44">
        <v>200</v>
      </c>
      <c r="F264" s="50" t="s">
        <v>654</v>
      </c>
      <c r="G264" s="27">
        <v>200</v>
      </c>
      <c r="H264" s="80">
        <v>180</v>
      </c>
      <c r="I264" s="358">
        <v>2</v>
      </c>
      <c r="J264" s="48">
        <v>300</v>
      </c>
      <c r="K264" s="47"/>
      <c r="L264" s="47" t="s">
        <v>270</v>
      </c>
      <c r="M264" s="47" t="s">
        <v>270</v>
      </c>
      <c r="N264" s="93"/>
      <c r="O264" s="98"/>
      <c r="P264" s="46">
        <v>5</v>
      </c>
      <c r="Q264" s="45"/>
      <c r="R264" s="344" t="s">
        <v>1017</v>
      </c>
      <c r="S264" s="43">
        <v>0</v>
      </c>
      <c r="T264" s="606">
        <v>0.4</v>
      </c>
      <c r="U264" s="91">
        <v>3</v>
      </c>
      <c r="V264" s="44" t="s">
        <v>271</v>
      </c>
      <c r="W264" s="44">
        <v>7</v>
      </c>
      <c r="X264" s="44">
        <v>30</v>
      </c>
      <c r="Y264" s="44" t="s">
        <v>270</v>
      </c>
      <c r="Z264" s="44" t="s">
        <v>401</v>
      </c>
      <c r="AA264" s="44"/>
      <c r="AB264" s="44"/>
      <c r="AC264" s="43"/>
      <c r="AD264" s="43"/>
      <c r="AE264" s="42" t="s">
        <v>1018</v>
      </c>
      <c r="AF264" s="41"/>
      <c r="AG264" s="41"/>
      <c r="AH264" s="41"/>
      <c r="AI264" s="41"/>
      <c r="AJ264" s="41"/>
      <c r="AK264" s="41"/>
      <c r="AL264" s="41"/>
    </row>
    <row r="265" spans="1:38" s="50" customFormat="1" ht="15.95" customHeight="1">
      <c r="A265" s="359" t="s">
        <v>1019</v>
      </c>
      <c r="C265" s="316">
        <v>46202</v>
      </c>
      <c r="D265" s="49" t="s">
        <v>1020</v>
      </c>
      <c r="E265" s="44">
        <v>200</v>
      </c>
      <c r="F265" s="50" t="s">
        <v>654</v>
      </c>
      <c r="G265" s="27">
        <v>200</v>
      </c>
      <c r="H265" s="80">
        <v>180</v>
      </c>
      <c r="I265" s="82">
        <v>5</v>
      </c>
      <c r="J265" s="48">
        <v>300</v>
      </c>
      <c r="K265" s="47"/>
      <c r="L265" s="47" t="s">
        <v>270</v>
      </c>
      <c r="M265" s="47" t="s">
        <v>270</v>
      </c>
      <c r="N265" s="93"/>
      <c r="O265" s="98"/>
      <c r="P265" s="46">
        <v>6</v>
      </c>
      <c r="Q265" s="45"/>
      <c r="R265" s="344" t="s">
        <v>998</v>
      </c>
      <c r="S265" s="43">
        <v>0</v>
      </c>
      <c r="T265" s="606">
        <v>0.4</v>
      </c>
      <c r="U265" s="91">
        <v>3</v>
      </c>
      <c r="V265" s="44" t="s">
        <v>271</v>
      </c>
      <c r="W265" s="44">
        <v>7</v>
      </c>
      <c r="X265" s="44">
        <v>30</v>
      </c>
      <c r="Y265" s="44" t="s">
        <v>270</v>
      </c>
      <c r="Z265" s="44" t="s">
        <v>401</v>
      </c>
      <c r="AA265" s="44"/>
      <c r="AB265" s="44"/>
      <c r="AC265" s="43"/>
      <c r="AD265" s="43"/>
      <c r="AE265" s="42" t="s">
        <v>1018</v>
      </c>
      <c r="AF265" s="41"/>
      <c r="AG265" s="41"/>
      <c r="AH265" s="41"/>
      <c r="AI265" s="41"/>
      <c r="AJ265" s="41"/>
      <c r="AK265" s="41"/>
      <c r="AL265" s="41"/>
    </row>
    <row r="266" spans="1:38" s="50" customFormat="1" ht="15.95" customHeight="1">
      <c r="A266" s="50" t="s">
        <v>1021</v>
      </c>
      <c r="C266" s="317">
        <v>46202</v>
      </c>
      <c r="D266" s="49" t="s">
        <v>1022</v>
      </c>
      <c r="E266" s="44">
        <v>200</v>
      </c>
      <c r="F266" s="50" t="s">
        <v>654</v>
      </c>
      <c r="G266" s="27">
        <v>200</v>
      </c>
      <c r="H266" s="80">
        <v>180</v>
      </c>
      <c r="I266" s="358">
        <v>5</v>
      </c>
      <c r="J266" s="48">
        <v>300</v>
      </c>
      <c r="K266" s="47"/>
      <c r="L266" s="47" t="s">
        <v>270</v>
      </c>
      <c r="M266" s="47" t="s">
        <v>270</v>
      </c>
      <c r="N266" s="93"/>
      <c r="O266" s="98"/>
      <c r="P266" s="46">
        <v>6</v>
      </c>
      <c r="Q266" s="45"/>
      <c r="R266" s="45" t="s">
        <v>998</v>
      </c>
      <c r="S266" s="43">
        <v>0</v>
      </c>
      <c r="T266" s="606">
        <v>0.4</v>
      </c>
      <c r="U266" s="91">
        <v>3</v>
      </c>
      <c r="V266" s="44" t="s">
        <v>271</v>
      </c>
      <c r="W266" s="44">
        <v>7</v>
      </c>
      <c r="X266" s="44">
        <v>30</v>
      </c>
      <c r="Y266" s="44" t="s">
        <v>270</v>
      </c>
      <c r="Z266" s="44" t="s">
        <v>401</v>
      </c>
      <c r="AA266" s="44"/>
      <c r="AB266" s="44"/>
      <c r="AC266" s="43"/>
      <c r="AD266" s="43"/>
      <c r="AE266" s="42" t="s">
        <v>1018</v>
      </c>
      <c r="AF266" s="41"/>
      <c r="AG266" s="41"/>
      <c r="AH266" s="41"/>
      <c r="AI266" s="41"/>
      <c r="AJ266" s="41"/>
      <c r="AK266" s="41"/>
      <c r="AL266" s="41"/>
    </row>
    <row r="267" spans="1:38" s="50" customFormat="1" ht="15.95" customHeight="1">
      <c r="A267" s="50" t="s">
        <v>1023</v>
      </c>
      <c r="C267" s="316">
        <v>46203</v>
      </c>
      <c r="D267" s="49"/>
      <c r="E267" s="44">
        <v>200</v>
      </c>
      <c r="F267" s="50" t="s">
        <v>654</v>
      </c>
      <c r="G267" s="27">
        <v>200</v>
      </c>
      <c r="H267" s="80">
        <v>180</v>
      </c>
      <c r="I267" s="82">
        <v>10</v>
      </c>
      <c r="J267" s="48">
        <v>300</v>
      </c>
      <c r="K267" s="47"/>
      <c r="L267" s="47" t="s">
        <v>270</v>
      </c>
      <c r="M267" s="47" t="s">
        <v>270</v>
      </c>
      <c r="N267" s="93"/>
      <c r="O267" s="98"/>
      <c r="P267" s="46">
        <v>6</v>
      </c>
      <c r="Q267" s="45"/>
      <c r="R267" s="45" t="s">
        <v>998</v>
      </c>
      <c r="S267" s="43">
        <v>0</v>
      </c>
      <c r="T267" s="606">
        <v>0.4</v>
      </c>
      <c r="U267" s="91">
        <v>3</v>
      </c>
      <c r="V267" s="44" t="s">
        <v>271</v>
      </c>
      <c r="W267" s="44">
        <v>7</v>
      </c>
      <c r="X267" s="44">
        <v>30</v>
      </c>
      <c r="Y267" s="44" t="s">
        <v>270</v>
      </c>
      <c r="Z267" s="44" t="s">
        <v>401</v>
      </c>
      <c r="AA267" s="44"/>
      <c r="AB267" s="44"/>
      <c r="AC267" s="43"/>
      <c r="AD267" s="43"/>
      <c r="AE267" s="42"/>
      <c r="AF267" s="41"/>
      <c r="AG267" s="41"/>
      <c r="AH267" s="41"/>
      <c r="AI267" s="41"/>
      <c r="AJ267" s="41"/>
      <c r="AK267" s="41"/>
      <c r="AL267" s="41"/>
    </row>
    <row r="268" spans="1:38" s="50" customFormat="1" ht="15.95" customHeight="1">
      <c r="A268" s="50" t="s">
        <v>1024</v>
      </c>
      <c r="C268" s="318">
        <v>46203</v>
      </c>
      <c r="D268" s="49"/>
      <c r="E268" s="44"/>
      <c r="F268" s="44"/>
      <c r="G268" s="44"/>
      <c r="H268" s="44"/>
      <c r="I268" s="48"/>
      <c r="J268" s="48"/>
      <c r="K268" s="47"/>
      <c r="L268" s="47"/>
      <c r="M268" s="47"/>
      <c r="N268" s="93"/>
      <c r="O268" s="98"/>
      <c r="P268" s="46"/>
      <c r="Q268" s="45"/>
      <c r="R268" s="45"/>
      <c r="S268" s="43"/>
      <c r="T268" s="91"/>
      <c r="U268" s="91"/>
      <c r="V268" s="44"/>
      <c r="W268" s="44"/>
      <c r="X268" s="44"/>
      <c r="Y268" s="44"/>
      <c r="Z268" s="44"/>
      <c r="AA268" s="44"/>
      <c r="AB268" s="44"/>
      <c r="AC268" s="43"/>
      <c r="AD268" s="43"/>
      <c r="AE268" s="42"/>
      <c r="AF268" s="41"/>
      <c r="AG268" s="41" t="s">
        <v>1025</v>
      </c>
      <c r="AH268" s="41"/>
      <c r="AI268" s="41"/>
      <c r="AJ268" s="41"/>
      <c r="AK268" s="41"/>
      <c r="AL268" s="41"/>
    </row>
    <row r="269" spans="1:38" s="50" customFormat="1" ht="15.95" customHeight="1">
      <c r="C269" s="316">
        <v>46207</v>
      </c>
      <c r="D269" s="49"/>
      <c r="E269" s="44"/>
      <c r="F269" s="44"/>
      <c r="G269" s="44"/>
      <c r="H269" s="44"/>
      <c r="I269" s="48"/>
      <c r="J269" s="48"/>
      <c r="K269" s="47"/>
      <c r="L269" s="47"/>
      <c r="M269" s="47"/>
      <c r="N269" s="93"/>
      <c r="O269" s="98"/>
      <c r="P269" s="46"/>
      <c r="Q269" s="45"/>
      <c r="R269" s="45"/>
      <c r="S269" s="43"/>
      <c r="T269" s="91"/>
      <c r="U269" s="91"/>
      <c r="V269" s="44"/>
      <c r="W269" s="44"/>
      <c r="X269" s="44"/>
      <c r="Y269" s="44"/>
      <c r="Z269" s="44"/>
      <c r="AA269" s="44"/>
      <c r="AB269" s="44"/>
      <c r="AC269" s="43"/>
      <c r="AD269" s="43"/>
      <c r="AE269" s="42"/>
      <c r="AF269" s="41"/>
      <c r="AG269" s="41"/>
      <c r="AH269" s="41"/>
      <c r="AI269" s="41"/>
      <c r="AJ269" s="41"/>
      <c r="AK269" s="41"/>
      <c r="AL269" s="41"/>
    </row>
    <row r="270" spans="1:38" s="50" customFormat="1" ht="15.95" customHeight="1">
      <c r="A270" s="50" t="s">
        <v>1026</v>
      </c>
      <c r="C270" s="317">
        <v>46207</v>
      </c>
      <c r="D270" s="49" t="s">
        <v>905</v>
      </c>
      <c r="E270" s="44"/>
      <c r="F270" s="44"/>
      <c r="G270" s="44"/>
      <c r="H270" s="44"/>
      <c r="I270" s="48"/>
      <c r="J270" s="48"/>
      <c r="K270" s="47"/>
      <c r="L270" s="47"/>
      <c r="M270" s="47"/>
      <c r="N270" s="93"/>
      <c r="O270" s="98"/>
      <c r="P270" s="46"/>
      <c r="Q270" s="45"/>
      <c r="R270" s="45"/>
      <c r="S270" s="43"/>
      <c r="T270" s="91"/>
      <c r="U270" s="91"/>
      <c r="V270" s="44"/>
      <c r="W270" s="44"/>
      <c r="X270" s="44"/>
      <c r="Y270" s="44"/>
      <c r="Z270" s="44"/>
      <c r="AA270" s="44"/>
      <c r="AB270" s="44"/>
      <c r="AC270" s="43"/>
      <c r="AD270" s="43"/>
      <c r="AE270" s="562" t="s">
        <v>1027</v>
      </c>
      <c r="AF270" s="41"/>
      <c r="AG270" s="41"/>
      <c r="AH270" s="41"/>
      <c r="AI270" s="41"/>
      <c r="AJ270" s="41"/>
      <c r="AK270" s="41"/>
      <c r="AL270" s="41"/>
    </row>
    <row r="271" spans="1:38" s="50" customFormat="1" ht="15.95" customHeight="1">
      <c r="A271" s="50" t="s">
        <v>1028</v>
      </c>
      <c r="C271" s="317">
        <v>46207</v>
      </c>
      <c r="D271" s="49"/>
      <c r="E271" s="44">
        <v>90</v>
      </c>
      <c r="F271" s="44">
        <v>900</v>
      </c>
      <c r="G271" s="44">
        <v>200</v>
      </c>
      <c r="H271" s="44">
        <v>150</v>
      </c>
      <c r="I271" s="82" t="s">
        <v>1029</v>
      </c>
      <c r="J271" s="48" t="s">
        <v>270</v>
      </c>
      <c r="K271" s="47"/>
      <c r="L271" s="47">
        <v>70</v>
      </c>
      <c r="M271" s="47">
        <v>150</v>
      </c>
      <c r="N271" s="605"/>
      <c r="O271" s="604"/>
      <c r="P271" s="46">
        <v>4</v>
      </c>
      <c r="Q271" s="45"/>
      <c r="R271" s="45" t="s">
        <v>1030</v>
      </c>
      <c r="S271" s="43">
        <v>2</v>
      </c>
      <c r="T271" s="606" t="s">
        <v>270</v>
      </c>
      <c r="U271" s="606" t="s">
        <v>270</v>
      </c>
      <c r="V271" s="44">
        <v>10</v>
      </c>
      <c r="W271" s="44">
        <v>6</v>
      </c>
      <c r="X271" s="44">
        <v>15</v>
      </c>
      <c r="Y271" s="44" t="s">
        <v>1031</v>
      </c>
      <c r="Z271" s="44" t="s">
        <v>401</v>
      </c>
      <c r="AA271" s="44">
        <v>90</v>
      </c>
      <c r="AB271" s="44">
        <v>900</v>
      </c>
      <c r="AC271" s="44">
        <v>200</v>
      </c>
      <c r="AD271" s="44">
        <v>150</v>
      </c>
      <c r="AE271" s="42"/>
      <c r="AF271" s="41"/>
      <c r="AG271" s="41" t="s">
        <v>1032</v>
      </c>
      <c r="AH271" s="41"/>
      <c r="AI271" s="41"/>
      <c r="AJ271" s="41"/>
      <c r="AK271" s="41"/>
      <c r="AL271" s="41"/>
    </row>
    <row r="272" spans="1:38" s="50" customFormat="1" ht="15.95" customHeight="1">
      <c r="A272" s="50" t="s">
        <v>1033</v>
      </c>
      <c r="C272" s="318">
        <v>46207</v>
      </c>
      <c r="D272" s="49"/>
      <c r="E272" s="44">
        <v>90</v>
      </c>
      <c r="F272" s="44">
        <v>900</v>
      </c>
      <c r="G272" s="44">
        <v>200</v>
      </c>
      <c r="H272" s="44">
        <v>150</v>
      </c>
      <c r="I272" s="48" t="s">
        <v>697</v>
      </c>
      <c r="J272" s="48" t="s">
        <v>270</v>
      </c>
      <c r="K272" s="47"/>
      <c r="L272" s="47">
        <v>70</v>
      </c>
      <c r="M272" s="47">
        <v>150</v>
      </c>
      <c r="N272" s="605"/>
      <c r="O272" s="604"/>
      <c r="P272" s="46">
        <v>4</v>
      </c>
      <c r="Q272" s="45"/>
      <c r="R272" s="45" t="s">
        <v>1030</v>
      </c>
      <c r="S272" s="43">
        <v>2</v>
      </c>
      <c r="T272" s="606" t="s">
        <v>270</v>
      </c>
      <c r="U272" s="606" t="s">
        <v>270</v>
      </c>
      <c r="V272" s="44">
        <v>10</v>
      </c>
      <c r="W272" s="44">
        <v>6</v>
      </c>
      <c r="X272" s="44">
        <v>15</v>
      </c>
      <c r="Y272" s="44" t="s">
        <v>1031</v>
      </c>
      <c r="Z272" s="44" t="s">
        <v>401</v>
      </c>
      <c r="AA272" s="44" t="s">
        <v>421</v>
      </c>
      <c r="AB272" s="44" t="s">
        <v>421</v>
      </c>
      <c r="AC272" s="44" t="s">
        <v>421</v>
      </c>
      <c r="AD272" s="44" t="s">
        <v>421</v>
      </c>
      <c r="AE272" s="42"/>
      <c r="AF272" s="41" t="s">
        <v>1034</v>
      </c>
      <c r="AG272" s="41"/>
      <c r="AI272" s="41" t="s">
        <v>1035</v>
      </c>
      <c r="AJ272" s="41"/>
      <c r="AK272" s="41"/>
      <c r="AL272" s="41"/>
    </row>
    <row r="273" spans="1:38" s="50" customFormat="1" ht="15.95" customHeight="1">
      <c r="A273" s="50" t="s">
        <v>1036</v>
      </c>
      <c r="B273" s="50" t="s">
        <v>1033</v>
      </c>
      <c r="C273" s="316">
        <v>46209</v>
      </c>
      <c r="D273" s="49" t="s">
        <v>1037</v>
      </c>
      <c r="E273" s="44">
        <v>90</v>
      </c>
      <c r="F273" s="44">
        <v>900</v>
      </c>
      <c r="G273" s="44">
        <v>200</v>
      </c>
      <c r="H273" s="44">
        <v>150</v>
      </c>
      <c r="I273" s="48" t="s">
        <v>697</v>
      </c>
      <c r="J273" s="48" t="s">
        <v>270</v>
      </c>
      <c r="K273" s="47"/>
      <c r="L273" s="47">
        <v>70</v>
      </c>
      <c r="M273" s="47">
        <v>150</v>
      </c>
      <c r="N273" s="605"/>
      <c r="O273" s="604"/>
      <c r="P273" s="46">
        <v>4</v>
      </c>
      <c r="Q273" s="45"/>
      <c r="R273" s="45" t="s">
        <v>1030</v>
      </c>
      <c r="S273" s="43">
        <v>2</v>
      </c>
      <c r="T273" s="606" t="s">
        <v>270</v>
      </c>
      <c r="U273" s="606" t="s">
        <v>270</v>
      </c>
      <c r="V273" s="44">
        <v>10</v>
      </c>
      <c r="W273" s="44">
        <v>6</v>
      </c>
      <c r="X273" s="44">
        <v>15</v>
      </c>
      <c r="Y273" s="44" t="s">
        <v>1031</v>
      </c>
      <c r="Z273" s="44" t="s">
        <v>401</v>
      </c>
      <c r="AA273" s="44"/>
      <c r="AB273" s="44"/>
      <c r="AC273" s="43"/>
      <c r="AD273" s="43"/>
      <c r="AE273" s="42"/>
      <c r="AF273" s="41" t="s">
        <v>1038</v>
      </c>
      <c r="AG273" s="41"/>
      <c r="AH273" s="41" t="s">
        <v>1039</v>
      </c>
      <c r="AI273" s="41" t="s">
        <v>1040</v>
      </c>
      <c r="AJ273" s="41"/>
      <c r="AK273" s="41"/>
      <c r="AL273" s="41"/>
    </row>
    <row r="274" spans="1:38" s="50" customFormat="1" ht="15.95" customHeight="1">
      <c r="A274" s="50" t="s">
        <v>1041</v>
      </c>
      <c r="B274" s="50" t="s">
        <v>1033</v>
      </c>
      <c r="C274" s="317">
        <v>46209</v>
      </c>
      <c r="D274" s="49"/>
      <c r="E274" s="44">
        <v>90</v>
      </c>
      <c r="F274" s="44">
        <v>900</v>
      </c>
      <c r="G274" s="44">
        <v>200</v>
      </c>
      <c r="H274" s="44">
        <v>150</v>
      </c>
      <c r="I274" s="48" t="s">
        <v>697</v>
      </c>
      <c r="J274" s="48" t="s">
        <v>270</v>
      </c>
      <c r="K274" s="47"/>
      <c r="L274" s="47">
        <v>70</v>
      </c>
      <c r="M274" s="47">
        <v>150</v>
      </c>
      <c r="N274" s="605"/>
      <c r="O274" s="604"/>
      <c r="P274" s="46">
        <v>4</v>
      </c>
      <c r="Q274" s="45"/>
      <c r="R274" s="45" t="s">
        <v>1030</v>
      </c>
      <c r="S274" s="43">
        <v>2</v>
      </c>
      <c r="T274" s="606" t="s">
        <v>270</v>
      </c>
      <c r="U274" s="606" t="s">
        <v>270</v>
      </c>
      <c r="V274" s="44">
        <v>10</v>
      </c>
      <c r="W274" s="44">
        <v>6</v>
      </c>
      <c r="X274" s="44">
        <v>15</v>
      </c>
      <c r="Y274" s="77" t="s">
        <v>1042</v>
      </c>
      <c r="Z274" s="44" t="s">
        <v>401</v>
      </c>
      <c r="AA274" s="44"/>
      <c r="AB274" s="44"/>
      <c r="AC274" s="43"/>
      <c r="AD274" s="43"/>
      <c r="AE274" s="42"/>
      <c r="AF274" s="50" t="s">
        <v>1043</v>
      </c>
      <c r="AG274" s="41"/>
      <c r="AH274" s="41"/>
      <c r="AI274" s="41" t="s">
        <v>1044</v>
      </c>
      <c r="AJ274" s="41"/>
      <c r="AK274" s="41"/>
      <c r="AL274" s="41"/>
    </row>
    <row r="275" spans="1:38" s="50" customFormat="1" ht="15.95" customHeight="1">
      <c r="A275" s="50" t="s">
        <v>1045</v>
      </c>
      <c r="B275" s="50" t="s">
        <v>1033</v>
      </c>
      <c r="C275" s="317">
        <v>46209</v>
      </c>
      <c r="D275" s="49"/>
      <c r="E275" s="44">
        <v>90</v>
      </c>
      <c r="F275" s="44">
        <v>900</v>
      </c>
      <c r="G275" s="44">
        <v>200</v>
      </c>
      <c r="H275" s="44">
        <v>150</v>
      </c>
      <c r="I275" s="48" t="s">
        <v>697</v>
      </c>
      <c r="J275" s="48" t="s">
        <v>270</v>
      </c>
      <c r="K275" s="47"/>
      <c r="L275" s="47">
        <v>70</v>
      </c>
      <c r="M275" s="47">
        <v>150</v>
      </c>
      <c r="N275" s="605"/>
      <c r="O275" s="604"/>
      <c r="P275" s="46">
        <v>4</v>
      </c>
      <c r="Q275" s="45"/>
      <c r="R275" s="45" t="s">
        <v>1030</v>
      </c>
      <c r="S275" s="43">
        <v>5</v>
      </c>
      <c r="T275" s="606" t="s">
        <v>270</v>
      </c>
      <c r="U275" s="606" t="s">
        <v>270</v>
      </c>
      <c r="V275" s="44">
        <v>10</v>
      </c>
      <c r="W275" s="44">
        <v>6</v>
      </c>
      <c r="X275" s="44">
        <v>15</v>
      </c>
      <c r="Y275" s="44" t="s">
        <v>1042</v>
      </c>
      <c r="Z275" s="44" t="s">
        <v>401</v>
      </c>
      <c r="AA275" s="44"/>
      <c r="AB275" s="44"/>
      <c r="AC275" s="43"/>
      <c r="AD275" s="43"/>
      <c r="AE275" s="42"/>
      <c r="AF275" s="41"/>
      <c r="AG275" s="41"/>
      <c r="AH275" s="41" t="s">
        <v>1046</v>
      </c>
      <c r="AI275" s="41" t="s">
        <v>1047</v>
      </c>
      <c r="AJ275" s="41"/>
      <c r="AK275" s="41"/>
      <c r="AL275" s="41"/>
    </row>
    <row r="276" spans="1:38" s="50" customFormat="1" ht="15.95" customHeight="1">
      <c r="A276" s="50" t="s">
        <v>1048</v>
      </c>
      <c r="B276" s="50" t="s">
        <v>1033</v>
      </c>
      <c r="C276" s="318">
        <v>46209</v>
      </c>
      <c r="D276" s="838" t="s">
        <v>1049</v>
      </c>
      <c r="E276" s="44">
        <v>90</v>
      </c>
      <c r="F276" s="44">
        <v>900</v>
      </c>
      <c r="G276" s="44">
        <v>200</v>
      </c>
      <c r="H276" s="44">
        <v>150</v>
      </c>
      <c r="I276" s="82" t="s">
        <v>1050</v>
      </c>
      <c r="J276" s="48" t="s">
        <v>270</v>
      </c>
      <c r="K276" s="47"/>
      <c r="L276" s="47">
        <v>70</v>
      </c>
      <c r="M276" s="47">
        <v>150</v>
      </c>
      <c r="N276" s="605"/>
      <c r="O276" s="604"/>
      <c r="P276" s="46">
        <v>4</v>
      </c>
      <c r="Q276" s="45"/>
      <c r="R276" s="45" t="s">
        <v>1030</v>
      </c>
      <c r="S276" s="43">
        <v>5</v>
      </c>
      <c r="T276" s="606" t="s">
        <v>270</v>
      </c>
      <c r="U276" s="606" t="s">
        <v>270</v>
      </c>
      <c r="V276" s="44">
        <v>10</v>
      </c>
      <c r="W276" s="44">
        <v>6</v>
      </c>
      <c r="X276" s="44">
        <v>15</v>
      </c>
      <c r="Y276" s="44" t="s">
        <v>1042</v>
      </c>
      <c r="Z276" s="44" t="s">
        <v>401</v>
      </c>
      <c r="AA276" s="44"/>
      <c r="AB276" s="44"/>
      <c r="AC276" s="43"/>
      <c r="AD276" s="43"/>
      <c r="AE276" s="42"/>
      <c r="AF276" s="41"/>
      <c r="AG276" s="41"/>
      <c r="AH276" s="41" t="s">
        <v>1051</v>
      </c>
      <c r="AI276" s="41" t="s">
        <v>1052</v>
      </c>
      <c r="AJ276" s="41"/>
      <c r="AK276" s="41"/>
      <c r="AL276" s="41"/>
    </row>
    <row r="277" spans="1:38" s="50" customFormat="1" ht="15.95" customHeight="1">
      <c r="A277" s="50" t="s">
        <v>1053</v>
      </c>
      <c r="B277" s="50" t="s">
        <v>1033</v>
      </c>
      <c r="C277" s="316">
        <v>46210</v>
      </c>
      <c r="D277" s="838"/>
      <c r="E277" s="44">
        <v>90</v>
      </c>
      <c r="F277" s="44">
        <v>900</v>
      </c>
      <c r="G277" s="44">
        <v>200</v>
      </c>
      <c r="H277" s="44">
        <v>150</v>
      </c>
      <c r="I277" s="82" t="s">
        <v>1054</v>
      </c>
      <c r="J277" s="48" t="s">
        <v>270</v>
      </c>
      <c r="K277" s="47"/>
      <c r="L277" s="47">
        <v>70</v>
      </c>
      <c r="M277" s="47">
        <v>150</v>
      </c>
      <c r="N277" s="605"/>
      <c r="O277" s="604"/>
      <c r="P277" s="46">
        <v>4</v>
      </c>
      <c r="Q277" s="45"/>
      <c r="R277" s="45" t="s">
        <v>1030</v>
      </c>
      <c r="S277" s="43">
        <v>5</v>
      </c>
      <c r="T277" s="606" t="s">
        <v>270</v>
      </c>
      <c r="U277" s="606" t="s">
        <v>270</v>
      </c>
      <c r="V277" s="44">
        <v>10</v>
      </c>
      <c r="W277" s="44">
        <v>6</v>
      </c>
      <c r="X277" s="44">
        <v>15</v>
      </c>
      <c r="Y277" s="44" t="s">
        <v>1042</v>
      </c>
      <c r="Z277" s="44" t="s">
        <v>401</v>
      </c>
      <c r="AA277" s="44"/>
      <c r="AB277" s="44"/>
      <c r="AC277" s="43"/>
      <c r="AD277" s="43"/>
      <c r="AE277" s="42"/>
      <c r="AF277" s="41"/>
      <c r="AG277" s="41"/>
      <c r="AH277" s="41" t="s">
        <v>1055</v>
      </c>
      <c r="AI277" s="41"/>
      <c r="AJ277" s="41"/>
      <c r="AK277" s="41"/>
      <c r="AL277" s="41"/>
    </row>
    <row r="278" spans="1:38" s="50" customFormat="1" ht="15.95" customHeight="1">
      <c r="A278" s="50" t="s">
        <v>1056</v>
      </c>
      <c r="B278" s="50" t="s">
        <v>1033</v>
      </c>
      <c r="C278" s="317">
        <v>46210</v>
      </c>
      <c r="D278" s="49"/>
      <c r="E278" s="44">
        <v>90</v>
      </c>
      <c r="F278" s="44">
        <v>900</v>
      </c>
      <c r="G278" s="44">
        <v>200</v>
      </c>
      <c r="H278" s="44">
        <v>150</v>
      </c>
      <c r="I278" s="48" t="s">
        <v>1057</v>
      </c>
      <c r="J278" s="48" t="s">
        <v>270</v>
      </c>
      <c r="K278" s="47"/>
      <c r="L278" s="47">
        <v>70</v>
      </c>
      <c r="M278" s="47">
        <v>150</v>
      </c>
      <c r="N278" s="605"/>
      <c r="O278" s="604"/>
      <c r="P278" s="46">
        <v>4</v>
      </c>
      <c r="Q278" s="45"/>
      <c r="R278" s="344" t="s">
        <v>1058</v>
      </c>
      <c r="S278" s="43">
        <v>5</v>
      </c>
      <c r="T278" s="606" t="s">
        <v>270</v>
      </c>
      <c r="U278" s="606" t="s">
        <v>270</v>
      </c>
      <c r="V278" s="44">
        <v>10</v>
      </c>
      <c r="W278" s="44">
        <v>6</v>
      </c>
      <c r="X278" s="44">
        <v>15</v>
      </c>
      <c r="Y278" s="44" t="s">
        <v>1042</v>
      </c>
      <c r="Z278" s="44" t="s">
        <v>401</v>
      </c>
      <c r="AA278" s="44"/>
      <c r="AB278" s="44"/>
      <c r="AC278" s="43"/>
      <c r="AD278" s="43"/>
      <c r="AE278" s="42"/>
      <c r="AF278" s="41" t="s">
        <v>1059</v>
      </c>
      <c r="AG278" s="41"/>
      <c r="AH278" s="41"/>
      <c r="AI278" s="41" t="s">
        <v>1060</v>
      </c>
      <c r="AJ278" s="41"/>
      <c r="AK278" s="41"/>
      <c r="AL278" s="41"/>
    </row>
    <row r="279" spans="1:38" s="50" customFormat="1" ht="15.95" customHeight="1">
      <c r="A279" s="50" t="s">
        <v>1061</v>
      </c>
      <c r="C279" s="317">
        <v>46210</v>
      </c>
      <c r="D279" s="49"/>
      <c r="E279" s="44">
        <v>90</v>
      </c>
      <c r="F279" s="44">
        <v>900</v>
      </c>
      <c r="G279" s="44">
        <v>200</v>
      </c>
      <c r="H279" s="44">
        <v>150</v>
      </c>
      <c r="I279" s="48" t="s">
        <v>1057</v>
      </c>
      <c r="J279" s="48" t="s">
        <v>270</v>
      </c>
      <c r="K279" s="47"/>
      <c r="L279" s="47">
        <v>70</v>
      </c>
      <c r="M279" s="47">
        <v>150</v>
      </c>
      <c r="N279" s="605"/>
      <c r="O279" s="604"/>
      <c r="P279" s="46">
        <v>4</v>
      </c>
      <c r="Q279" s="45"/>
      <c r="R279" s="45" t="s">
        <v>1058</v>
      </c>
      <c r="S279" s="43">
        <v>5</v>
      </c>
      <c r="T279" s="606" t="s">
        <v>270</v>
      </c>
      <c r="U279" s="606" t="s">
        <v>270</v>
      </c>
      <c r="V279" s="44">
        <v>10</v>
      </c>
      <c r="W279" s="44">
        <v>6</v>
      </c>
      <c r="X279" s="44">
        <v>15</v>
      </c>
      <c r="Y279" s="77" t="s">
        <v>1062</v>
      </c>
      <c r="Z279" s="44" t="s">
        <v>401</v>
      </c>
      <c r="AA279" s="44"/>
      <c r="AB279" s="44"/>
      <c r="AC279" s="43"/>
      <c r="AD279" s="43"/>
      <c r="AE279" s="42"/>
      <c r="AF279" s="41"/>
      <c r="AG279" s="41"/>
      <c r="AH279" s="41" t="s">
        <v>1063</v>
      </c>
      <c r="AI279" s="41" t="s">
        <v>1064</v>
      </c>
      <c r="AJ279" s="41"/>
      <c r="AK279" s="41"/>
      <c r="AL279" s="41"/>
    </row>
    <row r="280" spans="1:38" s="50" customFormat="1" ht="15.95" customHeight="1">
      <c r="A280" s="50" t="s">
        <v>1065</v>
      </c>
      <c r="C280" s="318">
        <v>46210</v>
      </c>
      <c r="D280" s="49" t="s">
        <v>1066</v>
      </c>
      <c r="E280" s="44">
        <v>90</v>
      </c>
      <c r="F280" s="44">
        <v>900</v>
      </c>
      <c r="G280" s="44">
        <v>200</v>
      </c>
      <c r="H280" s="44">
        <v>150</v>
      </c>
      <c r="I280" s="48" t="s">
        <v>1057</v>
      </c>
      <c r="J280" s="48" t="s">
        <v>270</v>
      </c>
      <c r="K280" s="47"/>
      <c r="L280" s="362" t="s">
        <v>270</v>
      </c>
      <c r="M280" s="362" t="s">
        <v>270</v>
      </c>
      <c r="N280" s="605"/>
      <c r="O280" s="604"/>
      <c r="P280" s="46">
        <v>4</v>
      </c>
      <c r="Q280" s="45"/>
      <c r="R280" s="45" t="s">
        <v>1058</v>
      </c>
      <c r="S280" s="43">
        <v>5</v>
      </c>
      <c r="T280" s="606" t="s">
        <v>270</v>
      </c>
      <c r="U280" s="606" t="s">
        <v>270</v>
      </c>
      <c r="V280" s="44">
        <v>10</v>
      </c>
      <c r="W280" s="44">
        <v>6</v>
      </c>
      <c r="X280" s="44">
        <v>15</v>
      </c>
      <c r="Y280" s="44" t="s">
        <v>1062</v>
      </c>
      <c r="Z280" s="44" t="s">
        <v>401</v>
      </c>
      <c r="AA280" s="44"/>
      <c r="AB280" s="44"/>
      <c r="AC280" s="43"/>
      <c r="AD280" s="43"/>
      <c r="AE280" s="42"/>
      <c r="AF280" s="41" t="s">
        <v>1067</v>
      </c>
      <c r="AG280" s="41"/>
      <c r="AH280" s="41"/>
      <c r="AI280" s="41"/>
      <c r="AJ280" s="41"/>
      <c r="AK280" s="41"/>
      <c r="AL280" s="41"/>
    </row>
    <row r="281" spans="1:38" s="50" customFormat="1" ht="15.95" customHeight="1">
      <c r="A281" s="50" t="s">
        <v>1068</v>
      </c>
      <c r="C281" s="316">
        <v>46212</v>
      </c>
      <c r="D281" s="49"/>
      <c r="E281" s="44">
        <v>90</v>
      </c>
      <c r="F281" s="44">
        <v>900</v>
      </c>
      <c r="G281" s="44">
        <v>200</v>
      </c>
      <c r="H281" s="44">
        <v>150</v>
      </c>
      <c r="I281" s="82" t="s">
        <v>1069</v>
      </c>
      <c r="J281" s="48" t="s">
        <v>270</v>
      </c>
      <c r="K281" s="47"/>
      <c r="L281" s="47">
        <v>70</v>
      </c>
      <c r="M281" s="47">
        <v>150</v>
      </c>
      <c r="N281" s="605"/>
      <c r="O281" s="604"/>
      <c r="P281" s="46">
        <v>4</v>
      </c>
      <c r="Q281" s="45"/>
      <c r="R281" s="45" t="s">
        <v>1058</v>
      </c>
      <c r="S281" s="43">
        <v>5</v>
      </c>
      <c r="T281" s="606" t="s">
        <v>270</v>
      </c>
      <c r="U281" s="606" t="s">
        <v>270</v>
      </c>
      <c r="V281" s="44">
        <v>10</v>
      </c>
      <c r="W281" s="44">
        <v>6</v>
      </c>
      <c r="X281" s="44">
        <v>15</v>
      </c>
      <c r="Y281" s="44" t="s">
        <v>1042</v>
      </c>
      <c r="Z281" s="44" t="s">
        <v>401</v>
      </c>
      <c r="AA281" s="44"/>
      <c r="AB281" s="44"/>
      <c r="AC281" s="43"/>
      <c r="AD281" s="43"/>
      <c r="AE281" s="42" t="s">
        <v>1070</v>
      </c>
      <c r="AF281" s="41"/>
      <c r="AG281" s="41"/>
      <c r="AH281" s="41" t="s">
        <v>1051</v>
      </c>
      <c r="AI281" s="41" t="s">
        <v>1071</v>
      </c>
      <c r="AJ281" s="41"/>
      <c r="AK281" s="41"/>
      <c r="AL281" s="41"/>
    </row>
    <row r="282" spans="1:38" s="50" customFormat="1" ht="15.95" customHeight="1">
      <c r="A282" s="50" t="s">
        <v>1072</v>
      </c>
      <c r="C282" s="317">
        <v>46212</v>
      </c>
      <c r="D282" s="49"/>
      <c r="E282" s="44">
        <v>90</v>
      </c>
      <c r="F282" s="44">
        <v>900</v>
      </c>
      <c r="G282" s="44">
        <v>200</v>
      </c>
      <c r="H282" s="44">
        <v>150</v>
      </c>
      <c r="I282" s="48" t="s">
        <v>1073</v>
      </c>
      <c r="J282" s="48" t="s">
        <v>270</v>
      </c>
      <c r="K282" s="47"/>
      <c r="L282" s="47">
        <v>100</v>
      </c>
      <c r="M282" s="47">
        <v>200</v>
      </c>
      <c r="N282" s="605"/>
      <c r="O282" s="604"/>
      <c r="P282" s="46" t="s">
        <v>270</v>
      </c>
      <c r="Q282" s="45"/>
      <c r="R282" s="45" t="s">
        <v>1058</v>
      </c>
      <c r="S282" s="43" t="s">
        <v>270</v>
      </c>
      <c r="T282" s="606" t="s">
        <v>270</v>
      </c>
      <c r="U282" s="606" t="s">
        <v>270</v>
      </c>
      <c r="V282" s="44" t="s">
        <v>270</v>
      </c>
      <c r="W282" s="44">
        <v>6</v>
      </c>
      <c r="X282" s="44">
        <v>30</v>
      </c>
      <c r="Y282" s="44" t="s">
        <v>270</v>
      </c>
      <c r="Z282" s="44" t="s">
        <v>270</v>
      </c>
      <c r="AA282" s="44"/>
      <c r="AB282" s="44"/>
      <c r="AC282" s="43"/>
      <c r="AD282" s="43"/>
      <c r="AE282" s="42"/>
      <c r="AF282" s="41"/>
      <c r="AG282" s="41"/>
      <c r="AH282" s="41"/>
      <c r="AI282" s="41"/>
      <c r="AJ282" s="41"/>
      <c r="AK282" s="41"/>
      <c r="AL282" s="41"/>
    </row>
    <row r="283" spans="1:38" s="50" customFormat="1" ht="15.95" customHeight="1">
      <c r="A283" s="50" t="s">
        <v>1074</v>
      </c>
      <c r="C283" s="317">
        <v>46212</v>
      </c>
      <c r="D283" s="49"/>
      <c r="E283" s="44">
        <v>90</v>
      </c>
      <c r="F283" s="44">
        <v>900</v>
      </c>
      <c r="G283" s="44">
        <v>200</v>
      </c>
      <c r="H283" s="44">
        <v>150</v>
      </c>
      <c r="I283" s="48" t="s">
        <v>1073</v>
      </c>
      <c r="J283" s="48" t="s">
        <v>270</v>
      </c>
      <c r="K283" s="47"/>
      <c r="L283" s="47">
        <v>70</v>
      </c>
      <c r="M283" s="47">
        <v>150</v>
      </c>
      <c r="N283" s="605"/>
      <c r="O283" s="604"/>
      <c r="P283" s="46">
        <v>4</v>
      </c>
      <c r="Q283" s="45"/>
      <c r="R283" s="45" t="s">
        <v>1058</v>
      </c>
      <c r="S283" s="43">
        <v>5</v>
      </c>
      <c r="T283" s="606" t="s">
        <v>270</v>
      </c>
      <c r="U283" s="606" t="s">
        <v>270</v>
      </c>
      <c r="V283" s="44">
        <v>10</v>
      </c>
      <c r="W283" s="44">
        <v>6</v>
      </c>
      <c r="X283" s="44">
        <v>15</v>
      </c>
      <c r="Y283" s="44" t="s">
        <v>1042</v>
      </c>
      <c r="Z283" s="44" t="s">
        <v>401</v>
      </c>
      <c r="AA283" s="44"/>
      <c r="AB283" s="44"/>
      <c r="AC283" s="43"/>
      <c r="AD283" s="43"/>
      <c r="AE283" s="42"/>
      <c r="AF283" s="41"/>
      <c r="AG283" s="41"/>
      <c r="AH283" s="41"/>
      <c r="AI283" s="41" t="s">
        <v>1071</v>
      </c>
      <c r="AJ283" s="41"/>
      <c r="AK283" s="41"/>
      <c r="AL283" s="41"/>
    </row>
    <row r="284" spans="1:38" s="50" customFormat="1" ht="15.95" customHeight="1">
      <c r="A284" s="50" t="s">
        <v>1075</v>
      </c>
      <c r="C284" s="318">
        <v>46212</v>
      </c>
      <c r="D284" s="49" t="s">
        <v>1076</v>
      </c>
      <c r="E284" s="77">
        <v>60</v>
      </c>
      <c r="F284" s="44">
        <v>900</v>
      </c>
      <c r="G284" s="44">
        <v>200</v>
      </c>
      <c r="H284" s="44">
        <v>150</v>
      </c>
      <c r="I284" s="48" t="s">
        <v>1073</v>
      </c>
      <c r="J284" s="48" t="s">
        <v>270</v>
      </c>
      <c r="K284" s="47"/>
      <c r="L284" s="47">
        <v>70</v>
      </c>
      <c r="M284" s="47">
        <v>150</v>
      </c>
      <c r="N284" s="605"/>
      <c r="O284" s="604"/>
      <c r="P284" s="46">
        <v>4</v>
      </c>
      <c r="Q284" s="45"/>
      <c r="R284" s="45" t="s">
        <v>1058</v>
      </c>
      <c r="S284" s="43">
        <v>5</v>
      </c>
      <c r="T284" s="606" t="s">
        <v>270</v>
      </c>
      <c r="U284" s="606" t="s">
        <v>270</v>
      </c>
      <c r="V284" s="44">
        <v>10</v>
      </c>
      <c r="W284" s="44">
        <v>6</v>
      </c>
      <c r="X284" s="44">
        <v>15</v>
      </c>
      <c r="Y284" s="44" t="s">
        <v>1042</v>
      </c>
      <c r="Z284" s="44" t="s">
        <v>401</v>
      </c>
      <c r="AA284" s="44"/>
      <c r="AB284" s="44"/>
      <c r="AC284" s="43"/>
      <c r="AD284" s="43"/>
      <c r="AE284" s="42"/>
      <c r="AF284" s="41"/>
      <c r="AG284" s="41"/>
      <c r="AH284" s="41" t="s">
        <v>656</v>
      </c>
      <c r="AI284" s="41" t="s">
        <v>1077</v>
      </c>
      <c r="AJ284" s="41"/>
      <c r="AK284" s="41"/>
      <c r="AL284" s="41"/>
    </row>
    <row r="285" spans="1:38" s="50" customFormat="1" ht="15.95" customHeight="1">
      <c r="A285" s="50" t="s">
        <v>1078</v>
      </c>
      <c r="C285" s="316">
        <v>46213</v>
      </c>
      <c r="D285" s="49" t="s">
        <v>1079</v>
      </c>
      <c r="E285" s="77">
        <v>90</v>
      </c>
      <c r="F285" s="44">
        <v>900</v>
      </c>
      <c r="G285" s="44">
        <v>200</v>
      </c>
      <c r="H285" s="44">
        <v>150</v>
      </c>
      <c r="I285" s="48" t="s">
        <v>1073</v>
      </c>
      <c r="J285" s="48" t="s">
        <v>270</v>
      </c>
      <c r="K285" s="47"/>
      <c r="L285" s="47">
        <v>70</v>
      </c>
      <c r="M285" s="47">
        <v>150</v>
      </c>
      <c r="N285" s="605"/>
      <c r="O285" s="604"/>
      <c r="P285" s="46">
        <v>4</v>
      </c>
      <c r="Q285" s="45"/>
      <c r="R285" s="45" t="s">
        <v>1058</v>
      </c>
      <c r="S285" s="83">
        <v>20</v>
      </c>
      <c r="T285" s="606" t="s">
        <v>270</v>
      </c>
      <c r="U285" s="606" t="s">
        <v>270</v>
      </c>
      <c r="V285" s="44">
        <v>10</v>
      </c>
      <c r="W285" s="44">
        <v>6</v>
      </c>
      <c r="X285" s="44">
        <v>15</v>
      </c>
      <c r="Y285" s="44" t="s">
        <v>1042</v>
      </c>
      <c r="Z285" s="44" t="s">
        <v>401</v>
      </c>
      <c r="AA285" s="44"/>
      <c r="AB285" s="44"/>
      <c r="AC285" s="43"/>
      <c r="AD285" s="43"/>
      <c r="AE285" s="42"/>
      <c r="AF285" s="41" t="s">
        <v>1080</v>
      </c>
      <c r="AG285" s="41"/>
      <c r="AH285" s="41" t="s">
        <v>1081</v>
      </c>
      <c r="AI285" s="41" t="s">
        <v>1082</v>
      </c>
      <c r="AJ285" s="41"/>
      <c r="AK285" s="41"/>
      <c r="AL285" s="41"/>
    </row>
    <row r="286" spans="1:38" s="50" customFormat="1" ht="15.95" customHeight="1">
      <c r="A286" s="50" t="s">
        <v>1083</v>
      </c>
      <c r="C286" s="317">
        <v>46213</v>
      </c>
      <c r="D286" s="49" t="s">
        <v>1084</v>
      </c>
      <c r="E286" s="44">
        <v>90</v>
      </c>
      <c r="F286" s="44">
        <v>900</v>
      </c>
      <c r="G286" s="77">
        <v>80</v>
      </c>
      <c r="H286" s="77">
        <v>50</v>
      </c>
      <c r="I286" s="48" t="s">
        <v>1073</v>
      </c>
      <c r="J286" s="48" t="s">
        <v>270</v>
      </c>
      <c r="K286" s="47"/>
      <c r="L286" s="47">
        <v>70</v>
      </c>
      <c r="M286" s="47">
        <v>150</v>
      </c>
      <c r="N286" s="605"/>
      <c r="O286" s="604"/>
      <c r="P286" s="46">
        <v>4</v>
      </c>
      <c r="Q286" s="45"/>
      <c r="R286" s="45" t="s">
        <v>1058</v>
      </c>
      <c r="S286" s="43">
        <v>20</v>
      </c>
      <c r="T286" s="606" t="s">
        <v>270</v>
      </c>
      <c r="U286" s="606" t="s">
        <v>270</v>
      </c>
      <c r="V286" s="44">
        <v>10</v>
      </c>
      <c r="W286" s="44">
        <v>6</v>
      </c>
      <c r="X286" s="44">
        <v>15</v>
      </c>
      <c r="Y286" s="44" t="s">
        <v>1042</v>
      </c>
      <c r="Z286" s="44" t="s">
        <v>401</v>
      </c>
      <c r="AA286" s="44"/>
      <c r="AB286" s="44"/>
      <c r="AC286" s="43"/>
      <c r="AD286" s="43"/>
      <c r="AE286" s="42"/>
      <c r="AF286" s="41" t="s">
        <v>1085</v>
      </c>
      <c r="AG286" s="41"/>
      <c r="AH286" s="41" t="s">
        <v>1086</v>
      </c>
      <c r="AI286" s="41" t="s">
        <v>1087</v>
      </c>
      <c r="AJ286" s="41"/>
      <c r="AK286" s="41"/>
      <c r="AL286" s="41"/>
    </row>
    <row r="287" spans="1:38" s="50" customFormat="1" ht="15.95" customHeight="1">
      <c r="A287" s="50" t="s">
        <v>1088</v>
      </c>
      <c r="B287" s="50" t="s">
        <v>1083</v>
      </c>
      <c r="C287" s="318">
        <v>46213</v>
      </c>
      <c r="D287" s="49"/>
      <c r="E287" s="44">
        <v>90</v>
      </c>
      <c r="F287" s="44">
        <v>900</v>
      </c>
      <c r="G287" s="44">
        <v>80</v>
      </c>
      <c r="H287" s="44">
        <v>50</v>
      </c>
      <c r="I287" s="48" t="s">
        <v>1073</v>
      </c>
      <c r="J287" s="48" t="s">
        <v>270</v>
      </c>
      <c r="K287" s="47"/>
      <c r="L287" s="47">
        <v>70</v>
      </c>
      <c r="M287" s="47">
        <v>150</v>
      </c>
      <c r="N287" s="605"/>
      <c r="O287" s="604"/>
      <c r="P287" s="46">
        <v>4</v>
      </c>
      <c r="Q287" s="45"/>
      <c r="R287" s="344" t="s">
        <v>1089</v>
      </c>
      <c r="S287" s="43">
        <v>20</v>
      </c>
      <c r="T287" s="606" t="s">
        <v>270</v>
      </c>
      <c r="U287" s="606" t="s">
        <v>270</v>
      </c>
      <c r="V287" s="44">
        <v>10</v>
      </c>
      <c r="W287" s="44">
        <v>6</v>
      </c>
      <c r="X287" s="44">
        <v>15</v>
      </c>
      <c r="Y287" s="77" t="s">
        <v>1062</v>
      </c>
      <c r="Z287" s="44" t="s">
        <v>401</v>
      </c>
      <c r="AA287" s="344" t="s">
        <v>1058</v>
      </c>
      <c r="AB287" s="43">
        <v>21</v>
      </c>
      <c r="AC287" s="606" t="s">
        <v>270</v>
      </c>
      <c r="AD287" s="606" t="s">
        <v>270</v>
      </c>
      <c r="AE287" s="42"/>
      <c r="AF287" s="41"/>
      <c r="AG287" s="41"/>
      <c r="AH287" s="41" t="s">
        <v>1090</v>
      </c>
      <c r="AI287" s="41"/>
      <c r="AJ287" s="41"/>
      <c r="AK287" s="41"/>
      <c r="AL287" s="41"/>
    </row>
    <row r="288" spans="1:38" s="50" customFormat="1" ht="15.95" customHeight="1">
      <c r="A288" s="50" t="s">
        <v>1091</v>
      </c>
      <c r="B288" s="50" t="s">
        <v>1083</v>
      </c>
      <c r="C288" s="331">
        <v>46214</v>
      </c>
      <c r="D288" s="49"/>
      <c r="E288" s="77">
        <v>60</v>
      </c>
      <c r="F288" s="44">
        <v>900</v>
      </c>
      <c r="G288" s="44">
        <v>80</v>
      </c>
      <c r="H288" s="44">
        <v>50</v>
      </c>
      <c r="I288" s="48" t="s">
        <v>1073</v>
      </c>
      <c r="J288" s="48" t="s">
        <v>270</v>
      </c>
      <c r="K288" s="47"/>
      <c r="L288" s="47">
        <v>70</v>
      </c>
      <c r="M288" s="47">
        <v>150</v>
      </c>
      <c r="N288" s="605"/>
      <c r="O288" s="604"/>
      <c r="P288" s="46">
        <v>4</v>
      </c>
      <c r="Q288" s="45"/>
      <c r="R288" s="45" t="s">
        <v>1058</v>
      </c>
      <c r="S288" s="43">
        <v>20</v>
      </c>
      <c r="T288" s="606" t="s">
        <v>270</v>
      </c>
      <c r="U288" s="606" t="s">
        <v>270</v>
      </c>
      <c r="V288" s="44">
        <v>10</v>
      </c>
      <c r="W288" s="44">
        <v>6</v>
      </c>
      <c r="X288" s="44">
        <v>15</v>
      </c>
      <c r="Y288" s="44" t="s">
        <v>1042</v>
      </c>
      <c r="Z288" s="44" t="s">
        <v>401</v>
      </c>
      <c r="AA288" s="44"/>
      <c r="AB288" s="44"/>
      <c r="AC288" s="43"/>
      <c r="AD288" s="43"/>
      <c r="AE288" s="42"/>
      <c r="AF288" s="41"/>
      <c r="AG288" s="41"/>
      <c r="AH288" s="41" t="s">
        <v>1090</v>
      </c>
      <c r="AI288" s="41"/>
      <c r="AJ288" s="41"/>
      <c r="AK288" s="41"/>
      <c r="AL288" s="41"/>
    </row>
    <row r="289" spans="1:38" s="50" customFormat="1" ht="15.95" customHeight="1">
      <c r="A289" s="50" t="s">
        <v>1092</v>
      </c>
      <c r="B289" s="50" t="s">
        <v>1083</v>
      </c>
      <c r="C289" s="316">
        <v>46215</v>
      </c>
      <c r="D289" s="49"/>
      <c r="E289" s="44">
        <v>60</v>
      </c>
      <c r="F289" s="44">
        <v>900</v>
      </c>
      <c r="G289" s="44">
        <v>80</v>
      </c>
      <c r="H289" s="44">
        <v>50</v>
      </c>
      <c r="I289" s="48" t="s">
        <v>1073</v>
      </c>
      <c r="J289" s="48" t="s">
        <v>270</v>
      </c>
      <c r="K289" s="47"/>
      <c r="L289" s="362">
        <v>50</v>
      </c>
      <c r="M289" s="47">
        <v>150</v>
      </c>
      <c r="N289" s="605"/>
      <c r="O289" s="604"/>
      <c r="P289" s="46">
        <v>4</v>
      </c>
      <c r="Q289" s="45"/>
      <c r="R289" s="45" t="s">
        <v>1058</v>
      </c>
      <c r="S289" s="43">
        <v>20</v>
      </c>
      <c r="T289" s="606" t="s">
        <v>270</v>
      </c>
      <c r="U289" s="606" t="s">
        <v>270</v>
      </c>
      <c r="V289" s="44">
        <v>10</v>
      </c>
      <c r="W289" s="44">
        <v>6</v>
      </c>
      <c r="X289" s="44">
        <v>15</v>
      </c>
      <c r="Y289" s="44" t="s">
        <v>1042</v>
      </c>
      <c r="Z289" s="44" t="s">
        <v>401</v>
      </c>
      <c r="AA289" s="44"/>
      <c r="AB289" s="44"/>
      <c r="AC289" s="43"/>
      <c r="AD289" s="43"/>
      <c r="AE289" s="42"/>
      <c r="AF289" s="41" t="s">
        <v>1080</v>
      </c>
      <c r="AG289" s="41"/>
      <c r="AH289" s="41"/>
      <c r="AI289" s="41"/>
      <c r="AJ289" s="41"/>
      <c r="AK289" s="41"/>
      <c r="AL289" s="41"/>
    </row>
    <row r="290" spans="1:38" s="50" customFormat="1" ht="15.95" customHeight="1">
      <c r="A290" s="50" t="s">
        <v>1093</v>
      </c>
      <c r="C290" s="317">
        <v>46215</v>
      </c>
      <c r="D290" s="49"/>
      <c r="E290" s="44">
        <v>90</v>
      </c>
      <c r="F290" s="44">
        <v>900</v>
      </c>
      <c r="G290" s="44">
        <v>200</v>
      </c>
      <c r="H290" s="44">
        <v>150</v>
      </c>
      <c r="I290" s="48" t="s">
        <v>1073</v>
      </c>
      <c r="J290" s="48" t="s">
        <v>270</v>
      </c>
      <c r="K290" s="47"/>
      <c r="L290" s="47">
        <v>100</v>
      </c>
      <c r="M290" s="47">
        <v>200</v>
      </c>
      <c r="N290" s="605"/>
      <c r="O290" s="604"/>
      <c r="P290" s="46" t="s">
        <v>270</v>
      </c>
      <c r="Q290" s="45"/>
      <c r="R290" s="45" t="s">
        <v>1058</v>
      </c>
      <c r="S290" s="43" t="s">
        <v>270</v>
      </c>
      <c r="T290" s="606" t="s">
        <v>270</v>
      </c>
      <c r="U290" s="606" t="s">
        <v>270</v>
      </c>
      <c r="V290" s="44" t="s">
        <v>270</v>
      </c>
      <c r="W290" s="44">
        <v>6</v>
      </c>
      <c r="X290" s="44">
        <v>30</v>
      </c>
      <c r="Y290" s="44" t="s">
        <v>270</v>
      </c>
      <c r="Z290" s="44" t="s">
        <v>270</v>
      </c>
      <c r="AA290" s="44"/>
      <c r="AB290" s="44"/>
      <c r="AC290" s="43"/>
      <c r="AD290" s="43"/>
      <c r="AE290" s="42"/>
      <c r="AF290" s="41"/>
      <c r="AG290" s="41"/>
      <c r="AH290" s="41"/>
      <c r="AI290" s="41"/>
      <c r="AJ290" s="41"/>
      <c r="AK290" s="41"/>
      <c r="AL290" s="41"/>
    </row>
    <row r="291" spans="1:38" s="50" customFormat="1" ht="15.95" customHeight="1">
      <c r="A291" s="50" t="s">
        <v>1094</v>
      </c>
      <c r="B291" s="50" t="s">
        <v>1083</v>
      </c>
      <c r="C291" s="317">
        <v>46215</v>
      </c>
      <c r="D291" s="49"/>
      <c r="E291" s="44">
        <v>60</v>
      </c>
      <c r="F291" s="44">
        <v>900</v>
      </c>
      <c r="G291" s="44">
        <v>80</v>
      </c>
      <c r="H291" s="44">
        <v>50</v>
      </c>
      <c r="I291" s="48" t="s">
        <v>1073</v>
      </c>
      <c r="J291" s="48" t="s">
        <v>270</v>
      </c>
      <c r="K291" s="47"/>
      <c r="L291" s="47">
        <v>50</v>
      </c>
      <c r="M291" s="47">
        <v>150</v>
      </c>
      <c r="N291" s="605"/>
      <c r="O291" s="604"/>
      <c r="P291" s="46">
        <v>4</v>
      </c>
      <c r="Q291" s="45"/>
      <c r="R291" s="45" t="s">
        <v>1058</v>
      </c>
      <c r="S291" s="43">
        <v>20</v>
      </c>
      <c r="T291" s="606" t="s">
        <v>270</v>
      </c>
      <c r="U291" s="606" t="s">
        <v>270</v>
      </c>
      <c r="V291" s="44">
        <v>10</v>
      </c>
      <c r="W291" s="44">
        <v>6</v>
      </c>
      <c r="X291" s="44">
        <v>15</v>
      </c>
      <c r="Y291" s="44" t="s">
        <v>270</v>
      </c>
      <c r="Z291" s="44" t="s">
        <v>401</v>
      </c>
      <c r="AA291" s="44"/>
      <c r="AB291" s="44"/>
      <c r="AC291" s="43"/>
      <c r="AD291" s="43"/>
      <c r="AE291" s="42"/>
      <c r="AF291" s="41" t="s">
        <v>1095</v>
      </c>
      <c r="AG291" s="41"/>
      <c r="AH291" s="41" t="s">
        <v>1086</v>
      </c>
      <c r="AI291" s="41" t="s">
        <v>1096</v>
      </c>
      <c r="AJ291" s="41"/>
      <c r="AK291" s="41"/>
      <c r="AL291" s="41"/>
    </row>
    <row r="292" spans="1:38" s="50" customFormat="1" ht="15.95" customHeight="1">
      <c r="A292" s="50" t="s">
        <v>1093</v>
      </c>
      <c r="C292" s="318">
        <v>46215</v>
      </c>
      <c r="D292" s="49"/>
      <c r="E292" s="44">
        <v>90</v>
      </c>
      <c r="F292" s="44">
        <v>900</v>
      </c>
      <c r="G292" s="44">
        <v>200</v>
      </c>
      <c r="H292" s="44">
        <v>150</v>
      </c>
      <c r="I292" s="48" t="s">
        <v>1073</v>
      </c>
      <c r="J292" s="48" t="s">
        <v>270</v>
      </c>
      <c r="K292" s="47"/>
      <c r="L292" s="47">
        <v>100</v>
      </c>
      <c r="M292" s="47">
        <v>200</v>
      </c>
      <c r="N292" s="605"/>
      <c r="O292" s="604"/>
      <c r="P292" s="46" t="s">
        <v>270</v>
      </c>
      <c r="Q292" s="45"/>
      <c r="R292" s="45" t="s">
        <v>1058</v>
      </c>
      <c r="S292" s="43" t="s">
        <v>270</v>
      </c>
      <c r="T292" s="606" t="s">
        <v>270</v>
      </c>
      <c r="U292" s="606" t="s">
        <v>270</v>
      </c>
      <c r="V292" s="44" t="s">
        <v>270</v>
      </c>
      <c r="W292" s="44">
        <v>6</v>
      </c>
      <c r="X292" s="44">
        <v>30</v>
      </c>
      <c r="Y292" s="44" t="s">
        <v>270</v>
      </c>
      <c r="Z292" s="44" t="s">
        <v>270</v>
      </c>
      <c r="AA292" s="44"/>
      <c r="AB292" s="44"/>
      <c r="AC292" s="43"/>
      <c r="AD292" s="43"/>
      <c r="AE292" s="42"/>
      <c r="AF292" s="41"/>
      <c r="AG292" s="41"/>
      <c r="AH292" s="41"/>
      <c r="AI292" s="41"/>
      <c r="AJ292" s="41"/>
      <c r="AK292" s="41"/>
      <c r="AL292" s="41"/>
    </row>
    <row r="293" spans="1:38" s="50" customFormat="1" ht="15.95" customHeight="1">
      <c r="A293" s="50" t="s">
        <v>1097</v>
      </c>
      <c r="B293" s="50" t="s">
        <v>1083</v>
      </c>
      <c r="C293" s="316">
        <v>46216</v>
      </c>
      <c r="D293" s="49" t="s">
        <v>1098</v>
      </c>
      <c r="E293" s="44">
        <v>90</v>
      </c>
      <c r="F293" s="44">
        <v>900</v>
      </c>
      <c r="G293" s="77">
        <v>80</v>
      </c>
      <c r="H293" s="77">
        <v>50</v>
      </c>
      <c r="I293" s="48" t="s">
        <v>1073</v>
      </c>
      <c r="J293" s="48" t="s">
        <v>270</v>
      </c>
      <c r="K293" s="47"/>
      <c r="L293" s="47">
        <v>70</v>
      </c>
      <c r="M293" s="47">
        <v>150</v>
      </c>
      <c r="N293" s="605"/>
      <c r="O293" s="604"/>
      <c r="P293" s="46">
        <v>4</v>
      </c>
      <c r="Q293" s="45"/>
      <c r="R293" s="45" t="s">
        <v>1058</v>
      </c>
      <c r="S293" s="43">
        <v>20</v>
      </c>
      <c r="T293" s="606" t="s">
        <v>270</v>
      </c>
      <c r="U293" s="606" t="s">
        <v>270</v>
      </c>
      <c r="V293" s="44">
        <v>10</v>
      </c>
      <c r="W293" s="44">
        <v>6</v>
      </c>
      <c r="X293" s="44">
        <v>15</v>
      </c>
      <c r="Y293" s="44" t="s">
        <v>1042</v>
      </c>
      <c r="Z293" s="44" t="s">
        <v>401</v>
      </c>
      <c r="AA293" s="44"/>
      <c r="AB293" s="44"/>
      <c r="AC293" s="43"/>
      <c r="AD293" s="43"/>
      <c r="AE293" s="42"/>
      <c r="AF293" s="41"/>
      <c r="AG293" s="50" t="s">
        <v>1099</v>
      </c>
      <c r="AL293" s="41"/>
    </row>
    <row r="294" spans="1:38" s="50" customFormat="1" ht="15.95" customHeight="1">
      <c r="A294" s="50" t="s">
        <v>1072</v>
      </c>
      <c r="C294" s="317">
        <v>46216</v>
      </c>
      <c r="D294" s="49"/>
      <c r="E294" s="44">
        <v>90</v>
      </c>
      <c r="F294" s="44">
        <v>900</v>
      </c>
      <c r="G294" s="44">
        <v>200</v>
      </c>
      <c r="H294" s="44">
        <v>150</v>
      </c>
      <c r="I294" s="82" t="s">
        <v>1100</v>
      </c>
      <c r="J294" s="48" t="s">
        <v>270</v>
      </c>
      <c r="K294" s="47"/>
      <c r="L294" s="47">
        <v>100</v>
      </c>
      <c r="M294" s="47">
        <v>200</v>
      </c>
      <c r="N294" s="605"/>
      <c r="O294" s="604"/>
      <c r="P294" s="46" t="s">
        <v>270</v>
      </c>
      <c r="Q294" s="45"/>
      <c r="R294" s="45" t="s">
        <v>1058</v>
      </c>
      <c r="S294" s="43" t="s">
        <v>270</v>
      </c>
      <c r="T294" s="606" t="s">
        <v>270</v>
      </c>
      <c r="U294" s="606" t="s">
        <v>270</v>
      </c>
      <c r="V294" s="44" t="s">
        <v>270</v>
      </c>
      <c r="W294" s="44">
        <v>6</v>
      </c>
      <c r="X294" s="44">
        <v>30</v>
      </c>
      <c r="Y294" s="44" t="s">
        <v>270</v>
      </c>
      <c r="Z294" s="44" t="s">
        <v>270</v>
      </c>
      <c r="AA294" s="44"/>
      <c r="AB294" s="44"/>
      <c r="AC294" s="43"/>
      <c r="AD294" s="43"/>
      <c r="AE294" s="42"/>
      <c r="AG294" s="41"/>
      <c r="AH294" s="41"/>
      <c r="AI294" s="41"/>
      <c r="AJ294" s="41"/>
      <c r="AK294" s="41"/>
      <c r="AL294" s="41"/>
    </row>
    <row r="295" spans="1:38" s="50" customFormat="1" ht="15.95" customHeight="1">
      <c r="A295" s="50" t="s">
        <v>1101</v>
      </c>
      <c r="C295" s="317">
        <v>46216</v>
      </c>
      <c r="D295" s="49"/>
      <c r="E295" s="44">
        <v>90</v>
      </c>
      <c r="F295" s="44">
        <v>900</v>
      </c>
      <c r="G295" s="44">
        <v>80</v>
      </c>
      <c r="H295" s="44">
        <v>50</v>
      </c>
      <c r="I295" s="82" t="s">
        <v>1100</v>
      </c>
      <c r="J295" s="48" t="s">
        <v>270</v>
      </c>
      <c r="K295" s="47"/>
      <c r="L295" s="47">
        <v>70</v>
      </c>
      <c r="M295" s="47">
        <v>150</v>
      </c>
      <c r="N295" s="605"/>
      <c r="O295" s="604"/>
      <c r="P295" s="46">
        <v>4</v>
      </c>
      <c r="Q295" s="45"/>
      <c r="R295" s="45" t="s">
        <v>1058</v>
      </c>
      <c r="S295" s="43">
        <v>20</v>
      </c>
      <c r="T295" s="606" t="s">
        <v>270</v>
      </c>
      <c r="U295" s="606" t="s">
        <v>270</v>
      </c>
      <c r="V295" s="44">
        <v>10</v>
      </c>
      <c r="W295" s="44">
        <v>6</v>
      </c>
      <c r="X295" s="44">
        <v>15</v>
      </c>
      <c r="Y295" s="44" t="s">
        <v>1042</v>
      </c>
      <c r="Z295" s="44" t="s">
        <v>401</v>
      </c>
      <c r="AA295" s="44"/>
      <c r="AB295" s="44"/>
      <c r="AC295" s="43"/>
      <c r="AD295" s="43"/>
      <c r="AE295" s="42"/>
      <c r="AF295" s="41" t="s">
        <v>1080</v>
      </c>
      <c r="AG295" s="41"/>
      <c r="AH295" s="41" t="s">
        <v>1102</v>
      </c>
      <c r="AI295" s="41"/>
      <c r="AJ295" s="41"/>
      <c r="AK295" s="41"/>
      <c r="AL295" s="41"/>
    </row>
    <row r="296" spans="1:38" s="50" customFormat="1" ht="15.95" customHeight="1">
      <c r="A296" s="50" t="s">
        <v>1072</v>
      </c>
      <c r="C296" s="318">
        <v>46216</v>
      </c>
      <c r="D296" s="49"/>
      <c r="E296" s="44">
        <v>90</v>
      </c>
      <c r="F296" s="44">
        <v>900</v>
      </c>
      <c r="G296" s="44">
        <v>200</v>
      </c>
      <c r="H296" s="44">
        <v>150</v>
      </c>
      <c r="I296" s="48" t="s">
        <v>1073</v>
      </c>
      <c r="J296" s="48" t="s">
        <v>270</v>
      </c>
      <c r="K296" s="47"/>
      <c r="L296" s="47">
        <v>100</v>
      </c>
      <c r="M296" s="47">
        <v>200</v>
      </c>
      <c r="N296" s="605"/>
      <c r="O296" s="604"/>
      <c r="P296" s="46" t="s">
        <v>270</v>
      </c>
      <c r="Q296" s="45"/>
      <c r="R296" s="45" t="s">
        <v>1058</v>
      </c>
      <c r="S296" s="43" t="s">
        <v>270</v>
      </c>
      <c r="T296" s="606" t="s">
        <v>270</v>
      </c>
      <c r="U296" s="606" t="s">
        <v>270</v>
      </c>
      <c r="V296" s="44" t="s">
        <v>270</v>
      </c>
      <c r="W296" s="44">
        <v>6</v>
      </c>
      <c r="X296" s="44">
        <v>30</v>
      </c>
      <c r="Y296" s="44" t="s">
        <v>270</v>
      </c>
      <c r="Z296" s="44" t="s">
        <v>270</v>
      </c>
      <c r="AA296" s="44"/>
      <c r="AB296" s="44"/>
      <c r="AC296" s="43"/>
      <c r="AD296" s="43"/>
      <c r="AE296" s="42"/>
      <c r="AF296" s="41"/>
      <c r="AG296" s="41"/>
      <c r="AH296" s="41"/>
      <c r="AI296" s="41"/>
      <c r="AJ296" s="41"/>
      <c r="AK296" s="41"/>
      <c r="AL296" s="41"/>
    </row>
    <row r="297" spans="1:38" s="50" customFormat="1" ht="15.95" customHeight="1">
      <c r="A297" s="50" t="s">
        <v>1103</v>
      </c>
      <c r="B297" s="50" t="s">
        <v>1101</v>
      </c>
      <c r="C297" s="316">
        <v>46217</v>
      </c>
      <c r="D297" s="49" t="s">
        <v>1104</v>
      </c>
      <c r="E297" s="44">
        <v>90</v>
      </c>
      <c r="F297" s="44">
        <v>900</v>
      </c>
      <c r="G297" s="44">
        <v>80</v>
      </c>
      <c r="H297" s="44">
        <v>50</v>
      </c>
      <c r="I297" s="48" t="s">
        <v>1073</v>
      </c>
      <c r="J297" s="48" t="s">
        <v>270</v>
      </c>
      <c r="K297" s="47"/>
      <c r="L297" s="47">
        <v>70</v>
      </c>
      <c r="M297" s="47">
        <v>150</v>
      </c>
      <c r="N297" s="605"/>
      <c r="O297" s="604"/>
      <c r="P297" s="46">
        <v>4</v>
      </c>
      <c r="Q297" s="45"/>
      <c r="R297" s="45" t="s">
        <v>1058</v>
      </c>
      <c r="S297" s="43">
        <v>20</v>
      </c>
      <c r="T297" s="606" t="s">
        <v>270</v>
      </c>
      <c r="U297" s="606" t="s">
        <v>270</v>
      </c>
      <c r="V297" s="44">
        <v>10</v>
      </c>
      <c r="W297" s="44">
        <v>6</v>
      </c>
      <c r="X297" s="44">
        <v>15</v>
      </c>
      <c r="Y297" s="44" t="s">
        <v>1042</v>
      </c>
      <c r="Z297" s="44" t="s">
        <v>401</v>
      </c>
      <c r="AA297" s="44"/>
      <c r="AB297" s="44"/>
      <c r="AC297" s="43"/>
      <c r="AD297" s="43"/>
      <c r="AE297" s="42"/>
      <c r="AF297" s="41" t="s">
        <v>1105</v>
      </c>
      <c r="AG297" s="41"/>
      <c r="AH297" s="41" t="s">
        <v>1106</v>
      </c>
      <c r="AI297" s="41"/>
      <c r="AJ297" s="41"/>
      <c r="AK297" s="41"/>
      <c r="AL297" s="41"/>
    </row>
    <row r="298" spans="1:38" s="50" customFormat="1" ht="15.95" customHeight="1">
      <c r="A298" s="50" t="s">
        <v>1072</v>
      </c>
      <c r="C298" s="317">
        <v>46217</v>
      </c>
      <c r="D298" s="49"/>
      <c r="E298" s="44">
        <v>90</v>
      </c>
      <c r="F298" s="44">
        <v>900</v>
      </c>
      <c r="G298" s="44">
        <v>200</v>
      </c>
      <c r="H298" s="44">
        <v>150</v>
      </c>
      <c r="I298" s="48" t="s">
        <v>1073</v>
      </c>
      <c r="J298" s="48" t="s">
        <v>270</v>
      </c>
      <c r="K298" s="47"/>
      <c r="L298" s="47">
        <v>100</v>
      </c>
      <c r="M298" s="47">
        <v>200</v>
      </c>
      <c r="N298" s="605"/>
      <c r="O298" s="604"/>
      <c r="P298" s="46" t="s">
        <v>270</v>
      </c>
      <c r="Q298" s="45"/>
      <c r="R298" s="45" t="s">
        <v>1058</v>
      </c>
      <c r="S298" s="43" t="s">
        <v>270</v>
      </c>
      <c r="T298" s="606" t="s">
        <v>270</v>
      </c>
      <c r="U298" s="606" t="s">
        <v>270</v>
      </c>
      <c r="V298" s="44" t="s">
        <v>270</v>
      </c>
      <c r="W298" s="44">
        <v>6</v>
      </c>
      <c r="X298" s="44">
        <v>30</v>
      </c>
      <c r="Y298" s="44" t="s">
        <v>270</v>
      </c>
      <c r="Z298" s="44" t="s">
        <v>270</v>
      </c>
      <c r="AA298" s="44"/>
      <c r="AB298" s="44"/>
      <c r="AC298" s="43"/>
      <c r="AD298" s="43"/>
      <c r="AE298" s="42"/>
      <c r="AF298" s="41"/>
      <c r="AG298" s="41"/>
      <c r="AH298" s="41"/>
      <c r="AI298" s="41"/>
      <c r="AJ298" s="41"/>
      <c r="AK298" s="41"/>
      <c r="AL298" s="41"/>
    </row>
    <row r="299" spans="1:38" s="50" customFormat="1" ht="15.95" customHeight="1">
      <c r="A299" s="342" t="s">
        <v>1107</v>
      </c>
      <c r="C299" s="318">
        <v>46217</v>
      </c>
      <c r="D299" s="49" t="s">
        <v>1108</v>
      </c>
      <c r="E299" s="44">
        <v>90</v>
      </c>
      <c r="F299" s="44">
        <v>900</v>
      </c>
      <c r="G299" s="44">
        <v>80</v>
      </c>
      <c r="H299" s="44">
        <v>50</v>
      </c>
      <c r="I299" s="48" t="s">
        <v>1073</v>
      </c>
      <c r="J299" s="48" t="s">
        <v>270</v>
      </c>
      <c r="K299" s="47"/>
      <c r="L299" s="47">
        <v>70</v>
      </c>
      <c r="M299" s="47">
        <v>150</v>
      </c>
      <c r="N299" s="605"/>
      <c r="O299" s="604"/>
      <c r="P299" s="46">
        <v>4</v>
      </c>
      <c r="Q299" s="45"/>
      <c r="R299" s="45" t="s">
        <v>1058</v>
      </c>
      <c r="S299" s="83">
        <v>30</v>
      </c>
      <c r="T299" s="606" t="s">
        <v>270</v>
      </c>
      <c r="U299" s="606" t="s">
        <v>270</v>
      </c>
      <c r="V299" s="44">
        <v>10</v>
      </c>
      <c r="W299" s="44">
        <v>6</v>
      </c>
      <c r="X299" s="44">
        <v>15</v>
      </c>
      <c r="Y299" s="44" t="s">
        <v>1042</v>
      </c>
      <c r="Z299" s="44" t="s">
        <v>401</v>
      </c>
      <c r="AA299" s="44"/>
      <c r="AB299" s="44"/>
      <c r="AC299" s="43"/>
      <c r="AD299" s="43"/>
      <c r="AE299" s="583" t="s">
        <v>1109</v>
      </c>
      <c r="AF299" s="41" t="s">
        <v>1110</v>
      </c>
      <c r="AG299" s="41" t="s">
        <v>1111</v>
      </c>
      <c r="AH299" s="41"/>
      <c r="AI299" s="41"/>
      <c r="AJ299" s="41"/>
      <c r="AK299" s="41"/>
      <c r="AL299" s="41"/>
    </row>
    <row r="300" spans="1:38" s="50" customFormat="1" ht="15.95" customHeight="1">
      <c r="A300" s="584" t="s">
        <v>1112</v>
      </c>
      <c r="B300" s="50" t="s">
        <v>1101</v>
      </c>
      <c r="C300" s="316">
        <v>46218</v>
      </c>
      <c r="D300" s="49"/>
      <c r="E300" s="44">
        <v>90</v>
      </c>
      <c r="F300" s="44">
        <v>900</v>
      </c>
      <c r="G300" s="44">
        <v>80</v>
      </c>
      <c r="H300" s="44">
        <v>50</v>
      </c>
      <c r="I300" s="48" t="s">
        <v>1073</v>
      </c>
      <c r="J300" s="48" t="s">
        <v>270</v>
      </c>
      <c r="K300" s="47"/>
      <c r="L300" s="47">
        <v>70</v>
      </c>
      <c r="M300" s="47">
        <v>150</v>
      </c>
      <c r="N300" s="605"/>
      <c r="O300" s="604"/>
      <c r="P300" s="46">
        <v>4</v>
      </c>
      <c r="Q300" s="45"/>
      <c r="R300" s="45" t="s">
        <v>1058</v>
      </c>
      <c r="S300" s="83">
        <v>20</v>
      </c>
      <c r="T300" s="606" t="s">
        <v>270</v>
      </c>
      <c r="U300" s="606" t="s">
        <v>270</v>
      </c>
      <c r="V300" s="44">
        <v>10</v>
      </c>
      <c r="W300" s="44">
        <v>6</v>
      </c>
      <c r="X300" s="44">
        <v>15</v>
      </c>
      <c r="Y300" s="44" t="s">
        <v>1042</v>
      </c>
      <c r="Z300" s="44" t="s">
        <v>401</v>
      </c>
      <c r="AA300" s="44"/>
      <c r="AB300" s="44"/>
      <c r="AC300" s="43"/>
      <c r="AD300" s="43"/>
      <c r="AE300" s="42"/>
      <c r="AF300" s="41"/>
      <c r="AG300" s="41"/>
      <c r="AH300" s="41"/>
      <c r="AI300" s="41"/>
      <c r="AJ300" s="41"/>
      <c r="AK300" s="41"/>
      <c r="AL300" s="41"/>
    </row>
    <row r="301" spans="1:38" s="50" customFormat="1" ht="15.95" customHeight="1">
      <c r="A301" s="50" t="s">
        <v>1072</v>
      </c>
      <c r="C301" s="317">
        <v>46218</v>
      </c>
      <c r="D301" s="49"/>
      <c r="E301" s="44"/>
      <c r="F301" s="44"/>
      <c r="G301" s="44"/>
      <c r="H301" s="44"/>
      <c r="I301" s="48"/>
      <c r="J301" s="48"/>
      <c r="K301" s="47"/>
      <c r="L301" s="47"/>
      <c r="M301" s="47"/>
      <c r="N301" s="93"/>
      <c r="O301" s="98"/>
      <c r="P301" s="46"/>
      <c r="Q301" s="45"/>
      <c r="R301" s="45"/>
      <c r="S301" s="43"/>
      <c r="T301" s="91"/>
      <c r="U301" s="91"/>
      <c r="V301" s="44"/>
      <c r="W301" s="44"/>
      <c r="X301" s="44"/>
      <c r="Y301" s="44"/>
      <c r="Z301" s="44"/>
      <c r="AA301" s="44"/>
      <c r="AB301" s="44"/>
      <c r="AC301" s="43"/>
      <c r="AD301" s="43"/>
      <c r="AE301" s="42"/>
      <c r="AF301" s="41"/>
      <c r="AG301" s="41"/>
      <c r="AH301" s="41"/>
      <c r="AI301" s="41"/>
      <c r="AJ301" s="41"/>
      <c r="AK301" s="41"/>
      <c r="AL301" s="41"/>
    </row>
    <row r="302" spans="1:38" s="50" customFormat="1" ht="15.95" customHeight="1">
      <c r="A302" s="584" t="s">
        <v>1113</v>
      </c>
      <c r="C302" s="317">
        <v>46218</v>
      </c>
      <c r="D302" s="49"/>
      <c r="E302" s="77">
        <v>70</v>
      </c>
      <c r="F302" s="44">
        <v>900</v>
      </c>
      <c r="G302" s="44">
        <v>80</v>
      </c>
      <c r="H302" s="44">
        <v>50</v>
      </c>
      <c r="I302" s="48" t="s">
        <v>1073</v>
      </c>
      <c r="J302" s="48" t="s">
        <v>270</v>
      </c>
      <c r="K302" s="47"/>
      <c r="L302" s="47">
        <v>70</v>
      </c>
      <c r="M302" s="47">
        <v>150</v>
      </c>
      <c r="N302" s="605"/>
      <c r="O302" s="604"/>
      <c r="P302" s="46">
        <v>4</v>
      </c>
      <c r="Q302" s="45"/>
      <c r="R302" s="45" t="s">
        <v>1058</v>
      </c>
      <c r="S302" s="43">
        <v>20</v>
      </c>
      <c r="T302" s="606" t="s">
        <v>270</v>
      </c>
      <c r="U302" s="606" t="s">
        <v>270</v>
      </c>
      <c r="V302" s="44">
        <v>10</v>
      </c>
      <c r="W302" s="44">
        <v>6</v>
      </c>
      <c r="X302" s="44">
        <v>15</v>
      </c>
      <c r="Y302" s="44" t="s">
        <v>1042</v>
      </c>
      <c r="Z302" s="44" t="s">
        <v>401</v>
      </c>
      <c r="AA302" s="44"/>
      <c r="AB302" s="44"/>
      <c r="AC302" s="43"/>
      <c r="AD302" s="43"/>
      <c r="AE302" s="42"/>
      <c r="AF302" s="41" t="s">
        <v>1114</v>
      </c>
      <c r="AG302" s="41"/>
      <c r="AH302" s="41" t="s">
        <v>1115</v>
      </c>
      <c r="AI302" s="41"/>
      <c r="AJ302" s="41"/>
      <c r="AK302" s="41"/>
      <c r="AL302" s="41"/>
    </row>
    <row r="303" spans="1:38" s="50" customFormat="1" ht="15.95" customHeight="1">
      <c r="A303" s="50" t="s">
        <v>1072</v>
      </c>
      <c r="C303" s="318">
        <v>46218</v>
      </c>
      <c r="D303" s="49"/>
      <c r="E303" s="44"/>
      <c r="F303" s="44"/>
      <c r="G303" s="44"/>
      <c r="H303" s="44"/>
      <c r="I303" s="48"/>
      <c r="J303" s="48"/>
      <c r="K303" s="47"/>
      <c r="L303" s="47"/>
      <c r="M303" s="47"/>
      <c r="N303" s="93"/>
      <c r="O303" s="98"/>
      <c r="P303" s="46"/>
      <c r="Q303" s="45"/>
      <c r="R303" s="45"/>
      <c r="S303" s="43"/>
      <c r="T303" s="91"/>
      <c r="U303" s="91"/>
      <c r="V303" s="44"/>
      <c r="W303" s="44"/>
      <c r="X303" s="44"/>
      <c r="Y303" s="44"/>
      <c r="Z303" s="44"/>
      <c r="AA303" s="44"/>
      <c r="AB303" s="44"/>
      <c r="AC303" s="43"/>
      <c r="AD303" s="43"/>
      <c r="AE303" s="42"/>
      <c r="AF303" s="41"/>
      <c r="AG303" s="41"/>
      <c r="AH303" s="41"/>
      <c r="AI303" s="41"/>
      <c r="AJ303" s="41"/>
      <c r="AK303" s="41"/>
      <c r="AL303" s="41"/>
    </row>
    <row r="304" spans="1:38" s="50" customFormat="1" ht="15.95" customHeight="1">
      <c r="A304" s="584" t="s">
        <v>1116</v>
      </c>
      <c r="B304" s="50" t="s">
        <v>1112</v>
      </c>
      <c r="C304" s="316">
        <v>46219</v>
      </c>
      <c r="D304" s="49"/>
      <c r="E304" s="44">
        <v>90</v>
      </c>
      <c r="F304" s="44">
        <v>900</v>
      </c>
      <c r="G304" s="44">
        <v>80</v>
      </c>
      <c r="H304" s="44">
        <v>50</v>
      </c>
      <c r="I304" s="48" t="s">
        <v>1073</v>
      </c>
      <c r="J304" s="48" t="s">
        <v>270</v>
      </c>
      <c r="K304" s="47"/>
      <c r="L304" s="362">
        <v>50</v>
      </c>
      <c r="M304" s="47">
        <v>150</v>
      </c>
      <c r="N304" s="605"/>
      <c r="O304" s="604"/>
      <c r="P304" s="46">
        <v>4</v>
      </c>
      <c r="Q304" s="45"/>
      <c r="R304" s="45" t="s">
        <v>1058</v>
      </c>
      <c r="S304" s="43">
        <v>20</v>
      </c>
      <c r="T304" s="606" t="s">
        <v>270</v>
      </c>
      <c r="U304" s="606" t="s">
        <v>270</v>
      </c>
      <c r="V304" s="44">
        <v>10</v>
      </c>
      <c r="W304" s="44">
        <v>6</v>
      </c>
      <c r="X304" s="44">
        <v>15</v>
      </c>
      <c r="Y304" s="44" t="s">
        <v>1042</v>
      </c>
      <c r="Z304" s="44" t="s">
        <v>401</v>
      </c>
      <c r="AA304" s="44"/>
      <c r="AB304" s="44"/>
      <c r="AC304" s="43"/>
      <c r="AD304" s="43"/>
      <c r="AE304" s="42"/>
      <c r="AF304" s="41" t="s">
        <v>1117</v>
      </c>
      <c r="AG304" s="41"/>
      <c r="AH304" s="41" t="s">
        <v>1118</v>
      </c>
      <c r="AI304" s="41" t="s">
        <v>1119</v>
      </c>
      <c r="AJ304" s="41"/>
      <c r="AK304" s="41"/>
      <c r="AL304" s="41"/>
    </row>
    <row r="305" spans="1:38" s="50" customFormat="1" ht="15.95" customHeight="1">
      <c r="A305" s="50" t="s">
        <v>1072</v>
      </c>
      <c r="C305" s="317">
        <v>46219</v>
      </c>
      <c r="D305" s="49"/>
      <c r="E305" s="44"/>
      <c r="F305" s="44"/>
      <c r="G305" s="44"/>
      <c r="H305" s="44"/>
      <c r="I305" s="48"/>
      <c r="J305" s="48"/>
      <c r="K305" s="47"/>
      <c r="L305" s="47"/>
      <c r="M305" s="47"/>
      <c r="N305" s="93"/>
      <c r="O305" s="98"/>
      <c r="P305" s="46"/>
      <c r="Q305" s="45"/>
      <c r="R305" s="45"/>
      <c r="S305" s="43"/>
      <c r="T305" s="91"/>
      <c r="U305" s="91"/>
      <c r="V305" s="44"/>
      <c r="W305" s="44"/>
      <c r="X305" s="44"/>
      <c r="Y305" s="44"/>
      <c r="Z305" s="44"/>
      <c r="AA305" s="44"/>
      <c r="AB305" s="44"/>
      <c r="AC305" s="43"/>
      <c r="AD305" s="43"/>
      <c r="AE305" s="42"/>
      <c r="AF305" s="41"/>
      <c r="AG305" s="41"/>
      <c r="AH305" s="41"/>
      <c r="AI305" s="41"/>
      <c r="AJ305" s="41"/>
      <c r="AK305" s="41"/>
      <c r="AL305" s="41"/>
    </row>
    <row r="306" spans="1:38" s="50" customFormat="1" ht="15.95" customHeight="1">
      <c r="A306" s="50" t="s">
        <v>1120</v>
      </c>
      <c r="B306" s="50" t="s">
        <v>1112</v>
      </c>
      <c r="C306" s="318">
        <v>46219</v>
      </c>
      <c r="D306" s="49" t="s">
        <v>1121</v>
      </c>
      <c r="E306" s="44">
        <v>90</v>
      </c>
      <c r="F306" s="44">
        <v>900</v>
      </c>
      <c r="G306" s="44">
        <v>80</v>
      </c>
      <c r="H306" s="44">
        <v>50</v>
      </c>
      <c r="I306" s="48" t="s">
        <v>1073</v>
      </c>
      <c r="J306" s="48" t="s">
        <v>270</v>
      </c>
      <c r="K306" s="47"/>
      <c r="L306" s="47">
        <v>70</v>
      </c>
      <c r="M306" s="47">
        <v>150</v>
      </c>
      <c r="N306" s="605"/>
      <c r="O306" s="604"/>
      <c r="P306" s="46">
        <v>4</v>
      </c>
      <c r="Q306" s="45"/>
      <c r="R306" s="45" t="s">
        <v>1058</v>
      </c>
      <c r="S306" s="270">
        <v>20</v>
      </c>
      <c r="T306" s="606" t="s">
        <v>270</v>
      </c>
      <c r="U306" s="606" t="s">
        <v>270</v>
      </c>
      <c r="V306" s="44">
        <v>10</v>
      </c>
      <c r="W306" s="44">
        <v>6</v>
      </c>
      <c r="X306" s="44">
        <v>15</v>
      </c>
      <c r="Y306" s="44" t="s">
        <v>1042</v>
      </c>
      <c r="Z306" s="44" t="s">
        <v>401</v>
      </c>
      <c r="AA306" s="44"/>
      <c r="AB306" s="44"/>
      <c r="AC306" s="43"/>
      <c r="AD306" s="43"/>
      <c r="AE306" s="42" t="s">
        <v>1122</v>
      </c>
      <c r="AF306" s="41" t="s">
        <v>1123</v>
      </c>
      <c r="AG306" s="41"/>
      <c r="AH306" s="41" t="s">
        <v>1124</v>
      </c>
      <c r="AI306" s="41"/>
      <c r="AJ306" s="41"/>
      <c r="AK306" s="41"/>
      <c r="AL306" s="41"/>
    </row>
    <row r="307" spans="1:38" s="50" customFormat="1" ht="15.95" customHeight="1">
      <c r="A307" s="50" t="s">
        <v>1125</v>
      </c>
      <c r="C307" s="316">
        <v>46222</v>
      </c>
      <c r="D307" s="49" t="s">
        <v>1126</v>
      </c>
      <c r="E307" s="44">
        <v>90</v>
      </c>
      <c r="F307" s="44">
        <v>900</v>
      </c>
      <c r="G307" s="44">
        <v>80</v>
      </c>
      <c r="H307" s="44">
        <v>50</v>
      </c>
      <c r="I307" s="48" t="s">
        <v>1073</v>
      </c>
      <c r="J307" s="48" t="s">
        <v>270</v>
      </c>
      <c r="K307" s="47"/>
      <c r="L307" s="47">
        <v>70</v>
      </c>
      <c r="M307" s="47">
        <v>150</v>
      </c>
      <c r="N307" s="605"/>
      <c r="O307" s="604"/>
      <c r="P307" s="46">
        <v>4</v>
      </c>
      <c r="Q307" s="45"/>
      <c r="R307" s="45" t="s">
        <v>1058</v>
      </c>
      <c r="S307" s="270">
        <v>20</v>
      </c>
      <c r="T307" s="606" t="s">
        <v>270</v>
      </c>
      <c r="U307" s="606" t="s">
        <v>270</v>
      </c>
      <c r="V307" s="77">
        <v>0</v>
      </c>
      <c r="W307" s="44">
        <v>6</v>
      </c>
      <c r="X307" s="44">
        <v>15</v>
      </c>
      <c r="Y307" s="44" t="s">
        <v>1042</v>
      </c>
      <c r="Z307" s="44" t="s">
        <v>401</v>
      </c>
      <c r="AA307" s="44"/>
      <c r="AB307" s="44"/>
      <c r="AC307" s="43"/>
      <c r="AD307" s="43"/>
      <c r="AE307" s="42"/>
      <c r="AF307" s="41"/>
      <c r="AG307" s="41"/>
      <c r="AH307" s="41"/>
      <c r="AI307" s="41"/>
      <c r="AJ307" s="41"/>
      <c r="AK307" s="41"/>
      <c r="AL307" s="41"/>
    </row>
    <row r="308" spans="1:38" s="50" customFormat="1" ht="15.95" customHeight="1">
      <c r="A308" s="50" t="s">
        <v>1072</v>
      </c>
      <c r="C308" s="317">
        <v>46222</v>
      </c>
      <c r="D308" s="49"/>
      <c r="E308" s="44"/>
      <c r="F308" s="44"/>
      <c r="G308" s="44"/>
      <c r="H308" s="44"/>
      <c r="I308" s="48"/>
      <c r="J308" s="48"/>
      <c r="K308" s="47"/>
      <c r="L308" s="47"/>
      <c r="M308" s="47"/>
      <c r="N308" s="93"/>
      <c r="O308" s="98"/>
      <c r="P308" s="46"/>
      <c r="Q308" s="45"/>
      <c r="R308" s="45"/>
      <c r="S308" s="43"/>
      <c r="T308" s="91"/>
      <c r="U308" s="91"/>
      <c r="W308" s="44"/>
      <c r="X308" s="44"/>
      <c r="Y308" s="44"/>
      <c r="Z308" s="44"/>
      <c r="AA308" s="44"/>
      <c r="AB308" s="44"/>
      <c r="AC308" s="43"/>
      <c r="AD308" s="43"/>
      <c r="AE308" s="42"/>
      <c r="AF308" s="41"/>
      <c r="AG308" s="41"/>
      <c r="AH308" s="41"/>
      <c r="AI308" s="41"/>
      <c r="AJ308" s="41"/>
      <c r="AK308" s="41"/>
      <c r="AL308" s="41"/>
    </row>
    <row r="309" spans="1:38" s="50" customFormat="1" ht="15.95" customHeight="1">
      <c r="A309" s="50" t="s">
        <v>1127</v>
      </c>
      <c r="B309" s="50" t="s">
        <v>1125</v>
      </c>
      <c r="C309" s="317">
        <v>46222</v>
      </c>
      <c r="D309" s="49" t="s">
        <v>1128</v>
      </c>
      <c r="E309" s="44">
        <v>90</v>
      </c>
      <c r="F309" s="44">
        <v>900</v>
      </c>
      <c r="G309" s="44">
        <v>80</v>
      </c>
      <c r="H309" s="44">
        <v>50</v>
      </c>
      <c r="I309" s="48" t="s">
        <v>1073</v>
      </c>
      <c r="J309" s="48" t="s">
        <v>270</v>
      </c>
      <c r="K309" s="47"/>
      <c r="L309" s="47">
        <v>70</v>
      </c>
      <c r="M309" s="47">
        <v>150</v>
      </c>
      <c r="N309" s="605"/>
      <c r="O309" s="604"/>
      <c r="P309" s="46">
        <v>4</v>
      </c>
      <c r="Q309" s="45"/>
      <c r="R309" s="45" t="s">
        <v>1058</v>
      </c>
      <c r="S309" s="270">
        <v>20</v>
      </c>
      <c r="T309" s="606" t="s">
        <v>270</v>
      </c>
      <c r="U309" s="606" t="s">
        <v>270</v>
      </c>
      <c r="V309" s="44">
        <v>0</v>
      </c>
      <c r="W309" s="44">
        <v>6</v>
      </c>
      <c r="X309" s="44">
        <v>15</v>
      </c>
      <c r="Y309" s="44" t="s">
        <v>1042</v>
      </c>
      <c r="Z309" s="44" t="s">
        <v>401</v>
      </c>
      <c r="AA309" s="44"/>
      <c r="AB309" s="44"/>
      <c r="AC309" s="43"/>
      <c r="AD309" s="43"/>
      <c r="AE309" s="42"/>
      <c r="AF309" s="41"/>
      <c r="AG309" s="41"/>
      <c r="AH309" s="41" t="s">
        <v>1129</v>
      </c>
      <c r="AI309" s="41" t="s">
        <v>1130</v>
      </c>
      <c r="AJ309" s="41"/>
      <c r="AK309" s="41"/>
      <c r="AL309" s="41"/>
    </row>
    <row r="310" spans="1:38" s="50" customFormat="1" ht="15.95" customHeight="1">
      <c r="A310" s="50" t="s">
        <v>1072</v>
      </c>
      <c r="C310" s="318">
        <v>46222</v>
      </c>
      <c r="D310" s="49"/>
      <c r="E310" s="44"/>
      <c r="F310" s="44"/>
      <c r="G310" s="44"/>
      <c r="H310" s="44"/>
      <c r="I310" s="48"/>
      <c r="J310" s="48"/>
      <c r="K310" s="47"/>
      <c r="L310" s="47"/>
      <c r="M310" s="47"/>
      <c r="N310" s="93"/>
      <c r="O310" s="98"/>
      <c r="P310" s="46"/>
      <c r="Q310" s="45"/>
      <c r="R310" s="45"/>
      <c r="S310" s="43"/>
      <c r="T310" s="91"/>
      <c r="U310" s="91"/>
      <c r="V310" s="44"/>
      <c r="W310" s="44"/>
      <c r="X310" s="44"/>
      <c r="Y310" s="44"/>
      <c r="Z310" s="44"/>
      <c r="AA310" s="44"/>
      <c r="AB310" s="44"/>
      <c r="AC310" s="43"/>
      <c r="AD310" s="43"/>
      <c r="AE310" s="42"/>
      <c r="AF310" s="41"/>
      <c r="AG310" s="41"/>
      <c r="AH310" s="41"/>
      <c r="AI310" s="41"/>
      <c r="AJ310" s="41"/>
      <c r="AK310" s="41"/>
      <c r="AL310" s="41"/>
    </row>
    <row r="311" spans="1:38" s="50" customFormat="1" ht="15.95" customHeight="1">
      <c r="A311" s="50" t="s">
        <v>1131</v>
      </c>
      <c r="B311" s="50" t="s">
        <v>1125</v>
      </c>
      <c r="C311" s="316">
        <v>46223</v>
      </c>
      <c r="D311" s="49" t="s">
        <v>1132</v>
      </c>
      <c r="E311" s="44">
        <v>90</v>
      </c>
      <c r="F311" s="44">
        <v>900</v>
      </c>
      <c r="G311" s="44">
        <v>80</v>
      </c>
      <c r="H311" s="44">
        <v>50</v>
      </c>
      <c r="I311" s="48" t="s">
        <v>1073</v>
      </c>
      <c r="J311" s="48" t="s">
        <v>270</v>
      </c>
      <c r="K311" s="47"/>
      <c r="L311" s="47">
        <v>70</v>
      </c>
      <c r="M311" s="47">
        <v>150</v>
      </c>
      <c r="N311" s="605"/>
      <c r="O311" s="604"/>
      <c r="P311" s="46">
        <v>4</v>
      </c>
      <c r="Q311" s="45"/>
      <c r="R311" s="45" t="s">
        <v>1058</v>
      </c>
      <c r="S311" s="270">
        <v>20</v>
      </c>
      <c r="T311" s="606" t="s">
        <v>270</v>
      </c>
      <c r="U311" s="606" t="s">
        <v>270</v>
      </c>
      <c r="V311" s="44">
        <v>0</v>
      </c>
      <c r="W311" s="44">
        <v>6</v>
      </c>
      <c r="X311" s="44">
        <v>15</v>
      </c>
      <c r="Y311" s="44" t="s">
        <v>1042</v>
      </c>
      <c r="Z311" s="44" t="s">
        <v>401</v>
      </c>
      <c r="AA311" s="44"/>
      <c r="AB311" s="44"/>
      <c r="AC311" s="43"/>
      <c r="AD311" s="43"/>
      <c r="AE311" s="42" t="s">
        <v>1133</v>
      </c>
      <c r="AF311" s="41"/>
      <c r="AG311" s="41"/>
      <c r="AH311" s="41"/>
      <c r="AI311" s="41"/>
      <c r="AJ311" s="41"/>
      <c r="AK311" s="41"/>
      <c r="AL311" s="41"/>
    </row>
    <row r="312" spans="1:38" s="50" customFormat="1" ht="15.95" customHeight="1">
      <c r="A312" s="50" t="s">
        <v>1072</v>
      </c>
      <c r="C312" s="317">
        <v>46223</v>
      </c>
      <c r="D312" s="49"/>
      <c r="E312" s="44"/>
      <c r="F312" s="44"/>
      <c r="G312" s="44"/>
      <c r="H312" s="44"/>
      <c r="I312" s="48"/>
      <c r="J312" s="48"/>
      <c r="K312" s="47"/>
      <c r="L312" s="47"/>
      <c r="M312" s="47"/>
      <c r="N312" s="93"/>
      <c r="O312" s="98"/>
      <c r="P312" s="46"/>
      <c r="Q312" s="45"/>
      <c r="R312" s="45"/>
      <c r="S312" s="43"/>
      <c r="T312" s="91"/>
      <c r="U312" s="91"/>
      <c r="V312" s="44"/>
      <c r="W312" s="44"/>
      <c r="X312" s="44"/>
      <c r="Y312" s="44"/>
      <c r="Z312" s="44"/>
      <c r="AA312" s="44"/>
      <c r="AB312" s="44"/>
      <c r="AC312" s="43"/>
      <c r="AD312" s="43"/>
      <c r="AE312" s="42"/>
      <c r="AF312" s="41"/>
      <c r="AG312" s="41"/>
      <c r="AH312" s="41"/>
      <c r="AI312" s="41"/>
      <c r="AJ312" s="41"/>
      <c r="AK312" s="41"/>
      <c r="AL312" s="41"/>
    </row>
    <row r="313" spans="1:38" s="50" customFormat="1" ht="15.95" customHeight="1">
      <c r="A313" s="50" t="s">
        <v>1134</v>
      </c>
      <c r="B313" s="50" t="s">
        <v>1125</v>
      </c>
      <c r="C313" s="317">
        <v>46223</v>
      </c>
      <c r="D313" s="49" t="s">
        <v>1135</v>
      </c>
      <c r="E313" s="44">
        <v>90</v>
      </c>
      <c r="F313" s="44">
        <v>900</v>
      </c>
      <c r="G313" s="44">
        <v>80</v>
      </c>
      <c r="H313" s="44">
        <v>50</v>
      </c>
      <c r="I313" s="48" t="s">
        <v>1073</v>
      </c>
      <c r="J313" s="48" t="s">
        <v>270</v>
      </c>
      <c r="K313" s="47"/>
      <c r="L313" s="47">
        <v>70</v>
      </c>
      <c r="M313" s="47">
        <v>150</v>
      </c>
      <c r="N313" s="605"/>
      <c r="O313" s="604"/>
      <c r="P313" s="46">
        <v>4</v>
      </c>
      <c r="Q313" s="45"/>
      <c r="R313" s="45" t="s">
        <v>1058</v>
      </c>
      <c r="S313" s="270">
        <v>20</v>
      </c>
      <c r="T313" s="606" t="s">
        <v>270</v>
      </c>
      <c r="U313" s="606" t="s">
        <v>270</v>
      </c>
      <c r="V313" s="44">
        <v>0</v>
      </c>
      <c r="W313" s="44">
        <v>6</v>
      </c>
      <c r="X313" s="44">
        <v>15</v>
      </c>
      <c r="Y313" s="44" t="s">
        <v>1042</v>
      </c>
      <c r="Z313" s="44" t="s">
        <v>401</v>
      </c>
      <c r="AA313" s="44"/>
      <c r="AB313" s="44"/>
      <c r="AC313" s="43"/>
      <c r="AD313" s="43"/>
      <c r="AE313" s="42" t="s">
        <v>1136</v>
      </c>
      <c r="AF313" s="41" t="s">
        <v>1137</v>
      </c>
      <c r="AG313" s="41"/>
      <c r="AH313" s="41"/>
      <c r="AI313" s="41"/>
      <c r="AJ313" s="41">
        <v>0.19</v>
      </c>
      <c r="AK313" s="41">
        <v>3.21</v>
      </c>
    </row>
    <row r="314" spans="1:38" s="50" customFormat="1" ht="15.95" customHeight="1">
      <c r="A314" s="50" t="s">
        <v>1072</v>
      </c>
      <c r="C314" s="318">
        <v>46223</v>
      </c>
      <c r="D314" s="49"/>
      <c r="E314" s="44"/>
      <c r="F314" s="44"/>
      <c r="G314" s="44"/>
      <c r="H314" s="44"/>
      <c r="I314" s="48"/>
      <c r="J314" s="48"/>
      <c r="K314" s="47"/>
      <c r="L314" s="47"/>
      <c r="M314" s="47"/>
      <c r="N314" s="93"/>
      <c r="O314" s="98"/>
      <c r="P314" s="46"/>
      <c r="Q314" s="45"/>
      <c r="R314" s="45"/>
      <c r="S314" s="43"/>
      <c r="T314" s="91"/>
      <c r="U314" s="91"/>
      <c r="V314" s="44"/>
      <c r="W314" s="44"/>
      <c r="X314" s="44"/>
      <c r="Y314" s="44"/>
      <c r="Z314" s="44"/>
      <c r="AA314" s="44"/>
      <c r="AB314" s="44"/>
      <c r="AC314" s="43"/>
      <c r="AD314" s="43"/>
      <c r="AE314" s="42"/>
      <c r="AF314" s="41"/>
      <c r="AG314" s="41"/>
      <c r="AH314" s="41"/>
      <c r="AI314" s="41"/>
      <c r="AJ314" s="41"/>
      <c r="AK314" s="41"/>
      <c r="AL314" s="41"/>
    </row>
    <row r="315" spans="1:38" s="50" customFormat="1" ht="18" customHeight="1">
      <c r="A315" s="50" t="s">
        <v>1138</v>
      </c>
      <c r="B315" s="50" t="s">
        <v>1134</v>
      </c>
      <c r="C315" s="316">
        <v>46224</v>
      </c>
      <c r="D315" s="49"/>
      <c r="E315" s="44">
        <v>90</v>
      </c>
      <c r="F315" s="44">
        <v>900</v>
      </c>
      <c r="G315" s="44">
        <v>80</v>
      </c>
      <c r="H315" s="44">
        <v>50</v>
      </c>
      <c r="I315" s="48" t="s">
        <v>1073</v>
      </c>
      <c r="J315" s="48" t="s">
        <v>270</v>
      </c>
      <c r="K315" s="47"/>
      <c r="L315" s="47">
        <v>70</v>
      </c>
      <c r="M315" s="47">
        <v>150</v>
      </c>
      <c r="N315" s="605"/>
      <c r="O315" s="604"/>
      <c r="P315" s="46">
        <v>4</v>
      </c>
      <c r="Q315" s="45"/>
      <c r="R315" s="45" t="s">
        <v>1058</v>
      </c>
      <c r="S315" s="270">
        <v>20</v>
      </c>
      <c r="T315" s="606" t="s">
        <v>270</v>
      </c>
      <c r="U315" s="606" t="s">
        <v>270</v>
      </c>
      <c r="V315" s="77">
        <v>10</v>
      </c>
      <c r="W315" s="44">
        <v>6</v>
      </c>
      <c r="X315" s="44">
        <v>15</v>
      </c>
      <c r="Y315" s="44" t="s">
        <v>1042</v>
      </c>
      <c r="Z315" s="44" t="s">
        <v>401</v>
      </c>
      <c r="AA315" s="44"/>
      <c r="AB315" s="44"/>
      <c r="AC315" s="43"/>
      <c r="AD315" s="43"/>
      <c r="AE315" s="42"/>
      <c r="AF315" s="41"/>
      <c r="AG315" s="623" t="s">
        <v>1139</v>
      </c>
      <c r="AH315" s="41"/>
      <c r="AI315" s="41"/>
      <c r="AJ315" s="41"/>
      <c r="AK315" s="41"/>
      <c r="AL315" s="41"/>
    </row>
    <row r="316" spans="1:38" s="50" customFormat="1" ht="15.95" customHeight="1">
      <c r="A316" s="50" t="s">
        <v>1072</v>
      </c>
      <c r="C316" s="317">
        <v>46224</v>
      </c>
      <c r="D316" s="49"/>
      <c r="E316" s="44"/>
      <c r="F316" s="44"/>
      <c r="G316" s="44"/>
      <c r="H316" s="44"/>
      <c r="I316" s="48"/>
      <c r="J316" s="48"/>
      <c r="K316" s="47"/>
      <c r="L316" s="47"/>
      <c r="M316" s="47"/>
      <c r="N316" s="93"/>
      <c r="O316" s="98"/>
      <c r="P316" s="46"/>
      <c r="Q316" s="45"/>
      <c r="R316" s="45"/>
      <c r="S316" s="43"/>
      <c r="T316" s="91"/>
      <c r="U316" s="91"/>
      <c r="V316" s="44"/>
      <c r="W316" s="44"/>
      <c r="X316" s="44"/>
      <c r="Y316" s="44"/>
      <c r="Z316" s="44"/>
      <c r="AA316" s="44"/>
      <c r="AB316" s="44"/>
      <c r="AC316" s="43"/>
      <c r="AD316" s="43"/>
      <c r="AE316" s="42"/>
      <c r="AF316" s="41"/>
      <c r="AG316" s="41"/>
      <c r="AH316" s="41"/>
      <c r="AI316" s="41"/>
      <c r="AJ316" s="41"/>
      <c r="AK316" s="41"/>
      <c r="AL316" s="41"/>
    </row>
    <row r="317" spans="1:38" s="50" customFormat="1" ht="15.95" customHeight="1">
      <c r="A317" s="50" t="s">
        <v>1140</v>
      </c>
      <c r="B317" s="50" t="s">
        <v>1134</v>
      </c>
      <c r="C317" s="317">
        <v>46224</v>
      </c>
      <c r="D317" s="49" t="s">
        <v>1141</v>
      </c>
      <c r="E317" s="44">
        <v>90</v>
      </c>
      <c r="F317" s="44">
        <v>900</v>
      </c>
      <c r="G317" s="44">
        <v>80</v>
      </c>
      <c r="H317" s="44">
        <v>50</v>
      </c>
      <c r="I317" s="48" t="s">
        <v>1073</v>
      </c>
      <c r="J317" s="48" t="s">
        <v>270</v>
      </c>
      <c r="K317" s="47"/>
      <c r="L317" s="362" t="s">
        <v>1142</v>
      </c>
      <c r="M317" s="47">
        <v>150</v>
      </c>
      <c r="N317" s="605"/>
      <c r="O317" s="604"/>
      <c r="P317" s="46">
        <v>4</v>
      </c>
      <c r="Q317" s="45"/>
      <c r="R317" s="45" t="s">
        <v>1058</v>
      </c>
      <c r="S317" s="270">
        <v>20</v>
      </c>
      <c r="T317" s="606" t="s">
        <v>270</v>
      </c>
      <c r="U317" s="606" t="s">
        <v>270</v>
      </c>
      <c r="V317" s="44">
        <v>10</v>
      </c>
      <c r="W317" s="44">
        <v>6</v>
      </c>
      <c r="X317" s="44">
        <v>15</v>
      </c>
      <c r="Y317" s="44" t="s">
        <v>1042</v>
      </c>
      <c r="Z317" s="44" t="s">
        <v>401</v>
      </c>
      <c r="AA317" s="44"/>
      <c r="AB317" s="44"/>
      <c r="AC317" s="43"/>
      <c r="AD317" s="43"/>
      <c r="AE317" s="42" t="s">
        <v>1143</v>
      </c>
      <c r="AF317" s="41" t="s">
        <v>1144</v>
      </c>
      <c r="AG317" s="41" t="s">
        <v>1145</v>
      </c>
      <c r="AH317" s="41"/>
      <c r="AI317" s="41" t="s">
        <v>1146</v>
      </c>
      <c r="AJ317" s="41"/>
      <c r="AK317" s="41"/>
      <c r="AL317" s="41"/>
    </row>
    <row r="318" spans="1:38" s="50" customFormat="1" ht="15.95" customHeight="1">
      <c r="A318" s="50" t="s">
        <v>1072</v>
      </c>
      <c r="C318" s="318">
        <v>46224</v>
      </c>
      <c r="D318" s="49"/>
      <c r="E318" s="44"/>
      <c r="F318" s="44"/>
      <c r="G318" s="44"/>
      <c r="H318" s="44"/>
      <c r="I318" s="48"/>
      <c r="J318" s="48"/>
      <c r="K318" s="47"/>
      <c r="L318" s="47"/>
      <c r="M318" s="47"/>
      <c r="N318" s="93"/>
      <c r="O318" s="98"/>
      <c r="P318" s="46"/>
      <c r="Q318" s="45"/>
      <c r="R318" s="45"/>
      <c r="S318" s="43"/>
      <c r="T318" s="91"/>
      <c r="U318" s="91"/>
      <c r="V318" s="44"/>
      <c r="W318" s="44"/>
      <c r="X318" s="44"/>
      <c r="Y318" s="44"/>
      <c r="Z318" s="44"/>
      <c r="AA318" s="44"/>
      <c r="AB318" s="44"/>
      <c r="AC318" s="43"/>
      <c r="AD318" s="43"/>
      <c r="AE318" s="42"/>
      <c r="AF318" s="41"/>
      <c r="AG318" s="41"/>
      <c r="AH318" s="41"/>
      <c r="AI318" s="41"/>
      <c r="AJ318" s="41"/>
      <c r="AK318" s="41"/>
      <c r="AL318" s="41"/>
    </row>
    <row r="319" spans="1:38" s="50" customFormat="1" ht="15.95" customHeight="1">
      <c r="A319" s="50" t="s">
        <v>1147</v>
      </c>
      <c r="B319" s="50" t="s">
        <v>1134</v>
      </c>
      <c r="C319" s="316">
        <v>46226</v>
      </c>
      <c r="D319" s="49" t="s">
        <v>1148</v>
      </c>
      <c r="E319" s="44">
        <v>90</v>
      </c>
      <c r="F319" s="44">
        <v>900</v>
      </c>
      <c r="G319" s="44">
        <v>80</v>
      </c>
      <c r="H319" s="44">
        <v>50</v>
      </c>
      <c r="I319" s="48" t="s">
        <v>1073</v>
      </c>
      <c r="J319" s="48" t="s">
        <v>270</v>
      </c>
      <c r="K319" s="47"/>
      <c r="L319" s="47">
        <v>70</v>
      </c>
      <c r="M319" s="47">
        <v>150</v>
      </c>
      <c r="N319" s="605"/>
      <c r="O319" s="604"/>
      <c r="P319" s="46">
        <v>4</v>
      </c>
      <c r="Q319" s="45"/>
      <c r="R319" s="45" t="s">
        <v>1058</v>
      </c>
      <c r="S319" s="270">
        <v>20</v>
      </c>
      <c r="T319" s="606" t="s">
        <v>270</v>
      </c>
      <c r="U319" s="606" t="s">
        <v>270</v>
      </c>
      <c r="V319" s="44">
        <v>0</v>
      </c>
      <c r="W319" s="44">
        <v>6</v>
      </c>
      <c r="X319" s="44">
        <v>15</v>
      </c>
      <c r="Y319" s="44" t="s">
        <v>1042</v>
      </c>
      <c r="Z319" s="44" t="s">
        <v>401</v>
      </c>
      <c r="AA319" s="44"/>
      <c r="AB319" s="44"/>
      <c r="AC319" s="43"/>
      <c r="AD319" s="43"/>
      <c r="AE319" s="42" t="s">
        <v>1149</v>
      </c>
      <c r="AF319" s="41"/>
      <c r="AG319" s="41"/>
      <c r="AH319" s="41"/>
      <c r="AI319" s="41"/>
      <c r="AJ319" s="41">
        <v>0.1575</v>
      </c>
      <c r="AK319" s="41">
        <v>2.89</v>
      </c>
      <c r="AL319" s="41"/>
    </row>
    <row r="320" spans="1:38" s="50" customFormat="1" ht="15.95" customHeight="1">
      <c r="A320" s="50" t="s">
        <v>1072</v>
      </c>
      <c r="C320" s="317">
        <v>46226</v>
      </c>
      <c r="D320" s="49"/>
      <c r="E320" s="44"/>
      <c r="F320" s="44"/>
      <c r="G320" s="44"/>
      <c r="H320" s="44"/>
      <c r="I320" s="82" t="s">
        <v>1100</v>
      </c>
      <c r="J320" s="48"/>
      <c r="K320" s="47"/>
      <c r="L320" s="47"/>
      <c r="M320" s="47"/>
      <c r="N320" s="93"/>
      <c r="O320" s="98"/>
      <c r="P320" s="46"/>
      <c r="Q320" s="45"/>
      <c r="R320" s="45"/>
      <c r="S320" s="43"/>
      <c r="T320" s="91"/>
      <c r="U320" s="91"/>
      <c r="V320" s="44"/>
      <c r="W320" s="44"/>
      <c r="X320" s="44"/>
      <c r="Y320" s="44"/>
      <c r="Z320" s="44"/>
      <c r="AA320" s="44"/>
      <c r="AB320" s="44"/>
      <c r="AC320" s="43"/>
      <c r="AD320" s="43"/>
      <c r="AE320" s="42"/>
      <c r="AF320" s="41"/>
      <c r="AG320" s="41"/>
      <c r="AH320" s="41"/>
      <c r="AI320" s="41"/>
      <c r="AJ320" s="41"/>
      <c r="AK320" s="41"/>
      <c r="AL320" s="41"/>
    </row>
    <row r="321" spans="1:38" s="50" customFormat="1" ht="15.95" customHeight="1">
      <c r="A321" s="50" t="s">
        <v>1150</v>
      </c>
      <c r="B321" s="50" t="s">
        <v>1147</v>
      </c>
      <c r="C321" s="317">
        <v>46226</v>
      </c>
      <c r="D321" s="858" t="s">
        <v>1151</v>
      </c>
      <c r="E321" s="44">
        <v>90</v>
      </c>
      <c r="F321" s="44">
        <v>900</v>
      </c>
      <c r="G321" s="44">
        <v>80</v>
      </c>
      <c r="H321" s="44">
        <v>50</v>
      </c>
      <c r="I321" s="82" t="s">
        <v>1100</v>
      </c>
      <c r="J321" s="48" t="s">
        <v>270</v>
      </c>
      <c r="K321" s="47"/>
      <c r="L321" s="47">
        <v>70</v>
      </c>
      <c r="M321" s="47">
        <v>150</v>
      </c>
      <c r="N321" s="605"/>
      <c r="O321" s="604"/>
      <c r="P321" s="46">
        <v>4</v>
      </c>
      <c r="Q321" s="45"/>
      <c r="R321" s="45" t="s">
        <v>1058</v>
      </c>
      <c r="S321" s="270">
        <v>20</v>
      </c>
      <c r="T321" s="606" t="s">
        <v>270</v>
      </c>
      <c r="U321" s="606" t="s">
        <v>270</v>
      </c>
      <c r="V321" s="44">
        <v>0</v>
      </c>
      <c r="W321" s="44">
        <v>6</v>
      </c>
      <c r="X321" s="44">
        <v>15</v>
      </c>
      <c r="Y321" s="44" t="s">
        <v>1042</v>
      </c>
      <c r="Z321" s="44" t="s">
        <v>401</v>
      </c>
      <c r="AA321" s="44"/>
      <c r="AB321" s="44"/>
      <c r="AC321" s="43"/>
      <c r="AD321" s="43"/>
      <c r="AE321" s="42"/>
      <c r="AF321" s="41"/>
      <c r="AG321" s="41"/>
      <c r="AH321" s="41"/>
      <c r="AI321" s="41"/>
      <c r="AJ321" s="41"/>
      <c r="AK321" s="41"/>
      <c r="AL321" s="41"/>
    </row>
    <row r="322" spans="1:38" s="50" customFormat="1" ht="15.95" customHeight="1">
      <c r="A322" s="50" t="s">
        <v>1072</v>
      </c>
      <c r="C322" s="318">
        <v>46226</v>
      </c>
      <c r="D322" s="859"/>
      <c r="E322" s="44"/>
      <c r="F322" s="44"/>
      <c r="G322" s="44"/>
      <c r="H322" s="44"/>
      <c r="I322" s="48"/>
      <c r="J322" s="48"/>
      <c r="K322" s="47"/>
      <c r="L322" s="47"/>
      <c r="M322" s="47"/>
      <c r="N322" s="93"/>
      <c r="O322" s="98"/>
      <c r="P322" s="46"/>
      <c r="Q322" s="45"/>
      <c r="R322" s="45"/>
      <c r="S322" s="43"/>
      <c r="T322" s="91"/>
      <c r="U322" s="91"/>
      <c r="V322" s="44"/>
      <c r="W322" s="44"/>
      <c r="X322" s="44"/>
      <c r="Y322" s="44"/>
      <c r="Z322" s="44"/>
      <c r="AA322" s="44"/>
      <c r="AB322" s="44"/>
      <c r="AC322" s="43"/>
      <c r="AD322" s="43"/>
      <c r="AE322" s="42"/>
      <c r="AF322" s="41"/>
      <c r="AG322" s="41"/>
      <c r="AH322" s="41"/>
      <c r="AI322" s="41"/>
      <c r="AJ322" s="41"/>
      <c r="AK322" s="41"/>
      <c r="AL322" s="41"/>
    </row>
    <row r="323" spans="1:38" s="50" customFormat="1" ht="15.95" customHeight="1">
      <c r="A323" s="50" t="s">
        <v>1152</v>
      </c>
      <c r="B323" s="50" t="s">
        <v>1150</v>
      </c>
      <c r="C323" s="316">
        <v>46227</v>
      </c>
      <c r="D323" s="859"/>
      <c r="E323" s="77">
        <v>85</v>
      </c>
      <c r="F323" s="44">
        <v>900</v>
      </c>
      <c r="G323" s="44">
        <v>80</v>
      </c>
      <c r="H323" s="44">
        <v>50</v>
      </c>
      <c r="I323" s="48" t="s">
        <v>1073</v>
      </c>
      <c r="J323" s="48" t="s">
        <v>270</v>
      </c>
      <c r="K323" s="47"/>
      <c r="L323" s="47">
        <v>70</v>
      </c>
      <c r="M323" s="47">
        <v>150</v>
      </c>
      <c r="N323" s="605"/>
      <c r="O323" s="604"/>
      <c r="P323" s="46">
        <v>4</v>
      </c>
      <c r="Q323" s="45"/>
      <c r="R323" s="45" t="s">
        <v>1058</v>
      </c>
      <c r="S323" s="270">
        <v>20</v>
      </c>
      <c r="T323" s="606" t="s">
        <v>270</v>
      </c>
      <c r="U323" s="606" t="s">
        <v>270</v>
      </c>
      <c r="V323" s="44">
        <v>0</v>
      </c>
      <c r="W323" s="44">
        <v>6</v>
      </c>
      <c r="X323" s="44">
        <v>15</v>
      </c>
      <c r="Y323" s="44" t="s">
        <v>1042</v>
      </c>
      <c r="Z323" s="44" t="s">
        <v>401</v>
      </c>
      <c r="AA323" s="44"/>
      <c r="AB323" s="44"/>
      <c r="AC323" s="43"/>
      <c r="AD323" s="43"/>
      <c r="AE323" s="42"/>
      <c r="AF323" s="41"/>
      <c r="AG323" s="41"/>
      <c r="AH323" s="41"/>
      <c r="AI323" s="41"/>
      <c r="AJ323" s="41"/>
      <c r="AK323" s="41"/>
      <c r="AL323" s="41"/>
    </row>
    <row r="324" spans="1:38" s="50" customFormat="1" ht="15.95" customHeight="1">
      <c r="A324" s="50" t="s">
        <v>1072</v>
      </c>
      <c r="C324" s="317">
        <v>46227</v>
      </c>
      <c r="D324" s="859"/>
      <c r="E324" s="77"/>
      <c r="F324" s="44"/>
      <c r="G324" s="44"/>
      <c r="H324" s="44"/>
      <c r="I324" s="48"/>
      <c r="J324" s="48"/>
      <c r="K324" s="47"/>
      <c r="L324" s="47"/>
      <c r="M324" s="47"/>
      <c r="N324" s="93"/>
      <c r="O324" s="98"/>
      <c r="P324" s="46"/>
      <c r="Q324" s="45"/>
      <c r="R324" s="45"/>
      <c r="S324" s="43"/>
      <c r="T324" s="91"/>
      <c r="U324" s="91"/>
      <c r="V324" s="44"/>
      <c r="W324" s="44"/>
      <c r="X324" s="44"/>
      <c r="Y324" s="44"/>
      <c r="Z324" s="44"/>
      <c r="AA324" s="44"/>
      <c r="AB324" s="44"/>
      <c r="AC324" s="43"/>
      <c r="AD324" s="43"/>
      <c r="AE324" s="42"/>
      <c r="AF324" s="41"/>
      <c r="AG324" s="41"/>
      <c r="AH324" s="41"/>
      <c r="AI324" s="41"/>
      <c r="AJ324" s="41"/>
      <c r="AK324" s="41"/>
      <c r="AL324" s="41"/>
    </row>
    <row r="325" spans="1:38" s="50" customFormat="1" ht="15.95" customHeight="1">
      <c r="A325" s="50" t="s">
        <v>1153</v>
      </c>
      <c r="B325" s="50" t="s">
        <v>1150</v>
      </c>
      <c r="C325" s="317">
        <v>46227</v>
      </c>
      <c r="D325" s="859"/>
      <c r="E325" s="77">
        <v>80</v>
      </c>
      <c r="F325" s="44">
        <v>900</v>
      </c>
      <c r="G325" s="44">
        <v>80</v>
      </c>
      <c r="H325" s="44">
        <v>50</v>
      </c>
      <c r="I325" s="48" t="s">
        <v>1073</v>
      </c>
      <c r="J325" s="48" t="s">
        <v>270</v>
      </c>
      <c r="K325" s="47"/>
      <c r="L325" s="47">
        <v>70</v>
      </c>
      <c r="M325" s="47">
        <v>150</v>
      </c>
      <c r="N325" s="605"/>
      <c r="O325" s="604"/>
      <c r="P325" s="46">
        <v>4</v>
      </c>
      <c r="Q325" s="45"/>
      <c r="R325" s="45" t="s">
        <v>1058</v>
      </c>
      <c r="S325" s="270">
        <v>20</v>
      </c>
      <c r="T325" s="606" t="s">
        <v>270</v>
      </c>
      <c r="U325" s="606" t="s">
        <v>270</v>
      </c>
      <c r="V325" s="44">
        <v>0</v>
      </c>
      <c r="W325" s="44">
        <v>6</v>
      </c>
      <c r="X325" s="44">
        <v>15</v>
      </c>
      <c r="Y325" s="44" t="s">
        <v>1042</v>
      </c>
      <c r="Z325" s="44" t="s">
        <v>401</v>
      </c>
      <c r="AA325" s="44"/>
      <c r="AB325" s="44"/>
      <c r="AC325" s="43"/>
      <c r="AD325" s="43"/>
      <c r="AE325" s="42"/>
      <c r="AF325" s="41"/>
      <c r="AG325" s="41"/>
      <c r="AH325" s="41"/>
      <c r="AI325" s="41"/>
      <c r="AJ325" s="41"/>
      <c r="AK325" s="41"/>
      <c r="AL325" s="41"/>
    </row>
    <row r="326" spans="1:38" s="50" customFormat="1" ht="15.95" customHeight="1">
      <c r="A326" s="50" t="s">
        <v>1072</v>
      </c>
      <c r="C326" s="317">
        <v>46227</v>
      </c>
      <c r="D326" s="859"/>
      <c r="E326" s="77"/>
      <c r="F326" s="44"/>
      <c r="G326" s="44"/>
      <c r="H326" s="44"/>
      <c r="I326" s="48"/>
      <c r="J326" s="48"/>
      <c r="K326" s="47"/>
      <c r="L326" s="47"/>
      <c r="M326" s="47"/>
      <c r="N326" s="93"/>
      <c r="O326" s="98"/>
      <c r="P326" s="46"/>
      <c r="Q326" s="45"/>
      <c r="R326" s="45"/>
      <c r="S326" s="43"/>
      <c r="T326" s="91"/>
      <c r="U326" s="91"/>
      <c r="V326" s="44"/>
      <c r="W326" s="44"/>
      <c r="X326" s="44"/>
      <c r="Y326" s="44"/>
      <c r="Z326" s="44"/>
      <c r="AA326" s="44"/>
      <c r="AB326" s="44"/>
      <c r="AC326" s="43"/>
      <c r="AD326" s="43"/>
      <c r="AE326" s="42"/>
      <c r="AF326" s="41"/>
      <c r="AG326" s="41"/>
      <c r="AH326" s="41"/>
      <c r="AI326" s="41"/>
      <c r="AJ326" s="41"/>
      <c r="AK326" s="41"/>
      <c r="AL326" s="41"/>
    </row>
    <row r="327" spans="1:38" s="50" customFormat="1" ht="15.95" customHeight="1">
      <c r="A327" s="50" t="s">
        <v>1154</v>
      </c>
      <c r="B327" s="50" t="s">
        <v>1150</v>
      </c>
      <c r="C327" s="318">
        <v>46227</v>
      </c>
      <c r="D327" s="859"/>
      <c r="E327" s="77">
        <v>70</v>
      </c>
      <c r="F327" s="44">
        <v>900</v>
      </c>
      <c r="G327" s="44">
        <v>80</v>
      </c>
      <c r="H327" s="44">
        <v>50</v>
      </c>
      <c r="I327" s="48" t="s">
        <v>1073</v>
      </c>
      <c r="J327" s="48" t="s">
        <v>270</v>
      </c>
      <c r="K327" s="47"/>
      <c r="L327" s="47">
        <v>70</v>
      </c>
      <c r="M327" s="47">
        <v>150</v>
      </c>
      <c r="N327" s="605"/>
      <c r="O327" s="604"/>
      <c r="P327" s="46">
        <v>4</v>
      </c>
      <c r="Q327" s="45"/>
      <c r="R327" s="45" t="s">
        <v>1058</v>
      </c>
      <c r="S327" s="270">
        <v>20</v>
      </c>
      <c r="T327" s="606" t="s">
        <v>270</v>
      </c>
      <c r="U327" s="606" t="s">
        <v>270</v>
      </c>
      <c r="V327" s="44">
        <v>0</v>
      </c>
      <c r="W327" s="44">
        <v>6</v>
      </c>
      <c r="X327" s="44">
        <v>15</v>
      </c>
      <c r="Y327" s="44" t="s">
        <v>1042</v>
      </c>
      <c r="Z327" s="44" t="s">
        <v>401</v>
      </c>
      <c r="AA327" s="44"/>
      <c r="AB327" s="44"/>
      <c r="AC327" s="43"/>
      <c r="AD327" s="43"/>
      <c r="AE327" s="42"/>
      <c r="AF327" s="41"/>
      <c r="AG327" s="41"/>
      <c r="AH327" s="41"/>
      <c r="AI327" s="41"/>
      <c r="AJ327" s="41"/>
      <c r="AK327" s="41"/>
      <c r="AL327" s="41"/>
    </row>
    <row r="328" spans="1:38" s="50" customFormat="1" ht="15.95" customHeight="1">
      <c r="A328" s="50" t="s">
        <v>1072</v>
      </c>
      <c r="C328" s="316">
        <v>46229</v>
      </c>
      <c r="D328" s="859"/>
      <c r="E328" s="77"/>
      <c r="F328" s="44"/>
      <c r="G328" s="44"/>
      <c r="H328" s="44"/>
      <c r="I328" s="48"/>
      <c r="J328" s="48"/>
      <c r="K328" s="47"/>
      <c r="L328" s="47"/>
      <c r="M328" s="47"/>
      <c r="N328" s="93"/>
      <c r="O328" s="98"/>
      <c r="P328" s="46"/>
      <c r="Q328" s="45"/>
      <c r="R328" s="45"/>
      <c r="S328" s="43"/>
      <c r="T328" s="91"/>
      <c r="U328" s="91"/>
      <c r="V328" s="44"/>
      <c r="W328" s="44"/>
      <c r="X328" s="44"/>
      <c r="Y328" s="44"/>
      <c r="Z328" s="44"/>
      <c r="AA328" s="44"/>
      <c r="AB328" s="44"/>
      <c r="AC328" s="43"/>
      <c r="AD328" s="43"/>
      <c r="AE328" s="42"/>
      <c r="AF328" s="41"/>
      <c r="AG328" s="41"/>
      <c r="AH328" s="41"/>
      <c r="AI328" s="41"/>
      <c r="AJ328" s="41"/>
      <c r="AK328" s="41"/>
      <c r="AL328" s="41"/>
    </row>
    <row r="329" spans="1:38" s="50" customFormat="1" ht="15.95" customHeight="1">
      <c r="A329" s="50" t="s">
        <v>1155</v>
      </c>
      <c r="B329" s="50" t="s">
        <v>1150</v>
      </c>
      <c r="C329" s="317">
        <v>46229</v>
      </c>
      <c r="D329" s="859"/>
      <c r="E329" s="280">
        <v>70</v>
      </c>
      <c r="F329" s="44">
        <v>900</v>
      </c>
      <c r="G329" s="44">
        <v>80</v>
      </c>
      <c r="H329" s="44">
        <v>50</v>
      </c>
      <c r="I329" s="48" t="s">
        <v>1073</v>
      </c>
      <c r="J329" s="48" t="s">
        <v>270</v>
      </c>
      <c r="K329" s="47"/>
      <c r="L329" s="47">
        <v>70</v>
      </c>
      <c r="M329" s="47">
        <v>150</v>
      </c>
      <c r="N329" s="605"/>
      <c r="O329" s="604"/>
      <c r="P329" s="46">
        <v>4</v>
      </c>
      <c r="Q329" s="45"/>
      <c r="R329" s="45" t="s">
        <v>1058</v>
      </c>
      <c r="S329" s="270">
        <v>20</v>
      </c>
      <c r="T329" s="606" t="s">
        <v>270</v>
      </c>
      <c r="U329" s="606" t="s">
        <v>270</v>
      </c>
      <c r="V329" s="280">
        <v>0</v>
      </c>
      <c r="W329" s="44">
        <v>6</v>
      </c>
      <c r="X329" s="44">
        <v>15</v>
      </c>
      <c r="Y329" s="44" t="s">
        <v>1042</v>
      </c>
      <c r="Z329" s="44" t="s">
        <v>401</v>
      </c>
      <c r="AA329" s="44"/>
      <c r="AB329" s="44"/>
      <c r="AC329" s="43"/>
      <c r="AD329" s="43"/>
      <c r="AE329" s="42"/>
      <c r="AF329" s="41"/>
      <c r="AG329" s="41"/>
      <c r="AH329" s="41"/>
      <c r="AI329" s="41"/>
      <c r="AJ329" s="41"/>
      <c r="AK329" s="41"/>
      <c r="AL329" s="41"/>
    </row>
    <row r="330" spans="1:38" s="50" customFormat="1" ht="15.95" customHeight="1">
      <c r="A330" s="50" t="s">
        <v>1072</v>
      </c>
      <c r="C330" s="317">
        <v>46229</v>
      </c>
      <c r="D330" s="859"/>
      <c r="E330" s="44"/>
      <c r="F330" s="44"/>
      <c r="G330" s="44"/>
      <c r="H330" s="44"/>
      <c r="I330" s="48"/>
      <c r="J330" s="48"/>
      <c r="K330" s="47"/>
      <c r="L330" s="47"/>
      <c r="M330" s="47"/>
      <c r="N330" s="93"/>
      <c r="O330" s="98"/>
      <c r="P330" s="46"/>
      <c r="Q330" s="45"/>
      <c r="R330" s="45"/>
      <c r="S330" s="43"/>
      <c r="T330" s="91"/>
      <c r="U330" s="91"/>
      <c r="V330" s="44"/>
      <c r="W330" s="44"/>
      <c r="X330" s="44"/>
      <c r="Y330" s="44"/>
      <c r="Z330" s="44"/>
      <c r="AA330" s="44"/>
      <c r="AB330" s="44"/>
      <c r="AC330" s="43"/>
      <c r="AD330" s="43"/>
      <c r="AE330" s="42"/>
      <c r="AF330" s="41"/>
      <c r="AG330" s="41"/>
      <c r="AH330" s="41"/>
      <c r="AI330" s="41"/>
      <c r="AJ330" s="41"/>
      <c r="AK330" s="41"/>
      <c r="AL330" s="41"/>
    </row>
    <row r="331" spans="1:38" s="50" customFormat="1" ht="15.95" customHeight="1">
      <c r="A331" s="50" t="s">
        <v>1156</v>
      </c>
      <c r="B331" s="50" t="s">
        <v>1150</v>
      </c>
      <c r="C331" s="317">
        <v>46229</v>
      </c>
      <c r="D331" s="859"/>
      <c r="E331" s="280">
        <v>70</v>
      </c>
      <c r="F331" s="44">
        <v>900</v>
      </c>
      <c r="G331" s="44">
        <v>80</v>
      </c>
      <c r="H331" s="44">
        <v>50</v>
      </c>
      <c r="I331" s="48" t="s">
        <v>1073</v>
      </c>
      <c r="J331" s="48" t="s">
        <v>270</v>
      </c>
      <c r="K331" s="47"/>
      <c r="L331" s="47">
        <v>70</v>
      </c>
      <c r="M331" s="47">
        <v>150</v>
      </c>
      <c r="N331" s="605"/>
      <c r="O331" s="604"/>
      <c r="P331" s="46">
        <v>4</v>
      </c>
      <c r="Q331" s="45"/>
      <c r="R331" s="45" t="s">
        <v>1058</v>
      </c>
      <c r="S331" s="270">
        <v>20</v>
      </c>
      <c r="T331" s="606" t="s">
        <v>270</v>
      </c>
      <c r="U331" s="606" t="s">
        <v>270</v>
      </c>
      <c r="V331" s="77">
        <v>10</v>
      </c>
      <c r="W331" s="44">
        <v>6</v>
      </c>
      <c r="X331" s="44">
        <v>15</v>
      </c>
      <c r="Y331" s="44" t="s">
        <v>1042</v>
      </c>
      <c r="Z331" s="44" t="s">
        <v>401</v>
      </c>
      <c r="AA331" s="44"/>
      <c r="AB331" s="44"/>
      <c r="AC331" s="43"/>
      <c r="AD331" s="43"/>
      <c r="AE331" s="42"/>
      <c r="AF331" s="41"/>
      <c r="AG331" s="41"/>
      <c r="AH331" s="41"/>
      <c r="AI331" s="41"/>
      <c r="AJ331" s="41"/>
      <c r="AK331" s="41"/>
      <c r="AL331" s="41"/>
    </row>
    <row r="332" spans="1:38" s="50" customFormat="1" ht="15.95" customHeight="1">
      <c r="A332" s="50" t="s">
        <v>1072</v>
      </c>
      <c r="C332" s="318">
        <v>46229</v>
      </c>
      <c r="D332" s="860"/>
      <c r="E332" s="44"/>
      <c r="F332" s="44"/>
      <c r="G332" s="44"/>
      <c r="H332" s="44"/>
      <c r="I332" s="48"/>
      <c r="J332" s="48"/>
      <c r="K332" s="47"/>
      <c r="L332" s="47"/>
      <c r="M332" s="47"/>
      <c r="N332" s="93"/>
      <c r="O332" s="98"/>
      <c r="P332" s="46"/>
      <c r="Q332" s="45"/>
      <c r="R332" s="45"/>
      <c r="S332" s="43"/>
      <c r="T332" s="91"/>
      <c r="U332" s="91"/>
      <c r="V332" s="44"/>
      <c r="W332" s="44"/>
      <c r="X332" s="44"/>
      <c r="Y332" s="44"/>
      <c r="Z332" s="44"/>
      <c r="AA332" s="44"/>
      <c r="AB332" s="44"/>
      <c r="AC332" s="43"/>
      <c r="AD332" s="43"/>
      <c r="AE332" s="42"/>
      <c r="AF332" s="41"/>
      <c r="AG332" s="41"/>
      <c r="AH332" s="41"/>
      <c r="AI332" s="41"/>
      <c r="AJ332" s="41"/>
      <c r="AK332" s="41"/>
      <c r="AL332" s="41"/>
    </row>
    <row r="333" spans="1:38" s="50" customFormat="1" ht="15.95" customHeight="1">
      <c r="A333" s="632" t="s">
        <v>1157</v>
      </c>
      <c r="B333" s="50" t="s">
        <v>1150</v>
      </c>
      <c r="C333" s="660">
        <v>46230</v>
      </c>
      <c r="D333" s="829" t="s">
        <v>1158</v>
      </c>
      <c r="E333" s="44">
        <v>90</v>
      </c>
      <c r="F333" s="44">
        <v>900</v>
      </c>
      <c r="G333" s="44">
        <v>80</v>
      </c>
      <c r="H333" s="44">
        <v>50</v>
      </c>
      <c r="I333" s="48" t="s">
        <v>1073</v>
      </c>
      <c r="J333" s="48" t="s">
        <v>270</v>
      </c>
      <c r="K333" s="47"/>
      <c r="L333" s="47">
        <v>70</v>
      </c>
      <c r="M333" s="47">
        <v>150</v>
      </c>
      <c r="N333" s="605"/>
      <c r="O333" s="604"/>
      <c r="P333" s="46">
        <v>4</v>
      </c>
      <c r="Q333" s="45"/>
      <c r="R333" s="45" t="s">
        <v>1058</v>
      </c>
      <c r="S333" s="270">
        <v>20</v>
      </c>
      <c r="T333" s="606" t="s">
        <v>270</v>
      </c>
      <c r="U333" s="606" t="s">
        <v>270</v>
      </c>
      <c r="V333" s="44">
        <v>0</v>
      </c>
      <c r="W333" s="44">
        <v>6</v>
      </c>
      <c r="X333" s="44">
        <v>15</v>
      </c>
      <c r="Y333" s="44" t="s">
        <v>270</v>
      </c>
      <c r="Z333" s="44" t="s">
        <v>401</v>
      </c>
      <c r="AA333" s="44"/>
      <c r="AB333" s="44"/>
      <c r="AC333" s="43"/>
      <c r="AD333" s="43"/>
      <c r="AE333" s="583" t="s">
        <v>1159</v>
      </c>
      <c r="AF333" s="41"/>
      <c r="AG333" s="41"/>
      <c r="AH333" s="41"/>
      <c r="AI333" s="41"/>
      <c r="AJ333" s="41"/>
      <c r="AK333" s="41"/>
      <c r="AL333" s="41"/>
    </row>
    <row r="334" spans="1:38" s="50" customFormat="1" ht="15.95" customHeight="1">
      <c r="A334" s="50" t="s">
        <v>1072</v>
      </c>
      <c r="C334" s="661">
        <v>46230</v>
      </c>
      <c r="D334" s="830"/>
      <c r="E334" s="44"/>
      <c r="F334" s="44"/>
      <c r="G334" s="44"/>
      <c r="H334" s="44"/>
      <c r="I334" s="48"/>
      <c r="J334" s="48"/>
      <c r="K334" s="47"/>
      <c r="L334" s="47"/>
      <c r="M334" s="47"/>
      <c r="N334" s="93"/>
      <c r="O334" s="98"/>
      <c r="P334" s="46"/>
      <c r="Q334" s="45"/>
      <c r="R334" s="45"/>
      <c r="S334" s="43"/>
      <c r="T334" s="91"/>
      <c r="U334" s="91"/>
      <c r="V334" s="44"/>
      <c r="W334" s="44"/>
      <c r="X334" s="44"/>
      <c r="Y334" s="44"/>
      <c r="Z334" s="44"/>
      <c r="AA334" s="44"/>
      <c r="AB334" s="44"/>
      <c r="AC334" s="43"/>
      <c r="AD334" s="43"/>
      <c r="AE334" s="42"/>
      <c r="AF334" s="41"/>
      <c r="AG334" s="41"/>
      <c r="AH334" s="41"/>
      <c r="AI334" s="41"/>
      <c r="AJ334" s="41"/>
      <c r="AK334" s="41"/>
      <c r="AL334" s="41"/>
    </row>
    <row r="335" spans="1:38" s="50" customFormat="1" ht="15.95" customHeight="1">
      <c r="A335" s="50" t="s">
        <v>1160</v>
      </c>
      <c r="B335" s="50" t="s">
        <v>1150</v>
      </c>
      <c r="C335" s="661">
        <v>46230</v>
      </c>
      <c r="D335" s="830"/>
      <c r="E335" s="44">
        <v>90</v>
      </c>
      <c r="F335" s="44">
        <v>900</v>
      </c>
      <c r="G335" s="44">
        <v>80</v>
      </c>
      <c r="H335" s="44">
        <v>50</v>
      </c>
      <c r="I335" s="48" t="s">
        <v>1073</v>
      </c>
      <c r="J335" s="48" t="s">
        <v>270</v>
      </c>
      <c r="K335" s="47"/>
      <c r="L335" s="47">
        <v>70</v>
      </c>
      <c r="M335" s="47">
        <v>150</v>
      </c>
      <c r="N335" s="605"/>
      <c r="O335" s="604"/>
      <c r="P335" s="46">
        <v>4</v>
      </c>
      <c r="Q335" s="45"/>
      <c r="R335" s="45" t="s">
        <v>1058</v>
      </c>
      <c r="S335" s="270">
        <v>20</v>
      </c>
      <c r="T335" s="606" t="s">
        <v>270</v>
      </c>
      <c r="U335" s="606" t="s">
        <v>270</v>
      </c>
      <c r="V335" s="44">
        <v>0</v>
      </c>
      <c r="W335" s="44">
        <v>6</v>
      </c>
      <c r="X335" s="44">
        <v>15</v>
      </c>
      <c r="Y335" s="44" t="s">
        <v>1161</v>
      </c>
      <c r="Z335" s="44" t="s">
        <v>401</v>
      </c>
      <c r="AA335" s="44"/>
      <c r="AB335" s="44"/>
      <c r="AC335" s="43"/>
      <c r="AD335" s="43"/>
      <c r="AE335" s="42"/>
      <c r="AF335" s="41"/>
      <c r="AG335" s="41"/>
      <c r="AH335" s="41"/>
      <c r="AI335" s="41"/>
      <c r="AJ335" s="41"/>
      <c r="AK335" s="41"/>
      <c r="AL335" s="41"/>
    </row>
    <row r="336" spans="1:38" s="50" customFormat="1" ht="15.95" customHeight="1">
      <c r="A336" s="50" t="s">
        <v>1072</v>
      </c>
      <c r="C336" s="662">
        <v>46230</v>
      </c>
      <c r="D336" s="830"/>
      <c r="E336" s="44"/>
      <c r="F336" s="44"/>
      <c r="G336" s="44"/>
      <c r="H336" s="44"/>
      <c r="I336" s="48"/>
      <c r="J336" s="48"/>
      <c r="K336" s="47"/>
      <c r="L336" s="47"/>
      <c r="M336" s="47"/>
      <c r="N336" s="93"/>
      <c r="O336" s="98"/>
      <c r="P336" s="46"/>
      <c r="Q336" s="45"/>
      <c r="R336" s="45"/>
      <c r="S336" s="43"/>
      <c r="T336" s="91"/>
      <c r="U336" s="91"/>
      <c r="V336" s="44"/>
      <c r="W336" s="44"/>
      <c r="X336" s="44"/>
      <c r="Y336" s="44"/>
      <c r="Z336" s="44"/>
      <c r="AA336" s="44"/>
      <c r="AB336" s="44"/>
      <c r="AC336" s="43"/>
      <c r="AD336" s="43"/>
      <c r="AE336" s="42"/>
      <c r="AF336" s="41"/>
      <c r="AG336" s="41"/>
      <c r="AH336" s="41"/>
      <c r="AI336" s="41"/>
      <c r="AJ336" s="41"/>
      <c r="AK336" s="41"/>
      <c r="AL336" s="41"/>
    </row>
    <row r="337" spans="1:38" s="50" customFormat="1" ht="15.95" customHeight="1">
      <c r="A337" s="50" t="s">
        <v>1162</v>
      </c>
      <c r="B337" s="50" t="s">
        <v>1160</v>
      </c>
      <c r="C337" s="660">
        <v>46231</v>
      </c>
      <c r="D337" s="830"/>
      <c r="E337" s="44">
        <v>90</v>
      </c>
      <c r="F337" s="44">
        <v>900</v>
      </c>
      <c r="G337" s="44">
        <v>80</v>
      </c>
      <c r="H337" s="44">
        <v>50</v>
      </c>
      <c r="I337" s="48" t="s">
        <v>1073</v>
      </c>
      <c r="J337" s="48" t="s">
        <v>270</v>
      </c>
      <c r="K337" s="47"/>
      <c r="L337" s="47">
        <v>70</v>
      </c>
      <c r="M337" s="47">
        <v>150</v>
      </c>
      <c r="N337" s="605"/>
      <c r="O337" s="604"/>
      <c r="P337" s="46">
        <v>4</v>
      </c>
      <c r="Q337" s="45"/>
      <c r="R337" s="45" t="s">
        <v>1058</v>
      </c>
      <c r="S337" s="270">
        <v>20</v>
      </c>
      <c r="T337" s="606" t="s">
        <v>270</v>
      </c>
      <c r="U337" s="606" t="s">
        <v>270</v>
      </c>
      <c r="V337" s="77">
        <v>10</v>
      </c>
      <c r="W337" s="44">
        <v>6</v>
      </c>
      <c r="X337" s="44">
        <v>15</v>
      </c>
      <c r="Y337" s="44" t="s">
        <v>1161</v>
      </c>
      <c r="Z337" s="44" t="s">
        <v>401</v>
      </c>
      <c r="AA337" s="44"/>
      <c r="AB337" s="44"/>
      <c r="AC337" s="43"/>
      <c r="AD337" s="43"/>
      <c r="AE337" s="42"/>
      <c r="AF337" s="41" t="s">
        <v>1163</v>
      </c>
      <c r="AG337" s="41"/>
      <c r="AH337" s="41"/>
      <c r="AI337" s="41"/>
      <c r="AJ337" s="41"/>
      <c r="AK337" s="41"/>
      <c r="AL337" s="41"/>
    </row>
    <row r="338" spans="1:38" s="50" customFormat="1" ht="15.95" customHeight="1">
      <c r="A338" s="50" t="s">
        <v>1072</v>
      </c>
      <c r="C338" s="661">
        <v>46231</v>
      </c>
      <c r="D338" s="830"/>
      <c r="E338" s="44"/>
      <c r="F338" s="44"/>
      <c r="G338" s="44"/>
      <c r="H338" s="44"/>
      <c r="I338" s="48"/>
      <c r="J338" s="48"/>
      <c r="K338" s="47"/>
      <c r="L338" s="47"/>
      <c r="M338" s="47"/>
      <c r="N338" s="93"/>
      <c r="O338" s="98"/>
      <c r="P338" s="46"/>
      <c r="Q338" s="45"/>
      <c r="R338" s="45"/>
      <c r="S338" s="43"/>
      <c r="T338" s="91"/>
      <c r="U338" s="91"/>
      <c r="V338" s="44"/>
      <c r="W338" s="44"/>
      <c r="X338" s="44"/>
      <c r="Y338" s="44"/>
      <c r="Z338" s="44"/>
      <c r="AA338" s="44"/>
      <c r="AB338" s="44"/>
      <c r="AC338" s="43"/>
      <c r="AD338" s="43"/>
      <c r="AE338" s="42"/>
      <c r="AF338" s="41"/>
      <c r="AG338" s="41"/>
      <c r="AH338" s="41"/>
      <c r="AI338" s="41"/>
      <c r="AJ338" s="41"/>
      <c r="AK338" s="41"/>
      <c r="AL338" s="41"/>
    </row>
    <row r="339" spans="1:38" s="50" customFormat="1" ht="15.95" customHeight="1">
      <c r="A339" s="50" t="s">
        <v>1164</v>
      </c>
      <c r="B339" s="50" t="s">
        <v>1162</v>
      </c>
      <c r="C339" s="661">
        <v>46231</v>
      </c>
      <c r="D339" s="830"/>
      <c r="E339" s="44">
        <v>90</v>
      </c>
      <c r="F339" s="44">
        <v>900</v>
      </c>
      <c r="G339" s="44">
        <v>80</v>
      </c>
      <c r="H339" s="44">
        <v>50</v>
      </c>
      <c r="I339" s="48" t="s">
        <v>1073</v>
      </c>
      <c r="J339" s="48" t="s">
        <v>270</v>
      </c>
      <c r="K339" s="47"/>
      <c r="L339" s="47">
        <v>70</v>
      </c>
      <c r="M339" s="47">
        <v>150</v>
      </c>
      <c r="N339" s="605"/>
      <c r="O339" s="604"/>
      <c r="P339" s="46">
        <v>4</v>
      </c>
      <c r="Q339" s="45"/>
      <c r="R339" s="45" t="s">
        <v>1058</v>
      </c>
      <c r="S339" s="270">
        <v>20</v>
      </c>
      <c r="T339" s="606" t="s">
        <v>270</v>
      </c>
      <c r="U339" s="606" t="s">
        <v>270</v>
      </c>
      <c r="V339" s="44">
        <v>10</v>
      </c>
      <c r="W339" s="44">
        <v>6</v>
      </c>
      <c r="X339" s="44">
        <v>15</v>
      </c>
      <c r="Y339" s="44" t="s">
        <v>1165</v>
      </c>
      <c r="Z339" s="44" t="s">
        <v>401</v>
      </c>
      <c r="AA339" s="44"/>
      <c r="AB339" s="44"/>
      <c r="AC339" s="43"/>
      <c r="AD339" s="43"/>
      <c r="AE339" s="42"/>
      <c r="AF339" s="41" t="s">
        <v>1166</v>
      </c>
      <c r="AG339" s="41"/>
      <c r="AH339" s="41"/>
      <c r="AI339" s="41"/>
      <c r="AJ339" s="41"/>
      <c r="AK339" s="41"/>
      <c r="AL339" s="41"/>
    </row>
    <row r="340" spans="1:38" s="50" customFormat="1" ht="15.95" customHeight="1">
      <c r="A340" s="50" t="s">
        <v>1072</v>
      </c>
      <c r="C340" s="661">
        <v>46231</v>
      </c>
      <c r="D340" s="830"/>
      <c r="E340" s="44"/>
      <c r="F340" s="44"/>
      <c r="G340" s="44"/>
      <c r="H340" s="44"/>
      <c r="I340" s="48"/>
      <c r="J340" s="48"/>
      <c r="K340" s="47"/>
      <c r="L340" s="47"/>
      <c r="M340" s="47"/>
      <c r="N340" s="93"/>
      <c r="O340" s="98"/>
      <c r="P340" s="46"/>
      <c r="Q340" s="45"/>
      <c r="R340" s="45"/>
      <c r="S340" s="43"/>
      <c r="T340" s="91"/>
      <c r="U340" s="91"/>
      <c r="V340" s="44"/>
      <c r="W340" s="44"/>
      <c r="X340" s="44"/>
      <c r="Y340" s="44"/>
      <c r="Z340" s="44"/>
      <c r="AA340" s="44"/>
      <c r="AB340" s="44"/>
      <c r="AC340" s="43"/>
      <c r="AD340" s="43"/>
      <c r="AE340" s="42"/>
      <c r="AF340" s="41"/>
      <c r="AG340" s="41"/>
      <c r="AH340" s="41"/>
      <c r="AI340" s="41"/>
      <c r="AJ340" s="41"/>
      <c r="AK340" s="41"/>
      <c r="AL340" s="41"/>
    </row>
    <row r="341" spans="1:38" ht="15.95" customHeight="1">
      <c r="A341" s="632" t="s">
        <v>1167</v>
      </c>
      <c r="B341" s="50" t="s">
        <v>1162</v>
      </c>
      <c r="C341" s="661">
        <v>46231</v>
      </c>
      <c r="D341" s="830"/>
      <c r="E341" s="44">
        <v>90</v>
      </c>
      <c r="F341" s="44">
        <v>900</v>
      </c>
      <c r="G341" s="44">
        <v>80</v>
      </c>
      <c r="H341" s="44">
        <v>50</v>
      </c>
      <c r="I341" s="48" t="s">
        <v>1073</v>
      </c>
      <c r="J341" s="48" t="s">
        <v>270</v>
      </c>
      <c r="L341" s="47">
        <v>70</v>
      </c>
      <c r="M341" s="47">
        <v>150</v>
      </c>
      <c r="N341" s="605"/>
      <c r="O341" s="604"/>
      <c r="P341" s="46">
        <v>4</v>
      </c>
      <c r="Q341" s="45"/>
      <c r="R341" s="45" t="s">
        <v>1058</v>
      </c>
      <c r="S341" s="270">
        <v>20</v>
      </c>
      <c r="T341" s="606" t="s">
        <v>270</v>
      </c>
      <c r="U341" s="606" t="s">
        <v>270</v>
      </c>
      <c r="V341" s="44">
        <v>10</v>
      </c>
      <c r="W341" s="44">
        <v>6</v>
      </c>
      <c r="X341" s="44">
        <v>15</v>
      </c>
      <c r="Y341" s="44" t="s">
        <v>1161</v>
      </c>
      <c r="Z341" s="44" t="s">
        <v>401</v>
      </c>
      <c r="AF341" s="41" t="s">
        <v>1168</v>
      </c>
      <c r="AH341" s="41" t="s">
        <v>1169</v>
      </c>
      <c r="AJ341" s="41">
        <v>0.14000000000000001</v>
      </c>
      <c r="AK341" s="41">
        <v>1.456</v>
      </c>
    </row>
    <row r="342" spans="1:38" ht="15.95" customHeight="1">
      <c r="A342" s="50" t="s">
        <v>1072</v>
      </c>
      <c r="C342" s="662">
        <v>46231</v>
      </c>
      <c r="D342" s="830"/>
      <c r="Q342" s="45"/>
    </row>
    <row r="343" spans="1:38" ht="15.95" customHeight="1">
      <c r="A343" s="50" t="s">
        <v>1170</v>
      </c>
      <c r="B343" s="50" t="s">
        <v>1167</v>
      </c>
      <c r="C343" s="316">
        <v>46232</v>
      </c>
      <c r="D343" s="830"/>
      <c r="E343" s="44">
        <v>90</v>
      </c>
      <c r="F343" s="44">
        <v>900</v>
      </c>
      <c r="G343" s="44">
        <v>80</v>
      </c>
      <c r="H343" s="44">
        <v>50</v>
      </c>
      <c r="I343" s="48" t="s">
        <v>1073</v>
      </c>
      <c r="J343" s="48" t="s">
        <v>270</v>
      </c>
      <c r="L343" s="47">
        <v>70</v>
      </c>
      <c r="M343" s="47">
        <v>150</v>
      </c>
      <c r="N343" s="605"/>
      <c r="O343" s="604"/>
      <c r="P343" s="46">
        <v>4</v>
      </c>
      <c r="Q343" s="45"/>
      <c r="R343" s="45" t="s">
        <v>1058</v>
      </c>
      <c r="S343" s="270">
        <v>20</v>
      </c>
      <c r="T343" s="606" t="s">
        <v>270</v>
      </c>
      <c r="U343" s="606" t="s">
        <v>270</v>
      </c>
      <c r="V343" s="44">
        <v>10</v>
      </c>
      <c r="W343" s="44">
        <v>6</v>
      </c>
      <c r="X343" s="44">
        <v>15</v>
      </c>
      <c r="Y343" s="44" t="s">
        <v>1161</v>
      </c>
      <c r="Z343" s="44" t="s">
        <v>401</v>
      </c>
      <c r="AF343" s="41" t="s">
        <v>1171</v>
      </c>
      <c r="AH343" s="41" t="s">
        <v>1172</v>
      </c>
      <c r="AJ343" s="41">
        <v>0.16</v>
      </c>
      <c r="AK343" s="41">
        <v>2.73</v>
      </c>
    </row>
    <row r="344" spans="1:38" ht="15.95" customHeight="1">
      <c r="A344" s="50" t="s">
        <v>1072</v>
      </c>
      <c r="C344" s="317">
        <v>46232</v>
      </c>
      <c r="D344" s="830"/>
      <c r="Q344" s="45"/>
    </row>
    <row r="345" spans="1:38" ht="15.95" customHeight="1">
      <c r="A345" s="50" t="s">
        <v>1173</v>
      </c>
      <c r="B345" s="50" t="s">
        <v>1167</v>
      </c>
      <c r="C345" s="317">
        <v>46232</v>
      </c>
      <c r="D345" s="830"/>
      <c r="E345" s="44">
        <v>90</v>
      </c>
      <c r="F345" s="44">
        <v>900</v>
      </c>
      <c r="G345" s="44">
        <v>80</v>
      </c>
      <c r="H345" s="44">
        <v>50</v>
      </c>
      <c r="I345" s="48" t="s">
        <v>1073</v>
      </c>
      <c r="J345" s="48" t="s">
        <v>270</v>
      </c>
      <c r="L345" s="47">
        <v>70</v>
      </c>
      <c r="M345" s="47">
        <v>150</v>
      </c>
      <c r="N345" s="605"/>
      <c r="O345" s="604"/>
      <c r="P345" s="46">
        <v>4</v>
      </c>
      <c r="Q345" s="45"/>
      <c r="R345" s="45" t="s">
        <v>1058</v>
      </c>
      <c r="S345" s="270">
        <v>20</v>
      </c>
      <c r="T345" s="606" t="s">
        <v>270</v>
      </c>
      <c r="U345" s="606" t="s">
        <v>270</v>
      </c>
      <c r="V345" s="44">
        <v>10</v>
      </c>
      <c r="W345" s="44">
        <v>6</v>
      </c>
      <c r="X345" s="44">
        <v>15</v>
      </c>
      <c r="Y345" s="44" t="s">
        <v>1174</v>
      </c>
      <c r="Z345" s="44" t="s">
        <v>401</v>
      </c>
      <c r="AF345" s="41" t="s">
        <v>1175</v>
      </c>
      <c r="AH345" s="41" t="s">
        <v>1176</v>
      </c>
    </row>
    <row r="346" spans="1:38" ht="15.95" customHeight="1">
      <c r="A346" s="50" t="s">
        <v>1072</v>
      </c>
      <c r="C346" s="318">
        <v>46232</v>
      </c>
      <c r="D346" s="831"/>
      <c r="Q346" s="45"/>
    </row>
    <row r="347" spans="1:38" ht="15.95" customHeight="1">
      <c r="A347" s="50" t="s">
        <v>1177</v>
      </c>
      <c r="B347" s="50" t="s">
        <v>1167</v>
      </c>
      <c r="C347" s="316">
        <v>46233</v>
      </c>
      <c r="E347" s="44">
        <v>90</v>
      </c>
      <c r="F347" s="44">
        <v>900</v>
      </c>
      <c r="G347" s="77">
        <v>30</v>
      </c>
      <c r="H347" s="44">
        <v>50</v>
      </c>
      <c r="I347" s="48" t="s">
        <v>1073</v>
      </c>
      <c r="J347" s="48" t="s">
        <v>270</v>
      </c>
      <c r="L347" s="47">
        <v>70</v>
      </c>
      <c r="M347" s="47">
        <v>150</v>
      </c>
      <c r="N347" s="605"/>
      <c r="O347" s="604"/>
      <c r="P347" s="46">
        <v>4</v>
      </c>
      <c r="Q347" s="45"/>
      <c r="R347" s="45" t="s">
        <v>1058</v>
      </c>
      <c r="S347" s="270">
        <v>20</v>
      </c>
      <c r="T347" s="606" t="s">
        <v>270</v>
      </c>
      <c r="U347" s="606" t="s">
        <v>270</v>
      </c>
      <c r="V347" s="44">
        <v>10</v>
      </c>
      <c r="W347" s="44">
        <v>6</v>
      </c>
      <c r="X347" s="44">
        <v>15</v>
      </c>
      <c r="Y347" s="44" t="s">
        <v>1161</v>
      </c>
      <c r="Z347" s="44" t="s">
        <v>401</v>
      </c>
      <c r="AF347" s="41" t="s">
        <v>1178</v>
      </c>
      <c r="AG347" s="400" t="s">
        <v>1179</v>
      </c>
    </row>
    <row r="348" spans="1:38" ht="15.95" customHeight="1">
      <c r="A348" s="50" t="s">
        <v>1072</v>
      </c>
      <c r="C348" s="317">
        <v>46233</v>
      </c>
      <c r="Q348" s="45"/>
    </row>
    <row r="349" spans="1:38" ht="15.95" customHeight="1">
      <c r="A349" s="50" t="s">
        <v>1180</v>
      </c>
      <c r="C349" s="317">
        <v>46233</v>
      </c>
      <c r="E349" s="44">
        <v>90</v>
      </c>
      <c r="F349" s="44">
        <v>900</v>
      </c>
      <c r="G349" s="44">
        <v>30</v>
      </c>
      <c r="H349" s="44">
        <v>50</v>
      </c>
      <c r="I349" s="48" t="s">
        <v>1073</v>
      </c>
      <c r="J349" s="48" t="s">
        <v>270</v>
      </c>
      <c r="L349" s="47">
        <v>70</v>
      </c>
      <c r="M349" s="47">
        <v>150</v>
      </c>
      <c r="N349" s="605"/>
      <c r="O349" s="604"/>
      <c r="P349" s="46">
        <v>4</v>
      </c>
      <c r="Q349" s="45"/>
      <c r="R349" s="45" t="s">
        <v>1058</v>
      </c>
      <c r="S349" s="270">
        <v>20</v>
      </c>
      <c r="T349" s="606" t="s">
        <v>270</v>
      </c>
      <c r="U349" s="606" t="s">
        <v>270</v>
      </c>
      <c r="V349" s="44">
        <v>10</v>
      </c>
      <c r="W349" s="44">
        <v>6</v>
      </c>
      <c r="X349" s="44">
        <v>15</v>
      </c>
      <c r="Y349" s="44" t="s">
        <v>1161</v>
      </c>
      <c r="Z349" s="44" t="s">
        <v>401</v>
      </c>
    </row>
    <row r="350" spans="1:38" ht="15.95" customHeight="1">
      <c r="A350" s="50" t="s">
        <v>1072</v>
      </c>
      <c r="C350" s="318">
        <v>46233</v>
      </c>
      <c r="I350" s="82" t="s">
        <v>1100</v>
      </c>
      <c r="Q350" s="45"/>
    </row>
    <row r="351" spans="1:38" ht="15.95" customHeight="1">
      <c r="A351" s="50" t="s">
        <v>1181</v>
      </c>
      <c r="B351" s="50" t="s">
        <v>1167</v>
      </c>
      <c r="C351" s="316">
        <v>46234</v>
      </c>
      <c r="D351" s="49" t="s">
        <v>1182</v>
      </c>
      <c r="E351" s="44">
        <v>90</v>
      </c>
      <c r="F351" s="44">
        <v>900</v>
      </c>
      <c r="G351" s="44">
        <v>80</v>
      </c>
      <c r="H351" s="44">
        <v>50</v>
      </c>
      <c r="I351" s="82" t="s">
        <v>1100</v>
      </c>
      <c r="J351" s="48" t="s">
        <v>270</v>
      </c>
      <c r="L351" s="47">
        <v>70</v>
      </c>
      <c r="M351" s="47">
        <v>150</v>
      </c>
      <c r="N351" s="605"/>
      <c r="O351" s="604"/>
      <c r="P351" s="46">
        <v>4</v>
      </c>
      <c r="Q351" s="45"/>
      <c r="R351" s="45" t="s">
        <v>1058</v>
      </c>
      <c r="S351" s="270">
        <v>20</v>
      </c>
      <c r="T351" s="606" t="s">
        <v>270</v>
      </c>
      <c r="U351" s="606" t="s">
        <v>270</v>
      </c>
      <c r="V351" s="44">
        <v>10</v>
      </c>
      <c r="W351" s="44">
        <v>6</v>
      </c>
      <c r="X351" s="44">
        <v>15</v>
      </c>
      <c r="Y351" s="44" t="s">
        <v>1161</v>
      </c>
      <c r="Z351" s="44" t="s">
        <v>401</v>
      </c>
    </row>
    <row r="352" spans="1:38" ht="15.95" customHeight="1">
      <c r="A352" s="50" t="s">
        <v>1072</v>
      </c>
      <c r="C352" s="318">
        <v>46234</v>
      </c>
      <c r="Q352" s="45"/>
    </row>
    <row r="353" spans="1:33" ht="15.95" customHeight="1">
      <c r="A353" s="50" t="s">
        <v>1183</v>
      </c>
      <c r="B353" s="50" t="s">
        <v>1181</v>
      </c>
      <c r="C353" s="316">
        <v>46237</v>
      </c>
      <c r="D353" s="633" t="s">
        <v>1184</v>
      </c>
      <c r="E353" s="44">
        <v>90</v>
      </c>
      <c r="F353" s="44">
        <v>900</v>
      </c>
      <c r="G353" s="44">
        <v>80</v>
      </c>
      <c r="H353" s="44">
        <v>50</v>
      </c>
      <c r="I353" s="48" t="s">
        <v>1073</v>
      </c>
      <c r="J353" s="48" t="s">
        <v>270</v>
      </c>
      <c r="L353" s="47">
        <v>70</v>
      </c>
      <c r="M353" s="47">
        <v>150</v>
      </c>
      <c r="N353" s="605"/>
      <c r="O353" s="604"/>
      <c r="P353" s="46">
        <v>4</v>
      </c>
      <c r="Q353" s="45"/>
      <c r="R353" s="45" t="s">
        <v>1058</v>
      </c>
      <c r="S353" s="270">
        <v>20</v>
      </c>
      <c r="T353" s="606" t="s">
        <v>270</v>
      </c>
      <c r="U353" s="606" t="s">
        <v>270</v>
      </c>
      <c r="V353" s="44">
        <v>10</v>
      </c>
      <c r="W353" s="44">
        <v>6</v>
      </c>
      <c r="X353" s="44">
        <v>15</v>
      </c>
      <c r="Y353" s="77" t="s">
        <v>1185</v>
      </c>
      <c r="Z353" s="44" t="s">
        <v>401</v>
      </c>
      <c r="AF353" s="41" t="s">
        <v>1186</v>
      </c>
      <c r="AG353" s="400" t="s">
        <v>1187</v>
      </c>
    </row>
    <row r="354" spans="1:33" ht="15.95" customHeight="1">
      <c r="A354" s="50" t="s">
        <v>1072</v>
      </c>
      <c r="C354" s="317">
        <v>46237</v>
      </c>
      <c r="Q354" s="45"/>
    </row>
    <row r="355" spans="1:33" ht="15.95" customHeight="1">
      <c r="A355" s="50" t="s">
        <v>1188</v>
      </c>
      <c r="B355" s="50" t="s">
        <v>1183</v>
      </c>
      <c r="C355" s="317">
        <v>46237</v>
      </c>
      <c r="D355" s="49" t="s">
        <v>1189</v>
      </c>
      <c r="E355" s="44">
        <v>90</v>
      </c>
      <c r="F355" s="44">
        <v>900</v>
      </c>
      <c r="G355" s="77">
        <v>70</v>
      </c>
      <c r="H355" s="44">
        <v>50</v>
      </c>
      <c r="I355" s="48" t="s">
        <v>1073</v>
      </c>
      <c r="J355" s="48" t="s">
        <v>270</v>
      </c>
      <c r="L355" s="362">
        <v>80</v>
      </c>
      <c r="M355" s="47">
        <v>150</v>
      </c>
      <c r="N355" s="605"/>
      <c r="O355" s="604"/>
      <c r="P355" s="46">
        <v>4</v>
      </c>
      <c r="Q355" s="45"/>
      <c r="R355" s="45" t="s">
        <v>1058</v>
      </c>
      <c r="S355" s="270">
        <v>20</v>
      </c>
      <c r="T355" s="606" t="s">
        <v>270</v>
      </c>
      <c r="U355" s="606" t="s">
        <v>270</v>
      </c>
      <c r="V355" s="44">
        <v>10</v>
      </c>
      <c r="W355" s="44">
        <v>6</v>
      </c>
      <c r="X355" s="44">
        <v>15</v>
      </c>
      <c r="Y355" s="44" t="s">
        <v>1185</v>
      </c>
      <c r="Z355" s="44" t="s">
        <v>401</v>
      </c>
    </row>
    <row r="356" spans="1:33" ht="15.95" customHeight="1">
      <c r="A356" s="50" t="s">
        <v>1072</v>
      </c>
      <c r="C356" s="318">
        <v>46237</v>
      </c>
      <c r="Q356" s="45"/>
    </row>
    <row r="357" spans="1:33" ht="15.95" customHeight="1">
      <c r="A357" s="50" t="s">
        <v>1190</v>
      </c>
      <c r="B357" s="50" t="s">
        <v>1183</v>
      </c>
      <c r="C357" s="316">
        <v>46238</v>
      </c>
      <c r="D357" s="49" t="s">
        <v>1191</v>
      </c>
      <c r="E357" s="77">
        <v>100</v>
      </c>
      <c r="F357" s="44">
        <v>900</v>
      </c>
      <c r="G357" s="44" t="s">
        <v>1192</v>
      </c>
      <c r="H357" s="44">
        <v>50</v>
      </c>
      <c r="I357" s="48" t="s">
        <v>1073</v>
      </c>
      <c r="J357" s="48" t="s">
        <v>270</v>
      </c>
      <c r="L357" s="47" t="s">
        <v>1192</v>
      </c>
      <c r="M357" s="47">
        <v>150</v>
      </c>
      <c r="N357" s="605"/>
      <c r="O357" s="604"/>
      <c r="P357" s="46">
        <v>4</v>
      </c>
      <c r="Q357" s="45"/>
      <c r="R357" s="45" t="s">
        <v>1058</v>
      </c>
      <c r="S357" s="270">
        <v>20</v>
      </c>
      <c r="T357" s="606" t="s">
        <v>270</v>
      </c>
      <c r="U357" s="606" t="s">
        <v>270</v>
      </c>
      <c r="V357" s="44">
        <v>10</v>
      </c>
      <c r="W357" s="44">
        <v>6</v>
      </c>
      <c r="X357" s="44">
        <v>15</v>
      </c>
      <c r="Y357" s="44" t="s">
        <v>1185</v>
      </c>
      <c r="Z357" s="44" t="s">
        <v>401</v>
      </c>
    </row>
    <row r="358" spans="1:33" ht="15.95" customHeight="1">
      <c r="A358" s="50" t="s">
        <v>1072</v>
      </c>
      <c r="C358" s="318">
        <v>46238</v>
      </c>
      <c r="Q358" s="45"/>
      <c r="AE358" s="41" t="s">
        <v>214</v>
      </c>
    </row>
    <row r="359" spans="1:33" ht="15.95" customHeight="1">
      <c r="A359" s="50" t="s">
        <v>1193</v>
      </c>
      <c r="B359" s="50" t="s">
        <v>1167</v>
      </c>
      <c r="C359" s="316">
        <v>46239</v>
      </c>
      <c r="D359" s="49" t="s">
        <v>1182</v>
      </c>
      <c r="E359" s="44">
        <v>90</v>
      </c>
      <c r="F359" s="44">
        <v>900</v>
      </c>
      <c r="G359" s="44">
        <v>80</v>
      </c>
      <c r="H359" s="44">
        <v>50</v>
      </c>
      <c r="I359" s="48" t="s">
        <v>1073</v>
      </c>
      <c r="J359" s="48" t="s">
        <v>270</v>
      </c>
      <c r="L359" s="47">
        <v>70</v>
      </c>
      <c r="M359" s="47">
        <v>150</v>
      </c>
      <c r="N359" s="605"/>
      <c r="O359" s="604"/>
      <c r="P359" s="46">
        <v>4</v>
      </c>
      <c r="Q359" s="45"/>
      <c r="R359" s="45" t="s">
        <v>1058</v>
      </c>
      <c r="S359" s="270">
        <v>20</v>
      </c>
      <c r="T359" s="606" t="s">
        <v>270</v>
      </c>
      <c r="U359" s="606" t="s">
        <v>270</v>
      </c>
      <c r="V359" s="44">
        <v>10</v>
      </c>
      <c r="W359" s="44">
        <v>6</v>
      </c>
      <c r="X359" s="44">
        <v>15</v>
      </c>
      <c r="Y359" s="77" t="s">
        <v>1161</v>
      </c>
      <c r="Z359" s="44" t="s">
        <v>401</v>
      </c>
      <c r="AE359" s="854" t="s">
        <v>1194</v>
      </c>
      <c r="AF359" s="41" t="s">
        <v>1195</v>
      </c>
    </row>
    <row r="360" spans="1:33" ht="15.95" customHeight="1">
      <c r="A360" s="50" t="s">
        <v>1072</v>
      </c>
      <c r="C360" s="318">
        <v>46239</v>
      </c>
      <c r="Q360" s="45"/>
      <c r="AE360" s="855"/>
    </row>
    <row r="361" spans="1:33" ht="15.95" customHeight="1">
      <c r="A361" s="50" t="s">
        <v>1196</v>
      </c>
      <c r="B361" s="50" t="s">
        <v>1167</v>
      </c>
      <c r="C361" s="316">
        <v>46240</v>
      </c>
      <c r="D361" s="633" t="s">
        <v>1184</v>
      </c>
      <c r="E361" s="44">
        <v>90</v>
      </c>
      <c r="F361" s="44">
        <v>900</v>
      </c>
      <c r="G361" s="44">
        <v>80</v>
      </c>
      <c r="H361" s="44">
        <v>50</v>
      </c>
      <c r="I361" s="48" t="s">
        <v>1073</v>
      </c>
      <c r="J361" s="48" t="s">
        <v>270</v>
      </c>
      <c r="L361" s="47">
        <v>70</v>
      </c>
      <c r="M361" s="47">
        <v>150</v>
      </c>
      <c r="N361" s="605"/>
      <c r="O361" s="604"/>
      <c r="P361" s="46">
        <v>4</v>
      </c>
      <c r="Q361" s="45"/>
      <c r="R361" s="45" t="s">
        <v>1058</v>
      </c>
      <c r="S361" s="270">
        <v>20</v>
      </c>
      <c r="T361" s="606" t="s">
        <v>270</v>
      </c>
      <c r="U361" s="606" t="s">
        <v>270</v>
      </c>
      <c r="V361" s="44">
        <v>10</v>
      </c>
      <c r="W361" s="44">
        <v>6</v>
      </c>
      <c r="X361" s="44">
        <v>15</v>
      </c>
      <c r="Y361" s="77" t="s">
        <v>1185</v>
      </c>
      <c r="Z361" s="44" t="s">
        <v>401</v>
      </c>
      <c r="AE361" s="856"/>
    </row>
    <row r="362" spans="1:33" ht="15.95" customHeight="1">
      <c r="A362" s="50" t="s">
        <v>1072</v>
      </c>
      <c r="C362" s="317">
        <v>46240</v>
      </c>
      <c r="Q362" s="45"/>
    </row>
    <row r="363" spans="1:33" ht="15.95" customHeight="1">
      <c r="A363" s="50" t="s">
        <v>1197</v>
      </c>
      <c r="B363" s="50" t="s">
        <v>1167</v>
      </c>
      <c r="C363" s="317">
        <v>46240</v>
      </c>
      <c r="D363" s="352" t="s">
        <v>1182</v>
      </c>
      <c r="E363" s="44">
        <v>90</v>
      </c>
      <c r="F363" s="44">
        <v>900</v>
      </c>
      <c r="G363" s="44">
        <v>80</v>
      </c>
      <c r="H363" s="44">
        <v>50</v>
      </c>
      <c r="I363" s="48" t="s">
        <v>1073</v>
      </c>
      <c r="J363" s="48" t="s">
        <v>270</v>
      </c>
      <c r="L363" s="47">
        <v>70</v>
      </c>
      <c r="M363" s="47">
        <v>150</v>
      </c>
      <c r="N363" s="605"/>
      <c r="O363" s="604"/>
      <c r="P363" s="46">
        <v>4</v>
      </c>
      <c r="Q363" s="45"/>
      <c r="R363" s="45" t="s">
        <v>1058</v>
      </c>
      <c r="S363" s="270">
        <v>20</v>
      </c>
      <c r="T363" s="606" t="s">
        <v>270</v>
      </c>
      <c r="U363" s="606" t="s">
        <v>270</v>
      </c>
      <c r="V363" s="44">
        <v>10</v>
      </c>
      <c r="W363" s="44">
        <v>6</v>
      </c>
      <c r="X363" s="44">
        <v>15</v>
      </c>
      <c r="Y363" s="77" t="s">
        <v>1161</v>
      </c>
      <c r="Z363" s="44" t="s">
        <v>401</v>
      </c>
    </row>
    <row r="364" spans="1:33" ht="15.95" customHeight="1">
      <c r="A364" s="50" t="s">
        <v>1072</v>
      </c>
      <c r="C364" s="317">
        <v>46240</v>
      </c>
      <c r="Q364" s="45"/>
    </row>
    <row r="365" spans="1:33" ht="15.95" customHeight="1">
      <c r="A365" s="50" t="s">
        <v>1198</v>
      </c>
      <c r="B365" s="50" t="s">
        <v>1167</v>
      </c>
      <c r="C365" s="317">
        <v>46240</v>
      </c>
      <c r="D365" s="49" t="s">
        <v>1199</v>
      </c>
      <c r="E365" s="44">
        <v>90</v>
      </c>
      <c r="F365" s="44">
        <v>900</v>
      </c>
      <c r="G365" s="44">
        <v>80</v>
      </c>
      <c r="H365" s="44">
        <v>50</v>
      </c>
      <c r="I365" s="48" t="s">
        <v>1073</v>
      </c>
      <c r="J365" s="48" t="s">
        <v>270</v>
      </c>
      <c r="L365" s="47" t="s">
        <v>1192</v>
      </c>
      <c r="M365" s="47">
        <v>150</v>
      </c>
      <c r="N365" s="605"/>
      <c r="O365" s="604"/>
      <c r="P365" s="46">
        <v>4</v>
      </c>
      <c r="Q365" s="45"/>
      <c r="R365" s="45" t="s">
        <v>1058</v>
      </c>
      <c r="S365" s="270">
        <v>20</v>
      </c>
      <c r="T365" s="606" t="s">
        <v>270</v>
      </c>
      <c r="U365" s="606" t="s">
        <v>270</v>
      </c>
      <c r="V365" s="44">
        <v>10</v>
      </c>
      <c r="W365" s="44">
        <v>6</v>
      </c>
      <c r="X365" s="44">
        <v>15</v>
      </c>
      <c r="Y365" s="77" t="s">
        <v>1185</v>
      </c>
      <c r="Z365" s="44" t="s">
        <v>401</v>
      </c>
    </row>
    <row r="366" spans="1:33" ht="15.95" customHeight="1">
      <c r="A366" s="50" t="s">
        <v>1072</v>
      </c>
      <c r="C366" s="318">
        <v>46240</v>
      </c>
      <c r="Q366" s="45"/>
    </row>
    <row r="367" spans="1:33" ht="15.95" customHeight="1">
      <c r="A367" s="50" t="s">
        <v>1200</v>
      </c>
      <c r="B367" s="50" t="s">
        <v>1167</v>
      </c>
      <c r="C367" s="316">
        <v>46241</v>
      </c>
      <c r="D367" s="49" t="s">
        <v>1191</v>
      </c>
      <c r="E367" s="77">
        <v>110</v>
      </c>
      <c r="F367" s="44">
        <v>900</v>
      </c>
      <c r="G367" s="44">
        <v>80</v>
      </c>
      <c r="H367" s="44">
        <v>50</v>
      </c>
      <c r="I367" s="48" t="s">
        <v>1073</v>
      </c>
      <c r="J367" s="48" t="s">
        <v>270</v>
      </c>
      <c r="L367" s="47" t="s">
        <v>1192</v>
      </c>
      <c r="M367" s="47">
        <v>150</v>
      </c>
      <c r="N367" s="605"/>
      <c r="O367" s="604"/>
      <c r="P367" s="46">
        <v>4</v>
      </c>
      <c r="Q367" s="45"/>
      <c r="R367" s="45" t="s">
        <v>1058</v>
      </c>
      <c r="S367" s="270">
        <v>20</v>
      </c>
      <c r="T367" s="606" t="s">
        <v>270</v>
      </c>
      <c r="U367" s="606" t="s">
        <v>270</v>
      </c>
      <c r="V367" s="44">
        <v>10</v>
      </c>
      <c r="W367" s="44">
        <v>6</v>
      </c>
      <c r="X367" s="44">
        <v>15</v>
      </c>
      <c r="Y367" s="77" t="s">
        <v>1161</v>
      </c>
      <c r="Z367" s="44" t="s">
        <v>401</v>
      </c>
    </row>
    <row r="368" spans="1:33" ht="15.95" customHeight="1">
      <c r="A368" s="50" t="s">
        <v>1072</v>
      </c>
      <c r="C368" s="317">
        <v>46241</v>
      </c>
      <c r="Q368" s="45"/>
    </row>
    <row r="369" spans="1:32" ht="15.95" customHeight="1">
      <c r="A369" s="50" t="s">
        <v>1201</v>
      </c>
      <c r="B369" s="50" t="s">
        <v>1167</v>
      </c>
      <c r="C369" s="317">
        <v>46241</v>
      </c>
      <c r="E369" s="44">
        <v>100</v>
      </c>
      <c r="F369" s="44">
        <v>900</v>
      </c>
      <c r="G369" s="44">
        <v>80</v>
      </c>
      <c r="H369" s="44">
        <v>50</v>
      </c>
      <c r="I369" s="48" t="s">
        <v>1073</v>
      </c>
      <c r="J369" s="48" t="s">
        <v>270</v>
      </c>
      <c r="L369" s="47" t="s">
        <v>1192</v>
      </c>
      <c r="M369" s="47">
        <v>150</v>
      </c>
      <c r="N369" s="605"/>
      <c r="O369" s="604"/>
      <c r="P369" s="46">
        <v>4</v>
      </c>
      <c r="Q369" s="45"/>
      <c r="R369" s="45" t="s">
        <v>1058</v>
      </c>
      <c r="S369" s="270">
        <v>20</v>
      </c>
      <c r="T369" s="606" t="s">
        <v>270</v>
      </c>
      <c r="U369" s="606" t="s">
        <v>270</v>
      </c>
      <c r="V369" s="44">
        <v>10</v>
      </c>
      <c r="W369" s="44">
        <v>6</v>
      </c>
      <c r="X369" s="44">
        <v>15</v>
      </c>
      <c r="Y369" s="44" t="s">
        <v>1161</v>
      </c>
      <c r="Z369" s="44" t="s">
        <v>401</v>
      </c>
    </row>
    <row r="370" spans="1:32" ht="15.95" customHeight="1">
      <c r="A370" s="50" t="s">
        <v>1072</v>
      </c>
      <c r="C370" s="317">
        <v>46241</v>
      </c>
      <c r="Q370" s="45"/>
    </row>
    <row r="371" spans="1:32" ht="15.95" customHeight="1">
      <c r="A371" s="50" t="s">
        <v>1202</v>
      </c>
      <c r="B371" s="50" t="s">
        <v>1167</v>
      </c>
      <c r="C371" s="316">
        <v>46242</v>
      </c>
      <c r="D371" s="49" t="s">
        <v>1203</v>
      </c>
      <c r="E371" s="44">
        <v>100</v>
      </c>
      <c r="F371" s="44">
        <v>900</v>
      </c>
      <c r="G371" s="44">
        <v>80</v>
      </c>
      <c r="H371" s="44">
        <v>50</v>
      </c>
      <c r="I371" s="48" t="s">
        <v>1073</v>
      </c>
      <c r="J371" s="48" t="s">
        <v>270</v>
      </c>
      <c r="L371" s="47" t="s">
        <v>1192</v>
      </c>
      <c r="M371" s="47">
        <v>150</v>
      </c>
      <c r="N371" s="605"/>
      <c r="O371" s="604"/>
      <c r="P371" s="46">
        <v>4</v>
      </c>
      <c r="Q371" s="45"/>
      <c r="R371" s="45" t="s">
        <v>1058</v>
      </c>
      <c r="S371" s="270">
        <v>20</v>
      </c>
      <c r="T371" s="606" t="s">
        <v>270</v>
      </c>
      <c r="U371" s="606" t="s">
        <v>270</v>
      </c>
      <c r="V371" s="44">
        <v>10</v>
      </c>
      <c r="W371" s="44">
        <v>6</v>
      </c>
      <c r="X371" s="44">
        <v>15</v>
      </c>
      <c r="Y371" s="44" t="s">
        <v>1161</v>
      </c>
      <c r="Z371" s="44" t="s">
        <v>401</v>
      </c>
      <c r="AF371" s="41" t="s">
        <v>1204</v>
      </c>
    </row>
    <row r="372" spans="1:32" ht="15.95" customHeight="1">
      <c r="A372" s="50" t="s">
        <v>1072</v>
      </c>
      <c r="C372" s="317">
        <v>46242</v>
      </c>
      <c r="Q372" s="45"/>
    </row>
    <row r="373" spans="1:32" ht="15.95" customHeight="1">
      <c r="A373" s="50" t="s">
        <v>1205</v>
      </c>
      <c r="B373" s="50" t="s">
        <v>1167</v>
      </c>
      <c r="C373" s="317">
        <v>46242</v>
      </c>
      <c r="E373" s="44">
        <v>100</v>
      </c>
      <c r="F373" s="44">
        <v>900</v>
      </c>
      <c r="G373" s="44">
        <v>80</v>
      </c>
      <c r="H373" s="44">
        <v>50</v>
      </c>
      <c r="I373" s="48" t="s">
        <v>1073</v>
      </c>
      <c r="J373" s="48" t="s">
        <v>270</v>
      </c>
      <c r="L373" s="47" t="s">
        <v>1192</v>
      </c>
      <c r="M373" s="47">
        <v>150</v>
      </c>
      <c r="N373" s="605"/>
      <c r="O373" s="604"/>
      <c r="P373" s="46">
        <v>4</v>
      </c>
      <c r="Q373" s="45"/>
      <c r="R373" s="45" t="s">
        <v>1058</v>
      </c>
      <c r="S373" s="270">
        <v>20</v>
      </c>
      <c r="T373" s="606" t="s">
        <v>270</v>
      </c>
      <c r="U373" s="606" t="s">
        <v>270</v>
      </c>
      <c r="V373" s="44">
        <v>10</v>
      </c>
      <c r="W373" s="44">
        <v>6</v>
      </c>
      <c r="X373" s="44">
        <v>15</v>
      </c>
      <c r="Y373" s="77" t="s">
        <v>1206</v>
      </c>
      <c r="Z373" s="44" t="s">
        <v>401</v>
      </c>
    </row>
    <row r="374" spans="1:32" ht="15.95" customHeight="1">
      <c r="A374" s="50" t="s">
        <v>1072</v>
      </c>
      <c r="C374" s="317">
        <v>46242</v>
      </c>
      <c r="Q374" s="45"/>
    </row>
    <row r="375" spans="1:32" ht="15.95" customHeight="1">
      <c r="A375" s="50" t="s">
        <v>1207</v>
      </c>
      <c r="B375" s="50" t="s">
        <v>1167</v>
      </c>
      <c r="C375" s="316">
        <v>46244</v>
      </c>
      <c r="D375" s="49" t="s">
        <v>1208</v>
      </c>
      <c r="E375" s="44">
        <v>100</v>
      </c>
      <c r="F375" s="44">
        <v>900</v>
      </c>
      <c r="G375" s="44">
        <v>80</v>
      </c>
      <c r="H375" s="44">
        <v>50</v>
      </c>
      <c r="I375" s="48" t="s">
        <v>1073</v>
      </c>
      <c r="J375" s="48" t="s">
        <v>270</v>
      </c>
      <c r="L375" s="47" t="s">
        <v>1192</v>
      </c>
      <c r="M375" s="47">
        <v>150</v>
      </c>
      <c r="N375" s="605"/>
      <c r="O375" s="604"/>
      <c r="P375" s="46">
        <v>4</v>
      </c>
      <c r="Q375" s="45"/>
      <c r="R375" s="45" t="s">
        <v>1058</v>
      </c>
      <c r="S375" s="270">
        <v>20</v>
      </c>
      <c r="T375" s="606" t="s">
        <v>270</v>
      </c>
      <c r="U375" s="606" t="s">
        <v>270</v>
      </c>
      <c r="V375" s="44">
        <v>10</v>
      </c>
      <c r="W375" s="44">
        <v>6</v>
      </c>
      <c r="X375" s="44">
        <v>15</v>
      </c>
      <c r="Y375" s="44" t="s">
        <v>1206</v>
      </c>
      <c r="Z375" s="44" t="s">
        <v>401</v>
      </c>
    </row>
    <row r="376" spans="1:32" ht="15.95" customHeight="1">
      <c r="A376" s="50" t="s">
        <v>1072</v>
      </c>
      <c r="C376" s="317">
        <v>46244</v>
      </c>
      <c r="Q376" s="45"/>
    </row>
    <row r="377" spans="1:32" ht="15.95" customHeight="1">
      <c r="A377" s="50" t="s">
        <v>1209</v>
      </c>
      <c r="C377" s="317">
        <v>46244</v>
      </c>
      <c r="E377" s="44">
        <v>100</v>
      </c>
      <c r="F377" s="44">
        <v>900</v>
      </c>
      <c r="G377" s="44">
        <v>80</v>
      </c>
      <c r="H377" s="44">
        <v>50</v>
      </c>
      <c r="I377" s="48" t="s">
        <v>1073</v>
      </c>
      <c r="J377" s="48" t="s">
        <v>270</v>
      </c>
      <c r="L377" s="47" t="s">
        <v>1192</v>
      </c>
      <c r="M377" s="47">
        <v>150</v>
      </c>
      <c r="N377" s="605"/>
      <c r="O377" s="604"/>
      <c r="P377" s="46">
        <v>4</v>
      </c>
      <c r="Q377" s="45"/>
      <c r="R377" s="45" t="s">
        <v>1058</v>
      </c>
      <c r="S377" s="270">
        <v>20</v>
      </c>
      <c r="T377" s="606" t="s">
        <v>270</v>
      </c>
      <c r="U377" s="606" t="s">
        <v>270</v>
      </c>
      <c r="V377" s="44">
        <v>10</v>
      </c>
      <c r="W377" s="44">
        <v>6</v>
      </c>
      <c r="X377" s="44">
        <v>15</v>
      </c>
      <c r="Y377" s="77" t="s">
        <v>1161</v>
      </c>
      <c r="Z377" s="44" t="s">
        <v>401</v>
      </c>
    </row>
    <row r="378" spans="1:32" ht="15.95" customHeight="1">
      <c r="A378" s="50" t="s">
        <v>1072</v>
      </c>
      <c r="C378" s="317">
        <v>46244</v>
      </c>
      <c r="I378" s="82" t="s">
        <v>1210</v>
      </c>
      <c r="Q378" s="45"/>
    </row>
    <row r="379" spans="1:32" ht="15.95" customHeight="1">
      <c r="A379" s="50" t="s">
        <v>1211</v>
      </c>
      <c r="C379" s="317">
        <v>46244</v>
      </c>
      <c r="D379" s="49" t="s">
        <v>1182</v>
      </c>
      <c r="E379" s="44">
        <v>90</v>
      </c>
      <c r="F379" s="44">
        <v>900</v>
      </c>
      <c r="G379" s="44">
        <v>80</v>
      </c>
      <c r="H379" s="44">
        <v>50</v>
      </c>
      <c r="I379" s="82" t="s">
        <v>1210</v>
      </c>
      <c r="J379" s="48" t="s">
        <v>270</v>
      </c>
      <c r="L379" s="47">
        <v>70</v>
      </c>
      <c r="M379" s="47">
        <v>150</v>
      </c>
      <c r="N379" s="605"/>
      <c r="O379" s="604"/>
      <c r="P379" s="46">
        <v>4</v>
      </c>
      <c r="Q379" s="45"/>
      <c r="R379" s="45" t="s">
        <v>1058</v>
      </c>
      <c r="S379" s="270">
        <v>20</v>
      </c>
      <c r="T379" s="606" t="s">
        <v>270</v>
      </c>
      <c r="U379" s="606" t="s">
        <v>270</v>
      </c>
      <c r="V379" s="44">
        <v>10</v>
      </c>
      <c r="W379" s="44">
        <v>6</v>
      </c>
      <c r="X379" s="44">
        <v>15</v>
      </c>
      <c r="Y379" s="280" t="s">
        <v>1161</v>
      </c>
      <c r="Z379" s="44" t="s">
        <v>401</v>
      </c>
    </row>
    <row r="380" spans="1:32" ht="15.95" customHeight="1">
      <c r="A380" s="50" t="s">
        <v>1072</v>
      </c>
      <c r="C380" s="317">
        <v>46244</v>
      </c>
      <c r="D380" s="49" t="s">
        <v>1212</v>
      </c>
      <c r="Q380" s="45"/>
    </row>
    <row r="381" spans="1:32" ht="15.95" customHeight="1">
      <c r="A381" s="50" t="s">
        <v>1213</v>
      </c>
      <c r="C381" s="316">
        <v>46245</v>
      </c>
      <c r="E381" s="44">
        <v>90</v>
      </c>
      <c r="F381" s="44">
        <v>900</v>
      </c>
      <c r="G381" s="44">
        <v>80</v>
      </c>
      <c r="H381" s="44">
        <v>50</v>
      </c>
      <c r="I381" s="48" t="s">
        <v>1073</v>
      </c>
      <c r="J381" s="48" t="s">
        <v>270</v>
      </c>
      <c r="L381" s="47">
        <v>70</v>
      </c>
      <c r="M381" s="47">
        <v>150</v>
      </c>
      <c r="N381" s="605"/>
      <c r="O381" s="604"/>
      <c r="P381" s="46">
        <v>4</v>
      </c>
      <c r="Q381" s="45"/>
      <c r="R381" s="45" t="s">
        <v>1058</v>
      </c>
      <c r="S381" s="270">
        <v>20</v>
      </c>
      <c r="T381" s="606" t="s">
        <v>270</v>
      </c>
      <c r="U381" s="606" t="s">
        <v>270</v>
      </c>
      <c r="V381" s="44">
        <v>10</v>
      </c>
      <c r="W381" s="44">
        <v>6</v>
      </c>
      <c r="X381" s="44">
        <v>15</v>
      </c>
      <c r="Y381" s="280" t="s">
        <v>1161</v>
      </c>
      <c r="Z381" s="44" t="s">
        <v>401</v>
      </c>
      <c r="AE381" s="721" t="s">
        <v>1214</v>
      </c>
      <c r="AF381" s="41" t="s">
        <v>1215</v>
      </c>
    </row>
    <row r="382" spans="1:32" ht="15.95" customHeight="1">
      <c r="A382" s="50" t="s">
        <v>1072</v>
      </c>
      <c r="C382" s="317">
        <v>46245</v>
      </c>
      <c r="Q382" s="45"/>
    </row>
    <row r="383" spans="1:32" ht="15.95" customHeight="1">
      <c r="A383" s="50" t="s">
        <v>1216</v>
      </c>
      <c r="B383" s="50" t="s">
        <v>1167</v>
      </c>
      <c r="C383" s="317">
        <v>46245</v>
      </c>
      <c r="E383" s="44">
        <v>90</v>
      </c>
      <c r="F383" s="44">
        <v>900</v>
      </c>
      <c r="G383" s="44">
        <v>80</v>
      </c>
      <c r="H383" s="44">
        <v>50</v>
      </c>
      <c r="I383" s="48" t="s">
        <v>1073</v>
      </c>
      <c r="J383" s="48" t="s">
        <v>270</v>
      </c>
      <c r="L383" s="362">
        <v>50</v>
      </c>
      <c r="M383" s="47">
        <v>150</v>
      </c>
      <c r="N383" s="605"/>
      <c r="O383" s="604"/>
      <c r="P383" s="46">
        <v>4</v>
      </c>
      <c r="Q383" s="45"/>
      <c r="R383" s="45" t="s">
        <v>1058</v>
      </c>
      <c r="S383" s="270">
        <v>20</v>
      </c>
      <c r="T383" s="606" t="s">
        <v>270</v>
      </c>
      <c r="U383" s="606" t="s">
        <v>270</v>
      </c>
      <c r="V383" s="44">
        <v>10</v>
      </c>
      <c r="W383" s="44">
        <v>6</v>
      </c>
      <c r="X383" s="44">
        <v>15</v>
      </c>
      <c r="Y383" s="280" t="s">
        <v>1161</v>
      </c>
      <c r="Z383" s="44" t="s">
        <v>401</v>
      </c>
      <c r="AF383" s="41" t="s">
        <v>1217</v>
      </c>
    </row>
    <row r="384" spans="1:32" ht="15.95" customHeight="1">
      <c r="A384" s="50" t="s">
        <v>1072</v>
      </c>
      <c r="C384" s="317">
        <v>46245</v>
      </c>
      <c r="Q384" s="45"/>
    </row>
    <row r="385" spans="1:31" ht="15.95" customHeight="1">
      <c r="A385" s="50" t="s">
        <v>1218</v>
      </c>
      <c r="B385" s="50" t="s">
        <v>1167</v>
      </c>
      <c r="C385" s="317">
        <v>46245</v>
      </c>
      <c r="D385" s="49" t="s">
        <v>1219</v>
      </c>
      <c r="E385" s="44">
        <v>90</v>
      </c>
      <c r="F385" s="44">
        <v>900</v>
      </c>
      <c r="G385" s="44">
        <v>80</v>
      </c>
      <c r="H385" s="44">
        <v>50</v>
      </c>
      <c r="I385" s="48" t="s">
        <v>1073</v>
      </c>
      <c r="J385" s="48" t="s">
        <v>270</v>
      </c>
      <c r="L385" s="47">
        <v>70</v>
      </c>
      <c r="M385" s="362">
        <v>180</v>
      </c>
      <c r="N385" s="605"/>
      <c r="O385" s="604"/>
      <c r="P385" s="46">
        <v>4</v>
      </c>
      <c r="Q385" s="45"/>
      <c r="R385" s="45" t="s">
        <v>1058</v>
      </c>
      <c r="S385" s="270">
        <v>20</v>
      </c>
      <c r="T385" s="606" t="s">
        <v>270</v>
      </c>
      <c r="U385" s="606" t="s">
        <v>270</v>
      </c>
      <c r="V385" s="44">
        <v>10</v>
      </c>
      <c r="W385" s="44">
        <v>6</v>
      </c>
      <c r="X385" s="44">
        <v>15</v>
      </c>
      <c r="Y385" s="280" t="s">
        <v>1161</v>
      </c>
      <c r="Z385" s="44" t="s">
        <v>401</v>
      </c>
      <c r="AE385" s="721" t="s">
        <v>1220</v>
      </c>
    </row>
    <row r="386" spans="1:31" ht="15.95" customHeight="1">
      <c r="A386" s="50" t="s">
        <v>1072</v>
      </c>
      <c r="C386" s="318">
        <v>46245</v>
      </c>
      <c r="Q386" s="45"/>
    </row>
    <row r="387" spans="1:31" ht="15.95" customHeight="1">
      <c r="A387" s="50" t="s">
        <v>1221</v>
      </c>
      <c r="C387" s="317">
        <v>46246</v>
      </c>
      <c r="D387" s="49" t="s">
        <v>1222</v>
      </c>
      <c r="E387" s="44">
        <v>90</v>
      </c>
      <c r="F387" s="44">
        <v>900</v>
      </c>
      <c r="G387" s="44">
        <v>80</v>
      </c>
      <c r="H387" s="44">
        <v>50</v>
      </c>
      <c r="I387" s="48" t="s">
        <v>1073</v>
      </c>
      <c r="J387" s="48" t="s">
        <v>270</v>
      </c>
      <c r="L387" s="47">
        <v>70</v>
      </c>
      <c r="M387" s="362">
        <v>180</v>
      </c>
      <c r="N387" s="605"/>
      <c r="O387" s="604"/>
      <c r="P387" s="46">
        <v>4</v>
      </c>
      <c r="Q387" s="45"/>
      <c r="R387" s="45" t="s">
        <v>1058</v>
      </c>
      <c r="S387" s="270">
        <v>20</v>
      </c>
      <c r="T387" s="606" t="s">
        <v>270</v>
      </c>
      <c r="U387" s="606" t="s">
        <v>270</v>
      </c>
      <c r="V387" s="44">
        <v>10</v>
      </c>
      <c r="W387" s="44">
        <v>6</v>
      </c>
      <c r="X387" s="44">
        <v>15</v>
      </c>
      <c r="Y387" s="280" t="s">
        <v>1161</v>
      </c>
      <c r="Z387" s="44" t="s">
        <v>401</v>
      </c>
    </row>
    <row r="388" spans="1:31" ht="15.95" customHeight="1">
      <c r="A388" s="50" t="s">
        <v>1072</v>
      </c>
      <c r="Q388" s="45"/>
    </row>
    <row r="389" spans="1:31" ht="15.95" customHeight="1">
      <c r="A389" s="50" t="s">
        <v>1223</v>
      </c>
      <c r="D389" s="49" t="s">
        <v>1224</v>
      </c>
      <c r="Q389" s="45"/>
    </row>
    <row r="390" spans="1:31" ht="15.95" customHeight="1">
      <c r="A390" s="50" t="s">
        <v>1072</v>
      </c>
      <c r="Q390" s="45"/>
    </row>
    <row r="391" spans="1:31" ht="15.95" customHeight="1">
      <c r="Q391" s="45"/>
    </row>
    <row r="392" spans="1:31" ht="15.95" customHeight="1">
      <c r="Q392" s="45"/>
    </row>
    <row r="393" spans="1:31" ht="15.95" customHeight="1">
      <c r="Q393" s="45"/>
    </row>
    <row r="394" spans="1:31" ht="15.95" customHeight="1">
      <c r="Q394" s="45"/>
    </row>
    <row r="395" spans="1:31" ht="15.95" customHeight="1">
      <c r="Q395" s="45"/>
    </row>
    <row r="396" spans="1:31" ht="15.95" customHeight="1">
      <c r="Q396" s="45"/>
    </row>
    <row r="397" spans="1:31" ht="15.95" customHeight="1">
      <c r="Q397" s="45"/>
    </row>
    <row r="398" spans="1:31" ht="15.95" customHeight="1">
      <c r="Q398" s="45"/>
    </row>
    <row r="399" spans="1:31" ht="15.95" customHeight="1">
      <c r="Q399" s="45"/>
    </row>
    <row r="400" spans="1:31" ht="15.95" customHeight="1">
      <c r="Q400" s="45"/>
    </row>
    <row r="401" spans="17:17" ht="14.45" customHeight="1">
      <c r="Q401" s="45"/>
    </row>
    <row r="402" spans="17:17" ht="14.45" customHeight="1">
      <c r="Q402" s="45"/>
    </row>
    <row r="403" spans="17:17" ht="14.45" customHeight="1">
      <c r="Q403" s="45"/>
    </row>
    <row r="404" spans="17:17" ht="14.45" customHeight="1">
      <c r="Q404" s="45"/>
    </row>
    <row r="405" spans="17:17" ht="14.45" customHeight="1">
      <c r="Q405" s="45"/>
    </row>
    <row r="406" spans="17:17" ht="14.45" customHeight="1">
      <c r="Q406" s="45"/>
    </row>
    <row r="407" spans="17:17" ht="14.45" customHeight="1">
      <c r="Q407" s="45"/>
    </row>
    <row r="408" spans="17:17" ht="14.45" customHeight="1">
      <c r="Q408" s="45"/>
    </row>
    <row r="409" spans="17:17" ht="14.45" customHeight="1">
      <c r="Q409" s="45"/>
    </row>
    <row r="410" spans="17:17" ht="14.45" customHeight="1">
      <c r="Q410" s="45"/>
    </row>
    <row r="411" spans="17:17" ht="14.45" customHeight="1">
      <c r="Q411" s="45"/>
    </row>
    <row r="412" spans="17:17" ht="14.45" customHeight="1">
      <c r="Q412" s="45"/>
    </row>
    <row r="413" spans="17:17" ht="14.45" customHeight="1">
      <c r="Q413" s="45"/>
    </row>
    <row r="414" spans="17:17" ht="14.45" customHeight="1">
      <c r="Q414" s="45"/>
    </row>
    <row r="415" spans="17:17" ht="14.45" customHeight="1">
      <c r="Q415" s="45"/>
    </row>
    <row r="416" spans="17:17" ht="14.45" customHeight="1">
      <c r="Q416" s="45"/>
    </row>
    <row r="417" spans="17:17" ht="14.45" customHeight="1">
      <c r="Q417" s="45"/>
    </row>
    <row r="418" spans="17:17" ht="14.45" customHeight="1">
      <c r="Q418" s="45"/>
    </row>
    <row r="419" spans="17:17" ht="14.45" customHeight="1">
      <c r="Q419" s="45"/>
    </row>
    <row r="420" spans="17:17" ht="14.45" customHeight="1">
      <c r="Q420" s="45"/>
    </row>
    <row r="421" spans="17:17" ht="14.45" customHeight="1">
      <c r="Q421" s="45"/>
    </row>
    <row r="422" spans="17:17" ht="14.45" customHeight="1">
      <c r="Q422" s="45"/>
    </row>
    <row r="423" spans="17:17" ht="14.45" customHeight="1">
      <c r="Q423" s="45"/>
    </row>
    <row r="424" spans="17:17" ht="14.45" customHeight="1">
      <c r="Q424" s="45"/>
    </row>
    <row r="425" spans="17:17" ht="14.45" customHeight="1">
      <c r="Q425" s="45"/>
    </row>
    <row r="426" spans="17:17" ht="14.45" customHeight="1">
      <c r="Q426" s="45"/>
    </row>
    <row r="427" spans="17:17" ht="14.45" customHeight="1">
      <c r="Q427" s="45"/>
    </row>
    <row r="428" spans="17:17" ht="14.45" customHeight="1">
      <c r="Q428" s="45"/>
    </row>
    <row r="429" spans="17:17" ht="14.45" customHeight="1">
      <c r="Q429" s="45"/>
    </row>
    <row r="430" spans="17:17" ht="14.45" customHeight="1">
      <c r="Q430" s="45"/>
    </row>
    <row r="431" spans="17:17" ht="14.45" customHeight="1">
      <c r="Q431" s="45"/>
    </row>
    <row r="432" spans="17:17" ht="14.45" customHeight="1">
      <c r="Q432" s="45"/>
    </row>
    <row r="433" spans="17:17" ht="0" hidden="1" customHeight="1">
      <c r="Q433" s="45"/>
    </row>
    <row r="434" spans="17:17" ht="0" hidden="1" customHeight="1">
      <c r="Q434" s="45"/>
    </row>
  </sheetData>
  <autoFilter ref="A1:AE2" xr:uid="{D52BD9F6-92D9-472E-96A3-1DD083BF172E}"/>
  <mergeCells count="51">
    <mergeCell ref="AE359:AE361"/>
    <mergeCell ref="O79:W79"/>
    <mergeCell ref="O35:W35"/>
    <mergeCell ref="D40:D42"/>
    <mergeCell ref="D36:D38"/>
    <mergeCell ref="O39:W39"/>
    <mergeCell ref="O43:W43"/>
    <mergeCell ref="O61:W61"/>
    <mergeCell ref="O68:W68"/>
    <mergeCell ref="D44:D46"/>
    <mergeCell ref="O54:W54"/>
    <mergeCell ref="O47:W47"/>
    <mergeCell ref="O50:W50"/>
    <mergeCell ref="O57:W57"/>
    <mergeCell ref="O74:W74"/>
    <mergeCell ref="D321:D332"/>
    <mergeCell ref="AC1:AD1"/>
    <mergeCell ref="AC2:AD2"/>
    <mergeCell ref="D3:D4"/>
    <mergeCell ref="D8:AB8"/>
    <mergeCell ref="D5:D7"/>
    <mergeCell ref="E12:AB12"/>
    <mergeCell ref="E14:AB14"/>
    <mergeCell ref="D9:D11"/>
    <mergeCell ref="D12:D15"/>
    <mergeCell ref="E16:AB16"/>
    <mergeCell ref="D30:D34"/>
    <mergeCell ref="O17:W17"/>
    <mergeCell ref="E18:Z18"/>
    <mergeCell ref="O20:W20"/>
    <mergeCell ref="O28:W28"/>
    <mergeCell ref="D25:D28"/>
    <mergeCell ref="O22:W22"/>
    <mergeCell ref="O25:W25"/>
    <mergeCell ref="O26:W26"/>
    <mergeCell ref="O27:W27"/>
    <mergeCell ref="D19:D23"/>
    <mergeCell ref="D333:D346"/>
    <mergeCell ref="O92:W92"/>
    <mergeCell ref="I231:X231"/>
    <mergeCell ref="I233:X233"/>
    <mergeCell ref="D159:D160"/>
    <mergeCell ref="O220:W220"/>
    <mergeCell ref="D276:D277"/>
    <mergeCell ref="D257:D258"/>
    <mergeCell ref="D244:D251"/>
    <mergeCell ref="D141:D142"/>
    <mergeCell ref="O218:W218"/>
    <mergeCell ref="D144:D145"/>
    <mergeCell ref="D130:D131"/>
    <mergeCell ref="O96:W96"/>
  </mergeCells>
  <phoneticPr fontId="27" type="noConversion"/>
  <conditionalFormatting sqref="AA1:AA7 AA9:AA11 AA13 AA15 AA19:AA33 AA35:AA188 AA190:AA242 AA244:AA270 AA273:AA286 AA288:AA1048575">
    <cfRule type="cellIs" dxfId="540" priority="4" operator="equal">
      <formula>"A"</formula>
    </cfRule>
  </conditionalFormatting>
  <conditionalFormatting sqref="AA3:AA7 AA9:AA11 AA13 AA15 AA19:AA33 AA35:AA188 AA190:AA242 AA244:AA270 AA273:AA286 AA288:AA1048575">
    <cfRule type="cellIs" dxfId="539" priority="2" operator="equal">
      <formula>"A+I"</formula>
    </cfRule>
    <cfRule type="cellIs" priority="3" operator="notEqual">
      <formula>"NA"</formula>
    </cfRule>
  </conditionalFormatting>
  <conditionalFormatting sqref="AA1:AB7 AA9:AB11 AA13:AB13 AA15:AB15 AA35:AB188 AA190:AB242 AA244:AB270 AA273:AB286 AA288:AB1048575">
    <cfRule type="cellIs" dxfId="538" priority="1" operator="equal">
      <formula>"I"</formula>
    </cfRule>
  </conditionalFormatting>
  <conditionalFormatting sqref="AA19:AB33">
    <cfRule type="cellIs" dxfId="537" priority="5" operator="equal">
      <formula>"I"</formula>
    </cfRule>
  </conditionalFormatting>
  <hyperlinks>
    <hyperlink ref="AI186" r:id="rId1" display="PL@48" xr:uid="{18277EDC-BF04-42A0-BE5C-9FB463159531}"/>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C23E-8743-4034-8AA7-6B8AF1AC3327}">
  <dimension ref="A1:AI227"/>
  <sheetViews>
    <sheetView tabSelected="1" zoomScale="85" zoomScaleNormal="85" workbookViewId="0">
      <pane xSplit="4" ySplit="2" topLeftCell="E164" activePane="bottomRight" state="frozen"/>
      <selection pane="bottomRight" activeCell="A165" sqref="A165:XFD165"/>
      <selection pane="bottomLeft" activeCell="A3" sqref="A3"/>
      <selection pane="topRight" activeCell="E1" sqref="E1"/>
    </sheetView>
  </sheetViews>
  <sheetFormatPr defaultColWidth="8.5" defaultRowHeight="0" customHeight="1" zeroHeight="1"/>
  <cols>
    <col min="1" max="1" width="11.125" style="107" customWidth="1"/>
    <col min="2" max="2" width="14.375" style="108" customWidth="1"/>
    <col min="3" max="4" width="6.375" style="108" customWidth="1"/>
    <col min="5" max="5" width="27.875" style="300" customWidth="1"/>
    <col min="6" max="6" width="5.375" style="109" customWidth="1"/>
    <col min="7" max="7" width="7.125" style="109" bestFit="1" customWidth="1"/>
    <col min="8" max="8" width="10.75" style="109" bestFit="1" customWidth="1"/>
    <col min="9" max="9" width="10.375" style="109" customWidth="1"/>
    <col min="10" max="10" width="9.375" style="110" bestFit="1" customWidth="1"/>
    <col min="11" max="11" width="15.875" style="110" bestFit="1" customWidth="1"/>
    <col min="12" max="12" width="9.375" style="110" bestFit="1" customWidth="1"/>
    <col min="13" max="13" width="8.125" style="111" customWidth="1"/>
    <col min="14" max="14" width="11.375" style="111" customWidth="1"/>
    <col min="15" max="15" width="8.75" style="587" customWidth="1"/>
    <col min="16" max="16" width="7.375" style="112" customWidth="1"/>
    <col min="17" max="17" width="8.125" style="113" customWidth="1"/>
    <col min="18" max="18" width="7.125" style="113" customWidth="1"/>
    <col min="19" max="19" width="8.125" style="114" customWidth="1"/>
    <col min="20" max="20" width="4.5" style="109" customWidth="1"/>
    <col min="21" max="21" width="8.375" style="109" customWidth="1"/>
    <col min="22" max="23" width="9.375" style="109" customWidth="1"/>
    <col min="24" max="24" width="24.125" style="575" customWidth="1"/>
    <col min="25" max="25" width="16.125" style="109" customWidth="1"/>
    <col min="26" max="26" width="7.125" style="109" customWidth="1"/>
    <col min="27" max="27" width="0" style="109" hidden="1" customWidth="1"/>
    <col min="28" max="28" width="0" style="114" hidden="1" customWidth="1"/>
    <col min="29" max="29" width="2.75" style="114" hidden="1" customWidth="1"/>
    <col min="30" max="30" width="28.5" style="106" bestFit="1" customWidth="1"/>
    <col min="31" max="31" width="12.875" style="101" customWidth="1"/>
    <col min="32" max="32" width="19.5" style="109" customWidth="1"/>
    <col min="33" max="35" width="15.375" style="101" customWidth="1"/>
    <col min="36" max="16384" width="8.5" style="101"/>
  </cols>
  <sheetData>
    <row r="1" spans="1:35" s="102" customFormat="1" ht="18.600000000000001">
      <c r="A1" s="115" t="s">
        <v>1225</v>
      </c>
      <c r="B1" s="116" t="s">
        <v>223</v>
      </c>
      <c r="C1" s="116" t="s">
        <v>224</v>
      </c>
      <c r="D1" s="116" t="s">
        <v>14</v>
      </c>
      <c r="E1" s="593" t="s">
        <v>225</v>
      </c>
      <c r="F1" s="102" t="s">
        <v>199</v>
      </c>
      <c r="G1" s="102" t="s">
        <v>226</v>
      </c>
      <c r="H1" s="102" t="s">
        <v>227</v>
      </c>
      <c r="I1" s="102" t="s">
        <v>228</v>
      </c>
      <c r="J1" s="117" t="s">
        <v>1226</v>
      </c>
      <c r="K1" s="117" t="s">
        <v>1226</v>
      </c>
      <c r="L1" s="117" t="s">
        <v>1226</v>
      </c>
      <c r="M1" s="118" t="s">
        <v>231</v>
      </c>
      <c r="N1" s="118" t="s">
        <v>231</v>
      </c>
      <c r="O1" s="585" t="s">
        <v>231</v>
      </c>
      <c r="P1" s="119" t="s">
        <v>234</v>
      </c>
      <c r="Q1" s="120" t="s">
        <v>235</v>
      </c>
      <c r="R1" s="120" t="s">
        <v>235</v>
      </c>
      <c r="S1" s="121" t="s">
        <v>236</v>
      </c>
      <c r="T1" s="102" t="s">
        <v>239</v>
      </c>
      <c r="U1" s="102" t="s">
        <v>240</v>
      </c>
      <c r="V1" s="102" t="s">
        <v>241</v>
      </c>
      <c r="W1" s="102" t="s">
        <v>1227</v>
      </c>
      <c r="X1" s="573" t="s">
        <v>242</v>
      </c>
      <c r="Y1" s="122" t="s">
        <v>243</v>
      </c>
      <c r="Z1" s="102" t="s">
        <v>244</v>
      </c>
      <c r="AA1" s="102" t="s">
        <v>245</v>
      </c>
      <c r="AB1" s="121" t="s">
        <v>246</v>
      </c>
      <c r="AC1" s="121" t="s">
        <v>246</v>
      </c>
      <c r="AD1" s="102" t="s">
        <v>247</v>
      </c>
      <c r="AE1" s="102" t="s">
        <v>249</v>
      </c>
      <c r="AF1" s="102" t="s">
        <v>1228</v>
      </c>
      <c r="AG1" s="102" t="s">
        <v>252</v>
      </c>
      <c r="AH1" s="102" t="s">
        <v>253</v>
      </c>
      <c r="AI1" s="102" t="s">
        <v>1229</v>
      </c>
    </row>
    <row r="2" spans="1:35" s="103" customFormat="1" ht="15" thickBot="1">
      <c r="A2" s="123"/>
      <c r="B2" s="124"/>
      <c r="C2" s="124"/>
      <c r="D2" s="124"/>
      <c r="E2" s="592"/>
      <c r="F2" s="125" t="s">
        <v>255</v>
      </c>
      <c r="G2" s="125" t="s">
        <v>256</v>
      </c>
      <c r="H2" s="125" t="s">
        <v>257</v>
      </c>
      <c r="I2" s="125" t="s">
        <v>257</v>
      </c>
      <c r="J2" s="126" t="s">
        <v>257</v>
      </c>
      <c r="K2" s="126" t="s">
        <v>255</v>
      </c>
      <c r="L2" s="126" t="s">
        <v>1230</v>
      </c>
      <c r="M2" s="127" t="s">
        <v>257</v>
      </c>
      <c r="N2" s="127" t="s">
        <v>255</v>
      </c>
      <c r="O2" s="586"/>
      <c r="P2" s="128" t="s">
        <v>257</v>
      </c>
      <c r="Q2" s="129" t="s">
        <v>257</v>
      </c>
      <c r="R2" s="129" t="s">
        <v>259</v>
      </c>
      <c r="S2" s="130" t="s">
        <v>257</v>
      </c>
      <c r="T2" s="125" t="s">
        <v>260</v>
      </c>
      <c r="U2" s="125" t="s">
        <v>261</v>
      </c>
      <c r="V2" s="125" t="s">
        <v>262</v>
      </c>
      <c r="W2" s="125"/>
      <c r="X2" s="574"/>
      <c r="Y2" s="125"/>
      <c r="Z2" s="125"/>
      <c r="AA2" s="125"/>
      <c r="AB2" s="131"/>
      <c r="AC2" s="131" t="s">
        <v>263</v>
      </c>
      <c r="AF2" s="125"/>
      <c r="AG2" s="125"/>
      <c r="AH2" s="125"/>
      <c r="AI2" s="125"/>
    </row>
    <row r="3" spans="1:35" s="107" customFormat="1" ht="43.5">
      <c r="A3" s="516" t="s">
        <v>1231</v>
      </c>
      <c r="B3" s="516"/>
      <c r="C3" s="108">
        <v>46200</v>
      </c>
      <c r="D3" s="108" t="s">
        <v>209</v>
      </c>
      <c r="E3" s="594" t="s">
        <v>1232</v>
      </c>
      <c r="F3" s="176">
        <v>60</v>
      </c>
      <c r="G3" s="176">
        <v>910</v>
      </c>
      <c r="H3" s="176">
        <v>150</v>
      </c>
      <c r="I3" s="176" t="s">
        <v>1233</v>
      </c>
      <c r="J3" s="146" t="s">
        <v>1234</v>
      </c>
      <c r="K3" s="145" t="s">
        <v>1235</v>
      </c>
      <c r="L3" s="146"/>
      <c r="M3" s="147" t="s">
        <v>1236</v>
      </c>
      <c r="N3" s="336">
        <v>150</v>
      </c>
      <c r="O3" s="148" t="s">
        <v>1237</v>
      </c>
      <c r="P3" s="149">
        <v>1</v>
      </c>
      <c r="Q3" s="469">
        <v>0</v>
      </c>
      <c r="R3" s="150" t="s">
        <v>1238</v>
      </c>
      <c r="S3" s="162">
        <v>20</v>
      </c>
      <c r="T3" s="144">
        <v>1</v>
      </c>
      <c r="U3" s="172">
        <v>7</v>
      </c>
      <c r="V3" s="176">
        <v>16</v>
      </c>
      <c r="W3" s="176" t="s">
        <v>1239</v>
      </c>
      <c r="X3" s="335" t="s">
        <v>1240</v>
      </c>
      <c r="Y3" s="144" t="s">
        <v>1241</v>
      </c>
      <c r="Z3" s="144" t="s">
        <v>272</v>
      </c>
      <c r="AA3" s="144" t="s">
        <v>1227</v>
      </c>
      <c r="AB3" s="152"/>
      <c r="AC3" s="152"/>
      <c r="AD3" s="471" t="s">
        <v>1242</v>
      </c>
      <c r="AE3" s="104"/>
      <c r="AF3" s="44"/>
      <c r="AG3" s="44"/>
      <c r="AH3" s="44"/>
      <c r="AI3" s="44"/>
    </row>
    <row r="4" spans="1:35" s="107" customFormat="1" ht="57.95">
      <c r="A4" s="516" t="s">
        <v>1243</v>
      </c>
      <c r="B4" s="516"/>
      <c r="C4" s="108">
        <v>46200</v>
      </c>
      <c r="D4" s="108" t="s">
        <v>209</v>
      </c>
      <c r="E4" s="594" t="s">
        <v>1232</v>
      </c>
      <c r="F4" s="176">
        <v>60</v>
      </c>
      <c r="G4" s="176">
        <v>910</v>
      </c>
      <c r="H4" s="176">
        <v>150</v>
      </c>
      <c r="I4" s="176" t="s">
        <v>1233</v>
      </c>
      <c r="J4" s="146" t="s">
        <v>1234</v>
      </c>
      <c r="K4" s="145" t="s">
        <v>1235</v>
      </c>
      <c r="L4" s="146"/>
      <c r="M4" s="147" t="s">
        <v>1236</v>
      </c>
      <c r="N4" s="336">
        <v>450</v>
      </c>
      <c r="O4" s="148" t="s">
        <v>1237</v>
      </c>
      <c r="P4" s="149">
        <v>1</v>
      </c>
      <c r="Q4" s="469">
        <v>0</v>
      </c>
      <c r="R4" s="150" t="s">
        <v>1238</v>
      </c>
      <c r="S4" s="162">
        <v>20</v>
      </c>
      <c r="T4" s="144">
        <v>1</v>
      </c>
      <c r="U4" s="172">
        <v>7</v>
      </c>
      <c r="V4" s="176">
        <v>16</v>
      </c>
      <c r="W4" s="176" t="s">
        <v>1239</v>
      </c>
      <c r="X4" s="335" t="s">
        <v>1240</v>
      </c>
      <c r="Y4" s="144" t="s">
        <v>1241</v>
      </c>
      <c r="Z4" s="144" t="s">
        <v>272</v>
      </c>
      <c r="AA4" s="144" t="s">
        <v>1227</v>
      </c>
      <c r="AB4" s="152"/>
      <c r="AC4" s="152"/>
      <c r="AD4" s="471" t="s">
        <v>1244</v>
      </c>
      <c r="AE4" s="104"/>
      <c r="AF4" s="44"/>
      <c r="AG4" s="44"/>
      <c r="AH4" s="44"/>
      <c r="AI4" s="44"/>
    </row>
    <row r="5" spans="1:35" s="107" customFormat="1" ht="14.45">
      <c r="A5" s="107" t="s">
        <v>1245</v>
      </c>
      <c r="B5" s="107" t="s">
        <v>1246</v>
      </c>
      <c r="C5" s="108">
        <v>46201</v>
      </c>
      <c r="D5" s="108" t="s">
        <v>209</v>
      </c>
      <c r="E5" s="300"/>
      <c r="F5" s="176">
        <v>60</v>
      </c>
      <c r="G5" s="176">
        <v>910</v>
      </c>
      <c r="H5" s="144">
        <v>150</v>
      </c>
      <c r="I5" s="176" t="s">
        <v>1247</v>
      </c>
      <c r="J5" s="146" t="s">
        <v>1234</v>
      </c>
      <c r="K5" s="145" t="s">
        <v>1248</v>
      </c>
      <c r="L5" s="146"/>
      <c r="M5" s="147" t="s">
        <v>1236</v>
      </c>
      <c r="N5" s="148">
        <v>150</v>
      </c>
      <c r="O5" s="148" t="s">
        <v>1249</v>
      </c>
      <c r="P5" s="149">
        <v>1</v>
      </c>
      <c r="Q5" s="469">
        <v>5</v>
      </c>
      <c r="R5" s="150" t="s">
        <v>1238</v>
      </c>
      <c r="S5" s="162">
        <v>0</v>
      </c>
      <c r="T5" s="144">
        <v>1</v>
      </c>
      <c r="U5" s="176">
        <v>7</v>
      </c>
      <c r="V5" s="176">
        <v>16</v>
      </c>
      <c r="W5" s="176" t="s">
        <v>1239</v>
      </c>
      <c r="X5" s="335" t="s">
        <v>1250</v>
      </c>
      <c r="Y5" s="109" t="s">
        <v>272</v>
      </c>
      <c r="Z5" s="109" t="s">
        <v>272</v>
      </c>
      <c r="AA5" s="109"/>
      <c r="AB5" s="114"/>
      <c r="AC5" s="114"/>
      <c r="AD5" s="109"/>
      <c r="AE5" s="101"/>
      <c r="AF5" s="109"/>
      <c r="AG5" s="101"/>
      <c r="AH5" s="101"/>
      <c r="AI5" s="101"/>
    </row>
    <row r="6" spans="1:35" s="107" customFormat="1" ht="57.95">
      <c r="A6" s="516" t="s">
        <v>1251</v>
      </c>
      <c r="B6" s="516"/>
      <c r="C6" s="108">
        <v>46201</v>
      </c>
      <c r="D6" s="108" t="s">
        <v>209</v>
      </c>
      <c r="E6" s="594" t="s">
        <v>1232</v>
      </c>
      <c r="F6" s="176">
        <v>60</v>
      </c>
      <c r="G6" s="176">
        <v>910</v>
      </c>
      <c r="H6" s="176">
        <v>150</v>
      </c>
      <c r="I6" s="176" t="s">
        <v>1233</v>
      </c>
      <c r="J6" s="146" t="s">
        <v>1234</v>
      </c>
      <c r="K6" s="145" t="s">
        <v>1235</v>
      </c>
      <c r="L6" s="146"/>
      <c r="M6" s="147" t="s">
        <v>1236</v>
      </c>
      <c r="N6" s="336">
        <v>600</v>
      </c>
      <c r="O6" s="148" t="s">
        <v>1237</v>
      </c>
      <c r="P6" s="149">
        <v>1</v>
      </c>
      <c r="Q6" s="469">
        <v>0</v>
      </c>
      <c r="R6" s="150" t="s">
        <v>1238</v>
      </c>
      <c r="S6" s="162">
        <v>20</v>
      </c>
      <c r="T6" s="144">
        <v>1</v>
      </c>
      <c r="U6" s="172">
        <v>7</v>
      </c>
      <c r="V6" s="176">
        <v>16</v>
      </c>
      <c r="W6" s="176" t="s">
        <v>1239</v>
      </c>
      <c r="X6" s="335" t="s">
        <v>1240</v>
      </c>
      <c r="Y6" s="144" t="s">
        <v>1241</v>
      </c>
      <c r="Z6" s="144" t="s">
        <v>272</v>
      </c>
      <c r="AA6" s="144" t="s">
        <v>1227</v>
      </c>
      <c r="AB6" s="152"/>
      <c r="AC6" s="152"/>
      <c r="AD6" s="471" t="s">
        <v>1252</v>
      </c>
      <c r="AE6" s="104"/>
      <c r="AF6" s="44"/>
      <c r="AG6" s="44"/>
      <c r="AH6" s="44"/>
      <c r="AI6" s="44"/>
    </row>
    <row r="7" spans="1:35" s="107" customFormat="1" ht="14.45">
      <c r="A7" s="107" t="s">
        <v>1245</v>
      </c>
      <c r="B7" s="107" t="s">
        <v>1246</v>
      </c>
      <c r="C7" s="108">
        <v>46201</v>
      </c>
      <c r="D7" s="108" t="s">
        <v>209</v>
      </c>
      <c r="E7" s="300"/>
      <c r="F7" s="176">
        <v>60</v>
      </c>
      <c r="G7" s="176">
        <v>910</v>
      </c>
      <c r="H7" s="144">
        <v>150</v>
      </c>
      <c r="I7" s="176" t="s">
        <v>1247</v>
      </c>
      <c r="J7" s="146" t="s">
        <v>1234</v>
      </c>
      <c r="K7" s="145" t="s">
        <v>1248</v>
      </c>
      <c r="L7" s="146"/>
      <c r="M7" s="147" t="s">
        <v>1236</v>
      </c>
      <c r="N7" s="148">
        <v>150</v>
      </c>
      <c r="O7" s="148" t="s">
        <v>1249</v>
      </c>
      <c r="P7" s="149">
        <v>1</v>
      </c>
      <c r="Q7" s="469">
        <v>5</v>
      </c>
      <c r="R7" s="150" t="s">
        <v>1238</v>
      </c>
      <c r="S7" s="162">
        <v>0</v>
      </c>
      <c r="T7" s="144">
        <v>1</v>
      </c>
      <c r="U7" s="176">
        <v>7</v>
      </c>
      <c r="V7" s="176">
        <v>16</v>
      </c>
      <c r="W7" s="176" t="s">
        <v>1239</v>
      </c>
      <c r="X7" s="335" t="s">
        <v>1250</v>
      </c>
      <c r="Y7" s="109" t="s">
        <v>272</v>
      </c>
      <c r="Z7" s="109" t="s">
        <v>272</v>
      </c>
      <c r="AA7" s="109"/>
      <c r="AB7" s="114"/>
      <c r="AC7" s="114"/>
      <c r="AD7" s="109"/>
      <c r="AE7" s="101"/>
      <c r="AF7" s="109"/>
      <c r="AG7" s="101"/>
      <c r="AH7" s="101"/>
      <c r="AI7" s="101"/>
    </row>
    <row r="8" spans="1:35" s="107" customFormat="1" ht="57.95">
      <c r="A8" s="516" t="s">
        <v>1253</v>
      </c>
      <c r="B8" s="516"/>
      <c r="C8" s="108">
        <v>46201</v>
      </c>
      <c r="D8" s="108" t="s">
        <v>209</v>
      </c>
      <c r="E8" s="594" t="s">
        <v>1232</v>
      </c>
      <c r="F8" s="176">
        <v>60</v>
      </c>
      <c r="G8" s="176">
        <v>910</v>
      </c>
      <c r="H8" s="172">
        <v>180</v>
      </c>
      <c r="I8" s="176" t="s">
        <v>1233</v>
      </c>
      <c r="J8" s="146" t="s">
        <v>1234</v>
      </c>
      <c r="K8" s="145" t="s">
        <v>1235</v>
      </c>
      <c r="L8" s="146"/>
      <c r="M8" s="147" t="s">
        <v>1236</v>
      </c>
      <c r="N8" s="336">
        <v>300</v>
      </c>
      <c r="O8" s="148" t="s">
        <v>1237</v>
      </c>
      <c r="P8" s="149">
        <v>1</v>
      </c>
      <c r="Q8" s="469">
        <v>0</v>
      </c>
      <c r="R8" s="150" t="s">
        <v>1238</v>
      </c>
      <c r="S8" s="162">
        <v>20</v>
      </c>
      <c r="T8" s="144">
        <v>1</v>
      </c>
      <c r="U8" s="172">
        <v>7</v>
      </c>
      <c r="V8" s="176">
        <v>16</v>
      </c>
      <c r="W8" s="176" t="s">
        <v>1239</v>
      </c>
      <c r="X8" s="335" t="s">
        <v>1240</v>
      </c>
      <c r="Y8" s="144" t="s">
        <v>1241</v>
      </c>
      <c r="Z8" s="144" t="s">
        <v>272</v>
      </c>
      <c r="AA8" s="144" t="s">
        <v>1227</v>
      </c>
      <c r="AB8" s="152"/>
      <c r="AC8" s="152"/>
      <c r="AD8" s="471" t="s">
        <v>1254</v>
      </c>
      <c r="AE8" s="104"/>
      <c r="AF8" s="44"/>
      <c r="AG8" s="44"/>
      <c r="AH8" s="44"/>
      <c r="AI8" s="44"/>
    </row>
    <row r="9" spans="1:35" s="107" customFormat="1" ht="14.45">
      <c r="A9" s="107" t="s">
        <v>1245</v>
      </c>
      <c r="B9" s="107" t="s">
        <v>1246</v>
      </c>
      <c r="C9" s="108">
        <v>46201</v>
      </c>
      <c r="D9" s="108" t="s">
        <v>209</v>
      </c>
      <c r="E9" s="300"/>
      <c r="F9" s="176">
        <v>60</v>
      </c>
      <c r="G9" s="176">
        <v>910</v>
      </c>
      <c r="H9" s="144">
        <v>150</v>
      </c>
      <c r="I9" s="176">
        <v>50</v>
      </c>
      <c r="J9" s="146" t="s">
        <v>1234</v>
      </c>
      <c r="K9" s="145" t="s">
        <v>1248</v>
      </c>
      <c r="L9" s="146"/>
      <c r="M9" s="147" t="s">
        <v>1236</v>
      </c>
      <c r="N9" s="148">
        <v>150</v>
      </c>
      <c r="O9" s="148" t="s">
        <v>1249</v>
      </c>
      <c r="P9" s="149">
        <v>1</v>
      </c>
      <c r="Q9" s="469">
        <v>5</v>
      </c>
      <c r="R9" s="150" t="s">
        <v>1238</v>
      </c>
      <c r="S9" s="162">
        <v>0</v>
      </c>
      <c r="T9" s="144">
        <v>1</v>
      </c>
      <c r="U9" s="176">
        <v>7</v>
      </c>
      <c r="V9" s="176">
        <v>16</v>
      </c>
      <c r="W9" s="176" t="s">
        <v>1239</v>
      </c>
      <c r="X9" s="335" t="s">
        <v>1250</v>
      </c>
      <c r="Y9" s="109" t="s">
        <v>272</v>
      </c>
      <c r="Z9" s="109" t="s">
        <v>272</v>
      </c>
      <c r="AA9" s="109"/>
      <c r="AB9" s="114"/>
      <c r="AC9" s="114"/>
      <c r="AD9" s="109"/>
      <c r="AE9" s="101"/>
      <c r="AF9" s="109"/>
      <c r="AG9" s="101"/>
      <c r="AH9" s="101"/>
      <c r="AI9" s="101"/>
    </row>
    <row r="10" spans="1:35" s="107" customFormat="1" ht="57.95">
      <c r="A10" s="591" t="s">
        <v>1255</v>
      </c>
      <c r="B10" s="591" t="s">
        <v>1255</v>
      </c>
      <c r="C10" s="108">
        <v>46201</v>
      </c>
      <c r="D10" s="108" t="s">
        <v>209</v>
      </c>
      <c r="E10" s="594" t="s">
        <v>1232</v>
      </c>
      <c r="F10" s="176">
        <v>60</v>
      </c>
      <c r="G10" s="176">
        <v>850</v>
      </c>
      <c r="H10" s="172" t="s">
        <v>1256</v>
      </c>
      <c r="I10" s="176">
        <v>70</v>
      </c>
      <c r="J10" s="146">
        <v>10</v>
      </c>
      <c r="K10" s="145">
        <v>140</v>
      </c>
      <c r="L10" s="146"/>
      <c r="M10" s="147" t="s">
        <v>1236</v>
      </c>
      <c r="N10" s="339">
        <v>300</v>
      </c>
      <c r="O10" s="148" t="s">
        <v>1237</v>
      </c>
      <c r="P10" s="149">
        <v>2.5</v>
      </c>
      <c r="Q10" s="469">
        <v>0.2</v>
      </c>
      <c r="R10" s="150" t="s">
        <v>1238</v>
      </c>
      <c r="S10" s="162">
        <v>0</v>
      </c>
      <c r="T10" s="144">
        <v>10</v>
      </c>
      <c r="U10" s="172">
        <v>5</v>
      </c>
      <c r="V10" s="176">
        <v>15</v>
      </c>
      <c r="W10" s="176" t="s">
        <v>1239</v>
      </c>
      <c r="X10" s="335"/>
      <c r="Y10" s="144" t="s">
        <v>1257</v>
      </c>
      <c r="Z10" s="144" t="s">
        <v>272</v>
      </c>
      <c r="AA10" s="144" t="s">
        <v>1227</v>
      </c>
      <c r="AB10" s="152"/>
      <c r="AC10" s="152"/>
      <c r="AD10" s="471" t="s">
        <v>1254</v>
      </c>
      <c r="AE10" s="104"/>
      <c r="AF10" s="44" t="s">
        <v>1258</v>
      </c>
      <c r="AG10" s="44">
        <v>0.13600000000000001</v>
      </c>
      <c r="AH10" s="44">
        <v>2.63</v>
      </c>
      <c r="AI10" s="44"/>
    </row>
    <row r="11" spans="1:35" s="107" customFormat="1" ht="14.45">
      <c r="A11" s="107" t="s">
        <v>1245</v>
      </c>
      <c r="B11" s="107" t="s">
        <v>1246</v>
      </c>
      <c r="C11" s="108">
        <v>46201</v>
      </c>
      <c r="D11" s="108" t="s">
        <v>209</v>
      </c>
      <c r="E11" s="300"/>
      <c r="F11" s="176">
        <v>60</v>
      </c>
      <c r="G11" s="176">
        <v>910</v>
      </c>
      <c r="H11" s="144">
        <v>150</v>
      </c>
      <c r="I11" s="176">
        <v>50</v>
      </c>
      <c r="J11" s="146" t="s">
        <v>1234</v>
      </c>
      <c r="K11" s="145" t="s">
        <v>1248</v>
      </c>
      <c r="L11" s="146"/>
      <c r="M11" s="147" t="s">
        <v>1236</v>
      </c>
      <c r="N11" s="339">
        <v>150</v>
      </c>
      <c r="O11" s="148" t="s">
        <v>1249</v>
      </c>
      <c r="P11" s="149">
        <v>1</v>
      </c>
      <c r="Q11" s="469">
        <v>5</v>
      </c>
      <c r="R11" s="150" t="s">
        <v>1238</v>
      </c>
      <c r="S11" s="162">
        <v>0</v>
      </c>
      <c r="T11" s="144">
        <v>1</v>
      </c>
      <c r="U11" s="176">
        <v>5</v>
      </c>
      <c r="V11" s="176">
        <v>16</v>
      </c>
      <c r="W11" s="176" t="s">
        <v>1239</v>
      </c>
      <c r="X11" s="335" t="s">
        <v>1250</v>
      </c>
      <c r="Y11" s="109" t="s">
        <v>272</v>
      </c>
      <c r="Z11" s="109" t="s">
        <v>272</v>
      </c>
      <c r="AA11" s="109"/>
      <c r="AB11" s="114"/>
      <c r="AC11" s="114"/>
      <c r="AD11" s="109"/>
      <c r="AE11" s="101"/>
      <c r="AF11" s="109"/>
      <c r="AG11" s="101"/>
      <c r="AH11" s="101"/>
      <c r="AI11" s="101"/>
    </row>
    <row r="12" spans="1:35" s="107" customFormat="1" ht="57.95">
      <c r="A12" s="590" t="s">
        <v>1259</v>
      </c>
      <c r="B12" s="516" t="s">
        <v>1260</v>
      </c>
      <c r="C12" s="555">
        <v>46201</v>
      </c>
      <c r="D12" s="555"/>
      <c r="E12" s="594" t="s">
        <v>1261</v>
      </c>
      <c r="F12" s="176">
        <v>60</v>
      </c>
      <c r="G12" s="176">
        <v>850</v>
      </c>
      <c r="H12" s="176" t="s">
        <v>1256</v>
      </c>
      <c r="I12" s="176">
        <v>70</v>
      </c>
      <c r="J12" s="146">
        <v>10</v>
      </c>
      <c r="K12" s="145">
        <v>140</v>
      </c>
      <c r="L12" s="146"/>
      <c r="M12" s="147" t="s">
        <v>1236</v>
      </c>
      <c r="N12" s="339">
        <v>300</v>
      </c>
      <c r="O12" s="148" t="s">
        <v>1237</v>
      </c>
      <c r="P12" s="149">
        <v>2.5</v>
      </c>
      <c r="Q12" s="469">
        <v>0.2</v>
      </c>
      <c r="R12" s="150" t="s">
        <v>1238</v>
      </c>
      <c r="S12" s="162">
        <v>0</v>
      </c>
      <c r="T12" s="144">
        <v>10</v>
      </c>
      <c r="U12" s="176" t="s">
        <v>1262</v>
      </c>
      <c r="V12" s="176">
        <v>15</v>
      </c>
      <c r="W12" s="176" t="s">
        <v>1239</v>
      </c>
      <c r="X12" s="335"/>
      <c r="Y12" s="144" t="s">
        <v>1257</v>
      </c>
      <c r="Z12" s="144" t="s">
        <v>272</v>
      </c>
      <c r="AA12" s="144" t="s">
        <v>1227</v>
      </c>
      <c r="AB12" s="152"/>
      <c r="AC12" s="152"/>
      <c r="AD12" s="471" t="s">
        <v>1254</v>
      </c>
      <c r="AE12" s="104"/>
      <c r="AF12" s="44" t="s">
        <v>1263</v>
      </c>
      <c r="AG12" s="44"/>
      <c r="AH12" s="44"/>
      <c r="AI12" s="44"/>
    </row>
    <row r="13" spans="1:35" s="107" customFormat="1" ht="14.45">
      <c r="A13" s="107" t="s">
        <v>1245</v>
      </c>
      <c r="B13" s="107" t="s">
        <v>1246</v>
      </c>
      <c r="C13" s="108">
        <v>46201</v>
      </c>
      <c r="D13" s="108"/>
      <c r="E13" s="300"/>
      <c r="F13" s="176">
        <v>60</v>
      </c>
      <c r="G13" s="176">
        <v>910</v>
      </c>
      <c r="H13" s="144">
        <v>150</v>
      </c>
      <c r="I13" s="176">
        <v>50</v>
      </c>
      <c r="J13" s="146" t="s">
        <v>272</v>
      </c>
      <c r="K13" s="145" t="s">
        <v>272</v>
      </c>
      <c r="L13" s="146"/>
      <c r="M13" s="147" t="s">
        <v>1236</v>
      </c>
      <c r="N13" s="339">
        <v>150</v>
      </c>
      <c r="O13" s="148" t="s">
        <v>1249</v>
      </c>
      <c r="P13" s="149">
        <v>1</v>
      </c>
      <c r="Q13" s="469">
        <v>5</v>
      </c>
      <c r="R13" s="150" t="s">
        <v>1238</v>
      </c>
      <c r="S13" s="162">
        <v>0</v>
      </c>
      <c r="T13" s="144">
        <v>1</v>
      </c>
      <c r="U13" s="176">
        <v>5</v>
      </c>
      <c r="V13" s="176">
        <v>16</v>
      </c>
      <c r="W13" s="176" t="s">
        <v>1239</v>
      </c>
      <c r="X13" s="335" t="s">
        <v>1250</v>
      </c>
      <c r="Y13" s="109" t="s">
        <v>272</v>
      </c>
      <c r="Z13" s="109" t="s">
        <v>272</v>
      </c>
      <c r="AA13" s="109"/>
      <c r="AB13" s="114"/>
      <c r="AC13" s="114"/>
      <c r="AD13" s="109"/>
      <c r="AE13" s="101"/>
      <c r="AF13" s="109"/>
      <c r="AG13" s="101"/>
      <c r="AH13" s="101"/>
      <c r="AI13" s="101"/>
    </row>
    <row r="14" spans="1:35" s="107" customFormat="1" ht="57.95">
      <c r="A14" s="589" t="s">
        <v>1264</v>
      </c>
      <c r="B14" s="589"/>
      <c r="C14" s="556">
        <v>46201</v>
      </c>
      <c r="D14" s="556"/>
      <c r="E14" s="608" t="s">
        <v>1265</v>
      </c>
      <c r="F14" s="176">
        <v>60</v>
      </c>
      <c r="G14" s="176">
        <v>880</v>
      </c>
      <c r="H14" s="176" t="s">
        <v>1256</v>
      </c>
      <c r="I14" s="176">
        <v>70</v>
      </c>
      <c r="J14" s="146">
        <v>10</v>
      </c>
      <c r="K14" s="145">
        <v>140</v>
      </c>
      <c r="L14" s="146"/>
      <c r="M14" s="147" t="s">
        <v>1236</v>
      </c>
      <c r="N14" s="339">
        <v>300</v>
      </c>
      <c r="O14" s="148" t="s">
        <v>1237</v>
      </c>
      <c r="P14" s="149">
        <v>2.5</v>
      </c>
      <c r="Q14" s="469">
        <v>0.2</v>
      </c>
      <c r="R14" s="150" t="s">
        <v>1238</v>
      </c>
      <c r="S14" s="162">
        <v>0</v>
      </c>
      <c r="T14" s="144">
        <v>10</v>
      </c>
      <c r="U14" s="176" t="s">
        <v>1262</v>
      </c>
      <c r="V14" s="176">
        <v>15</v>
      </c>
      <c r="W14" s="176" t="s">
        <v>1239</v>
      </c>
      <c r="X14" s="335"/>
      <c r="Y14" s="144" t="s">
        <v>1257</v>
      </c>
      <c r="Z14" s="144" t="s">
        <v>272</v>
      </c>
      <c r="AA14" s="144" t="s">
        <v>1227</v>
      </c>
      <c r="AB14" s="152"/>
      <c r="AC14" s="152"/>
      <c r="AD14" s="471" t="s">
        <v>1254</v>
      </c>
      <c r="AE14" s="104"/>
      <c r="AF14" s="44" t="s">
        <v>1263</v>
      </c>
      <c r="AG14" s="44"/>
      <c r="AH14" s="44"/>
      <c r="AI14" s="44"/>
    </row>
    <row r="15" spans="1:35" s="107" customFormat="1" ht="14.45">
      <c r="A15" s="107" t="s">
        <v>1245</v>
      </c>
      <c r="B15" s="107" t="s">
        <v>1246</v>
      </c>
      <c r="C15" s="108">
        <v>46201</v>
      </c>
      <c r="D15" s="108"/>
      <c r="E15" s="300"/>
      <c r="F15" s="176">
        <v>60</v>
      </c>
      <c r="G15" s="176">
        <v>910</v>
      </c>
      <c r="H15" s="144">
        <v>150</v>
      </c>
      <c r="I15" s="176">
        <v>50</v>
      </c>
      <c r="J15" s="146" t="s">
        <v>272</v>
      </c>
      <c r="K15" s="145" t="s">
        <v>272</v>
      </c>
      <c r="L15" s="146"/>
      <c r="M15" s="147" t="s">
        <v>1236</v>
      </c>
      <c r="N15" s="339">
        <v>150</v>
      </c>
      <c r="O15" s="148" t="s">
        <v>1249</v>
      </c>
      <c r="P15" s="149">
        <v>1</v>
      </c>
      <c r="Q15" s="469">
        <v>5</v>
      </c>
      <c r="R15" s="150" t="s">
        <v>1238</v>
      </c>
      <c r="S15" s="162">
        <v>0</v>
      </c>
      <c r="T15" s="144">
        <v>1</v>
      </c>
      <c r="U15" s="176">
        <v>5</v>
      </c>
      <c r="V15" s="176">
        <v>16</v>
      </c>
      <c r="W15" s="176" t="s">
        <v>1239</v>
      </c>
      <c r="X15" s="335" t="s">
        <v>1250</v>
      </c>
      <c r="Y15" s="109" t="s">
        <v>272</v>
      </c>
      <c r="Z15" s="109" t="s">
        <v>272</v>
      </c>
      <c r="AA15" s="109"/>
      <c r="AB15" s="114"/>
      <c r="AC15" s="114"/>
      <c r="AD15" s="543"/>
      <c r="AE15" s="101"/>
      <c r="AF15" s="109"/>
      <c r="AG15" s="101"/>
      <c r="AH15" s="101"/>
      <c r="AI15" s="101"/>
    </row>
    <row r="16" spans="1:35" s="107" customFormat="1" ht="57.95">
      <c r="A16" s="516" t="s">
        <v>1266</v>
      </c>
      <c r="B16" s="516"/>
      <c r="C16" s="108">
        <v>46201</v>
      </c>
      <c r="D16" s="108"/>
      <c r="E16" s="594" t="s">
        <v>1261</v>
      </c>
      <c r="F16" s="176">
        <v>60</v>
      </c>
      <c r="G16" s="176">
        <v>850</v>
      </c>
      <c r="H16" s="176" t="s">
        <v>1256</v>
      </c>
      <c r="I16" s="176">
        <v>70</v>
      </c>
      <c r="J16" s="146">
        <v>10</v>
      </c>
      <c r="K16" s="145">
        <v>140</v>
      </c>
      <c r="L16" s="146"/>
      <c r="M16" s="147" t="s">
        <v>1236</v>
      </c>
      <c r="N16" s="339">
        <v>300</v>
      </c>
      <c r="O16" s="148" t="s">
        <v>1237</v>
      </c>
      <c r="P16" s="149">
        <v>2.5</v>
      </c>
      <c r="Q16" s="469">
        <v>0.2</v>
      </c>
      <c r="R16" s="150" t="s">
        <v>1238</v>
      </c>
      <c r="S16" s="162">
        <v>0</v>
      </c>
      <c r="T16" s="144">
        <v>10</v>
      </c>
      <c r="U16" s="176">
        <v>5</v>
      </c>
      <c r="V16" s="176">
        <v>15</v>
      </c>
      <c r="W16" s="176" t="s">
        <v>1239</v>
      </c>
      <c r="X16" s="335"/>
      <c r="Y16" s="144" t="s">
        <v>1257</v>
      </c>
      <c r="Z16" s="144" t="s">
        <v>272</v>
      </c>
      <c r="AA16" s="144" t="s">
        <v>1227</v>
      </c>
      <c r="AB16" s="152"/>
      <c r="AC16" s="152"/>
      <c r="AD16" s="471" t="s">
        <v>1254</v>
      </c>
      <c r="AE16" s="104"/>
      <c r="AF16" s="44" t="s">
        <v>1263</v>
      </c>
      <c r="AG16" s="44"/>
      <c r="AH16" s="44">
        <v>43.15</v>
      </c>
      <c r="AI16" s="44">
        <v>762.1</v>
      </c>
    </row>
    <row r="17" spans="1:35" s="107" customFormat="1" ht="14.45">
      <c r="A17" s="107" t="s">
        <v>1245</v>
      </c>
      <c r="B17" s="107" t="s">
        <v>1246</v>
      </c>
      <c r="C17" s="108"/>
      <c r="D17" s="108"/>
      <c r="E17" s="300"/>
      <c r="F17" s="176">
        <v>60</v>
      </c>
      <c r="G17" s="176">
        <v>910</v>
      </c>
      <c r="H17" s="144">
        <v>150</v>
      </c>
      <c r="I17" s="176">
        <v>50</v>
      </c>
      <c r="J17" s="146" t="s">
        <v>272</v>
      </c>
      <c r="K17" s="145" t="s">
        <v>272</v>
      </c>
      <c r="L17" s="146"/>
      <c r="M17" s="147" t="s">
        <v>1236</v>
      </c>
      <c r="N17" s="339">
        <v>150</v>
      </c>
      <c r="O17" s="148" t="s">
        <v>1249</v>
      </c>
      <c r="P17" s="149">
        <v>1</v>
      </c>
      <c r="Q17" s="469">
        <v>5</v>
      </c>
      <c r="R17" s="150" t="s">
        <v>1238</v>
      </c>
      <c r="S17" s="162">
        <v>0</v>
      </c>
      <c r="T17" s="144">
        <v>1</v>
      </c>
      <c r="U17" s="176">
        <v>5</v>
      </c>
      <c r="V17" s="176">
        <v>16</v>
      </c>
      <c r="W17" s="176" t="s">
        <v>1239</v>
      </c>
      <c r="X17" s="335" t="s">
        <v>1250</v>
      </c>
      <c r="Y17" s="109" t="s">
        <v>272</v>
      </c>
      <c r="Z17" s="109" t="s">
        <v>272</v>
      </c>
      <c r="AA17" s="109"/>
      <c r="AB17" s="114"/>
      <c r="AC17" s="114"/>
      <c r="AD17" s="109"/>
      <c r="AE17" s="101"/>
      <c r="AF17" s="109"/>
      <c r="AG17" s="101"/>
      <c r="AH17" s="101"/>
      <c r="AI17" s="101"/>
    </row>
    <row r="18" spans="1:35" s="107" customFormat="1" ht="57.95">
      <c r="A18" s="576" t="s">
        <v>1267</v>
      </c>
      <c r="B18" s="576" t="s">
        <v>1255</v>
      </c>
      <c r="C18" s="108"/>
      <c r="D18" s="108"/>
      <c r="E18" s="594" t="s">
        <v>1268</v>
      </c>
      <c r="F18" s="172">
        <v>70</v>
      </c>
      <c r="G18" s="176">
        <v>850</v>
      </c>
      <c r="H18" s="176" t="s">
        <v>1256</v>
      </c>
      <c r="I18" s="176">
        <v>70</v>
      </c>
      <c r="J18" s="146">
        <v>10</v>
      </c>
      <c r="K18" s="145">
        <v>140</v>
      </c>
      <c r="L18" s="146"/>
      <c r="M18" s="147" t="s">
        <v>1236</v>
      </c>
      <c r="N18" s="339">
        <v>300</v>
      </c>
      <c r="O18" s="148" t="s">
        <v>1237</v>
      </c>
      <c r="P18" s="149">
        <v>2.5</v>
      </c>
      <c r="Q18" s="469">
        <v>0.2</v>
      </c>
      <c r="R18" s="150" t="s">
        <v>1238</v>
      </c>
      <c r="S18" s="162">
        <v>0</v>
      </c>
      <c r="T18" s="144">
        <v>10</v>
      </c>
      <c r="U18" s="176">
        <v>5</v>
      </c>
      <c r="V18" s="176">
        <v>15</v>
      </c>
      <c r="W18" s="176" t="s">
        <v>1239</v>
      </c>
      <c r="X18" s="335"/>
      <c r="Y18" s="144" t="s">
        <v>1257</v>
      </c>
      <c r="Z18" s="144" t="s">
        <v>272</v>
      </c>
      <c r="AA18" s="144" t="s">
        <v>1227</v>
      </c>
      <c r="AB18" s="152"/>
      <c r="AC18" s="152"/>
      <c r="AD18" s="471" t="s">
        <v>1254</v>
      </c>
      <c r="AE18" s="104"/>
      <c r="AF18" s="44" t="s">
        <v>1263</v>
      </c>
      <c r="AG18" s="44"/>
      <c r="AH18" s="44"/>
      <c r="AI18" s="44"/>
    </row>
    <row r="19" spans="1:35" s="107" customFormat="1" ht="14.45">
      <c r="A19" s="107" t="s">
        <v>1245</v>
      </c>
      <c r="B19" s="107" t="s">
        <v>1246</v>
      </c>
      <c r="C19" s="108"/>
      <c r="D19" s="108"/>
      <c r="E19" s="300"/>
      <c r="F19" s="176">
        <v>60</v>
      </c>
      <c r="G19" s="176">
        <v>910</v>
      </c>
      <c r="H19" s="144">
        <v>150</v>
      </c>
      <c r="I19" s="176">
        <v>50</v>
      </c>
      <c r="J19" s="146" t="s">
        <v>272</v>
      </c>
      <c r="K19" s="145" t="s">
        <v>272</v>
      </c>
      <c r="L19" s="146"/>
      <c r="M19" s="147" t="s">
        <v>1236</v>
      </c>
      <c r="N19" s="339">
        <v>150</v>
      </c>
      <c r="O19" s="148" t="s">
        <v>1249</v>
      </c>
      <c r="P19" s="149">
        <v>1</v>
      </c>
      <c r="Q19" s="469">
        <v>5</v>
      </c>
      <c r="R19" s="150" t="s">
        <v>1238</v>
      </c>
      <c r="S19" s="162">
        <v>0</v>
      </c>
      <c r="T19" s="144">
        <v>1</v>
      </c>
      <c r="U19" s="176">
        <v>5</v>
      </c>
      <c r="V19" s="176">
        <v>16</v>
      </c>
      <c r="W19" s="176" t="s">
        <v>1239</v>
      </c>
      <c r="X19" s="335" t="s">
        <v>1250</v>
      </c>
      <c r="Y19" s="109" t="s">
        <v>272</v>
      </c>
      <c r="Z19" s="109" t="s">
        <v>272</v>
      </c>
      <c r="AA19" s="109"/>
      <c r="AB19" s="114"/>
      <c r="AC19" s="114"/>
      <c r="AD19" s="109"/>
      <c r="AE19" s="101"/>
      <c r="AF19" s="109"/>
      <c r="AG19" s="101"/>
      <c r="AH19" s="101"/>
      <c r="AI19" s="101"/>
    </row>
    <row r="20" spans="1:35" s="107" customFormat="1" ht="57.95">
      <c r="A20" s="576" t="s">
        <v>1269</v>
      </c>
      <c r="B20" s="576" t="s">
        <v>1255</v>
      </c>
      <c r="C20" s="108">
        <v>46206</v>
      </c>
      <c r="D20" s="108" t="s">
        <v>209</v>
      </c>
      <c r="E20" s="594" t="s">
        <v>1270</v>
      </c>
      <c r="F20" s="176">
        <v>60</v>
      </c>
      <c r="G20" s="176">
        <v>850</v>
      </c>
      <c r="H20" s="176" t="s">
        <v>1256</v>
      </c>
      <c r="I20" s="176">
        <v>70</v>
      </c>
      <c r="J20" s="146">
        <v>10</v>
      </c>
      <c r="K20" s="145">
        <v>140</v>
      </c>
      <c r="L20" s="563" t="s">
        <v>1271</v>
      </c>
      <c r="M20" s="147" t="s">
        <v>1236</v>
      </c>
      <c r="N20" s="339">
        <v>300</v>
      </c>
      <c r="O20" s="148" t="s">
        <v>1237</v>
      </c>
      <c r="P20" s="149">
        <v>2.5</v>
      </c>
      <c r="Q20" s="469">
        <v>0.2</v>
      </c>
      <c r="R20" s="150" t="s">
        <v>1238</v>
      </c>
      <c r="S20" s="162">
        <v>0</v>
      </c>
      <c r="T20" s="144">
        <v>10</v>
      </c>
      <c r="U20" s="176">
        <v>5</v>
      </c>
      <c r="V20" s="176">
        <v>15</v>
      </c>
      <c r="W20" s="176" t="s">
        <v>1239</v>
      </c>
      <c r="X20" s="335"/>
      <c r="Y20" s="144" t="s">
        <v>1257</v>
      </c>
      <c r="Z20" s="144" t="s">
        <v>272</v>
      </c>
      <c r="AA20" s="144" t="s">
        <v>1227</v>
      </c>
      <c r="AB20" s="152"/>
      <c r="AC20" s="152"/>
      <c r="AD20" s="471" t="s">
        <v>1254</v>
      </c>
      <c r="AE20" s="104"/>
      <c r="AF20" s="44" t="s">
        <v>1263</v>
      </c>
      <c r="AG20" s="44"/>
      <c r="AH20" s="44">
        <v>34.380000000000003</v>
      </c>
      <c r="AI20" s="44">
        <v>762.77</v>
      </c>
    </row>
    <row r="21" spans="1:35" s="107" customFormat="1" ht="14.45">
      <c r="A21" s="107" t="s">
        <v>1245</v>
      </c>
      <c r="B21" s="107" t="s">
        <v>1246</v>
      </c>
      <c r="C21" s="108">
        <v>46206</v>
      </c>
      <c r="D21" s="108" t="s">
        <v>209</v>
      </c>
      <c r="E21" s="300"/>
      <c r="F21" s="176">
        <v>60</v>
      </c>
      <c r="G21" s="176">
        <v>910</v>
      </c>
      <c r="H21" s="144">
        <v>150</v>
      </c>
      <c r="I21" s="176">
        <v>50</v>
      </c>
      <c r="J21" s="146" t="s">
        <v>272</v>
      </c>
      <c r="K21" s="145" t="s">
        <v>272</v>
      </c>
      <c r="L21" s="146"/>
      <c r="M21" s="147" t="s">
        <v>1236</v>
      </c>
      <c r="N21" s="339">
        <v>150</v>
      </c>
      <c r="O21" s="148" t="s">
        <v>1249</v>
      </c>
      <c r="P21" s="149">
        <v>1</v>
      </c>
      <c r="Q21" s="469">
        <v>5</v>
      </c>
      <c r="R21" s="150" t="s">
        <v>1238</v>
      </c>
      <c r="S21" s="162">
        <v>0</v>
      </c>
      <c r="T21" s="144">
        <v>1</v>
      </c>
      <c r="U21" s="176">
        <v>5</v>
      </c>
      <c r="V21" s="176">
        <v>16</v>
      </c>
      <c r="W21" s="176" t="s">
        <v>1239</v>
      </c>
      <c r="X21" s="335" t="s">
        <v>1250</v>
      </c>
      <c r="Y21" s="109" t="s">
        <v>272</v>
      </c>
      <c r="Z21" s="109" t="s">
        <v>272</v>
      </c>
      <c r="AA21" s="109"/>
      <c r="AB21" s="114"/>
      <c r="AC21" s="114"/>
      <c r="AD21" s="109"/>
      <c r="AE21" s="101"/>
      <c r="AF21" s="109"/>
      <c r="AG21" s="101"/>
      <c r="AH21" s="101"/>
      <c r="AI21" s="101"/>
    </row>
    <row r="22" spans="1:35" s="107" customFormat="1" ht="57.95">
      <c r="A22" s="576" t="s">
        <v>1272</v>
      </c>
      <c r="B22" s="576" t="s">
        <v>1255</v>
      </c>
      <c r="C22" s="108">
        <v>46206</v>
      </c>
      <c r="D22" s="108" t="s">
        <v>209</v>
      </c>
      <c r="E22" s="594" t="s">
        <v>1273</v>
      </c>
      <c r="F22" s="176">
        <v>60</v>
      </c>
      <c r="G22" s="176">
        <v>850</v>
      </c>
      <c r="H22" s="176" t="s">
        <v>1256</v>
      </c>
      <c r="I22" s="176">
        <v>70</v>
      </c>
      <c r="J22" s="146">
        <v>10</v>
      </c>
      <c r="K22" s="145">
        <v>140</v>
      </c>
      <c r="L22" s="146"/>
      <c r="M22" s="147" t="s">
        <v>1236</v>
      </c>
      <c r="N22" s="339">
        <v>300</v>
      </c>
      <c r="O22" s="148" t="s">
        <v>1237</v>
      </c>
      <c r="P22" s="149">
        <v>2.5</v>
      </c>
      <c r="Q22" s="219">
        <v>0.24</v>
      </c>
      <c r="R22" s="150" t="s">
        <v>1238</v>
      </c>
      <c r="S22" s="162">
        <v>0</v>
      </c>
      <c r="T22" s="144">
        <v>10</v>
      </c>
      <c r="U22" s="176">
        <v>5</v>
      </c>
      <c r="V22" s="176">
        <v>15</v>
      </c>
      <c r="W22" s="176" t="s">
        <v>1239</v>
      </c>
      <c r="X22" s="335"/>
      <c r="Y22" s="144" t="s">
        <v>1257</v>
      </c>
      <c r="Z22" s="144" t="s">
        <v>272</v>
      </c>
      <c r="AA22" s="144" t="s">
        <v>1227</v>
      </c>
      <c r="AB22" s="152"/>
      <c r="AC22" s="152"/>
      <c r="AD22" s="471" t="s">
        <v>1254</v>
      </c>
      <c r="AE22" s="104"/>
      <c r="AF22" s="44" t="s">
        <v>1263</v>
      </c>
      <c r="AG22" s="44"/>
      <c r="AH22" s="44">
        <v>34.25</v>
      </c>
      <c r="AI22" s="44">
        <v>762.83</v>
      </c>
    </row>
    <row r="23" spans="1:35" s="107" customFormat="1" ht="14.45">
      <c r="A23" s="107" t="s">
        <v>1245</v>
      </c>
      <c r="B23" s="107" t="s">
        <v>1246</v>
      </c>
      <c r="C23" s="108">
        <v>46206</v>
      </c>
      <c r="D23" s="108" t="s">
        <v>209</v>
      </c>
      <c r="E23" s="300"/>
      <c r="F23" s="176">
        <v>60</v>
      </c>
      <c r="G23" s="176">
        <v>910</v>
      </c>
      <c r="H23" s="144">
        <v>150</v>
      </c>
      <c r="I23" s="176">
        <v>50</v>
      </c>
      <c r="J23" s="146" t="s">
        <v>272</v>
      </c>
      <c r="K23" s="145" t="s">
        <v>272</v>
      </c>
      <c r="L23" s="146"/>
      <c r="M23" s="147" t="s">
        <v>1236</v>
      </c>
      <c r="N23" s="339">
        <v>150</v>
      </c>
      <c r="O23" s="148" t="s">
        <v>1249</v>
      </c>
      <c r="P23" s="149">
        <v>1</v>
      </c>
      <c r="Q23" s="469">
        <v>5</v>
      </c>
      <c r="R23" s="150" t="s">
        <v>1238</v>
      </c>
      <c r="S23" s="162">
        <v>0</v>
      </c>
      <c r="T23" s="144">
        <v>1</v>
      </c>
      <c r="U23" s="176">
        <v>5</v>
      </c>
      <c r="V23" s="176">
        <v>16</v>
      </c>
      <c r="W23" s="176" t="s">
        <v>1239</v>
      </c>
      <c r="X23" s="335" t="s">
        <v>1250</v>
      </c>
      <c r="Y23" s="109" t="s">
        <v>272</v>
      </c>
      <c r="Z23" s="109" t="s">
        <v>272</v>
      </c>
      <c r="AA23" s="109"/>
      <c r="AB23" s="114"/>
      <c r="AC23" s="114"/>
      <c r="AD23" s="109"/>
      <c r="AE23" s="101"/>
      <c r="AF23" s="109"/>
      <c r="AG23" s="101"/>
      <c r="AH23" s="101"/>
      <c r="AI23" s="101"/>
    </row>
    <row r="24" spans="1:35" s="107" customFormat="1" ht="57.95">
      <c r="A24" s="576" t="s">
        <v>1274</v>
      </c>
      <c r="B24" s="576" t="s">
        <v>1255</v>
      </c>
      <c r="C24" s="108">
        <v>46207</v>
      </c>
      <c r="D24" t="s">
        <v>208</v>
      </c>
      <c r="E24" s="594" t="s">
        <v>1275</v>
      </c>
      <c r="F24" s="176">
        <v>60</v>
      </c>
      <c r="G24" s="176">
        <v>850</v>
      </c>
      <c r="H24" s="176" t="s">
        <v>1256</v>
      </c>
      <c r="I24" s="176">
        <v>70</v>
      </c>
      <c r="J24" s="146">
        <v>10</v>
      </c>
      <c r="K24" s="145">
        <v>140</v>
      </c>
      <c r="L24" s="220">
        <v>35</v>
      </c>
      <c r="M24" s="147" t="s">
        <v>1236</v>
      </c>
      <c r="N24" s="339">
        <v>300</v>
      </c>
      <c r="O24" s="148" t="s">
        <v>1237</v>
      </c>
      <c r="P24" s="149">
        <v>2.5</v>
      </c>
      <c r="Q24" s="469">
        <v>0.2</v>
      </c>
      <c r="R24" s="150" t="s">
        <v>1238</v>
      </c>
      <c r="S24" s="162">
        <v>0</v>
      </c>
      <c r="T24" s="144">
        <v>10</v>
      </c>
      <c r="U24" s="176">
        <v>5</v>
      </c>
      <c r="V24" s="176">
        <v>15</v>
      </c>
      <c r="W24" s="176" t="s">
        <v>1239</v>
      </c>
      <c r="X24" s="335"/>
      <c r="Y24" s="144" t="s">
        <v>1257</v>
      </c>
      <c r="Z24" s="144" t="s">
        <v>272</v>
      </c>
      <c r="AA24" s="144" t="s">
        <v>1227</v>
      </c>
      <c r="AB24" s="152"/>
      <c r="AC24" s="152"/>
      <c r="AD24" s="471" t="s">
        <v>1254</v>
      </c>
      <c r="AE24" s="104"/>
      <c r="AF24" s="44" t="s">
        <v>1258</v>
      </c>
      <c r="AG24" s="44">
        <v>0.13200000000000001</v>
      </c>
      <c r="AH24" s="44">
        <v>2.58</v>
      </c>
      <c r="AI24" s="44"/>
    </row>
    <row r="25" spans="1:35" s="107" customFormat="1" ht="14.45">
      <c r="A25" s="107" t="s">
        <v>1245</v>
      </c>
      <c r="B25" s="107" t="s">
        <v>1246</v>
      </c>
      <c r="C25" s="108">
        <v>46207</v>
      </c>
      <c r="D25" s="108" t="s">
        <v>208</v>
      </c>
      <c r="E25" s="300"/>
      <c r="F25" s="176">
        <v>60</v>
      </c>
      <c r="G25" s="176">
        <v>910</v>
      </c>
      <c r="H25" s="144">
        <v>150</v>
      </c>
      <c r="I25" s="176">
        <v>50</v>
      </c>
      <c r="J25" s="146" t="s">
        <v>272</v>
      </c>
      <c r="K25" s="145" t="s">
        <v>272</v>
      </c>
      <c r="L25" s="146"/>
      <c r="M25" s="147" t="s">
        <v>1236</v>
      </c>
      <c r="N25" s="339">
        <v>150</v>
      </c>
      <c r="O25" s="148" t="s">
        <v>1249</v>
      </c>
      <c r="P25" s="149">
        <v>1</v>
      </c>
      <c r="Q25" s="469">
        <v>5</v>
      </c>
      <c r="R25" s="150" t="s">
        <v>1238</v>
      </c>
      <c r="S25" s="162">
        <v>0</v>
      </c>
      <c r="T25" s="144">
        <v>1</v>
      </c>
      <c r="U25" s="176">
        <v>5</v>
      </c>
      <c r="V25" s="176">
        <v>16</v>
      </c>
      <c r="W25" s="176" t="s">
        <v>1239</v>
      </c>
      <c r="X25" s="335" t="s">
        <v>1250</v>
      </c>
      <c r="Y25" s="109" t="s">
        <v>272</v>
      </c>
      <c r="Z25" s="109" t="s">
        <v>272</v>
      </c>
      <c r="AA25" s="109"/>
      <c r="AB25" s="114"/>
      <c r="AC25" s="114"/>
      <c r="AD25" s="109"/>
      <c r="AE25" s="101"/>
      <c r="AF25" s="109"/>
      <c r="AG25" s="101"/>
      <c r="AH25" s="101"/>
      <c r="AI25" s="101"/>
    </row>
    <row r="26" spans="1:35" s="107" customFormat="1" ht="57.95">
      <c r="A26" s="576" t="s">
        <v>1276</v>
      </c>
      <c r="B26" s="576" t="s">
        <v>1255</v>
      </c>
      <c r="C26" s="108">
        <v>46207</v>
      </c>
      <c r="D26" s="108" t="s">
        <v>209</v>
      </c>
      <c r="E26" s="594" t="s">
        <v>1277</v>
      </c>
      <c r="F26" s="176">
        <v>60</v>
      </c>
      <c r="G26" s="176">
        <v>850</v>
      </c>
      <c r="H26" s="176" t="s">
        <v>1256</v>
      </c>
      <c r="I26" s="176">
        <v>30</v>
      </c>
      <c r="J26" s="146">
        <v>10</v>
      </c>
      <c r="K26" s="145">
        <v>140</v>
      </c>
      <c r="L26" s="220">
        <v>40</v>
      </c>
      <c r="M26" s="147" t="s">
        <v>1236</v>
      </c>
      <c r="N26" s="339">
        <v>300</v>
      </c>
      <c r="O26" s="148" t="s">
        <v>1237</v>
      </c>
      <c r="P26" s="149">
        <v>2.5</v>
      </c>
      <c r="Q26" s="469">
        <v>0.2</v>
      </c>
      <c r="R26" s="150" t="s">
        <v>1238</v>
      </c>
      <c r="S26" s="162">
        <v>0</v>
      </c>
      <c r="T26" s="144">
        <v>10</v>
      </c>
      <c r="U26" s="176">
        <v>5</v>
      </c>
      <c r="V26" s="176">
        <v>15</v>
      </c>
      <c r="W26" s="176" t="s">
        <v>1239</v>
      </c>
      <c r="X26" s="335"/>
      <c r="Y26" s="144" t="s">
        <v>1257</v>
      </c>
      <c r="Z26" s="144" t="s">
        <v>272</v>
      </c>
      <c r="AA26" s="144" t="s">
        <v>1227</v>
      </c>
      <c r="AB26" s="152"/>
      <c r="AC26" s="152"/>
      <c r="AD26" s="471" t="s">
        <v>1254</v>
      </c>
      <c r="AE26" s="104"/>
      <c r="AF26" s="44" t="s">
        <v>1258</v>
      </c>
      <c r="AG26" s="44">
        <v>0.126</v>
      </c>
      <c r="AH26" s="44">
        <v>2.52</v>
      </c>
      <c r="AI26" s="44"/>
    </row>
    <row r="27" spans="1:35" s="107" customFormat="1" ht="14.45">
      <c r="A27" s="107" t="s">
        <v>1245</v>
      </c>
      <c r="B27" s="107" t="s">
        <v>1246</v>
      </c>
      <c r="C27" s="108">
        <v>46207</v>
      </c>
      <c r="D27" s="108" t="s">
        <v>209</v>
      </c>
      <c r="E27" s="300"/>
      <c r="F27" s="176">
        <v>60</v>
      </c>
      <c r="G27" s="176">
        <v>910</v>
      </c>
      <c r="H27" s="144">
        <v>150</v>
      </c>
      <c r="I27" s="176">
        <v>50</v>
      </c>
      <c r="J27" s="146" t="s">
        <v>272</v>
      </c>
      <c r="K27" s="145" t="s">
        <v>272</v>
      </c>
      <c r="L27" s="146"/>
      <c r="M27" s="147" t="s">
        <v>1236</v>
      </c>
      <c r="N27" s="339">
        <v>150</v>
      </c>
      <c r="O27" s="148" t="s">
        <v>1249</v>
      </c>
      <c r="P27" s="149">
        <v>1</v>
      </c>
      <c r="Q27" s="469">
        <v>5</v>
      </c>
      <c r="R27" s="150" t="s">
        <v>1238</v>
      </c>
      <c r="S27" s="162">
        <v>0</v>
      </c>
      <c r="T27" s="144">
        <v>1</v>
      </c>
      <c r="U27" s="176">
        <v>5</v>
      </c>
      <c r="V27" s="176">
        <v>16</v>
      </c>
      <c r="W27" s="176" t="s">
        <v>1239</v>
      </c>
      <c r="X27" s="335" t="s">
        <v>1250</v>
      </c>
      <c r="Y27" s="109" t="s">
        <v>272</v>
      </c>
      <c r="Z27" s="109" t="s">
        <v>272</v>
      </c>
      <c r="AA27" s="109"/>
      <c r="AB27" s="114"/>
      <c r="AC27" s="114"/>
      <c r="AD27" s="109"/>
      <c r="AE27" s="101"/>
      <c r="AF27" s="109"/>
      <c r="AG27" s="101"/>
      <c r="AH27" s="101"/>
      <c r="AI27" s="101"/>
    </row>
    <row r="28" spans="1:35" s="107" customFormat="1" ht="57.95">
      <c r="A28" s="577" t="s">
        <v>1278</v>
      </c>
      <c r="B28" s="577" t="s">
        <v>1255</v>
      </c>
      <c r="C28" s="108">
        <v>46207</v>
      </c>
      <c r="D28" s="108" t="s">
        <v>209</v>
      </c>
      <c r="E28" s="594" t="s">
        <v>1279</v>
      </c>
      <c r="F28" s="176">
        <v>60</v>
      </c>
      <c r="G28" s="176">
        <v>850</v>
      </c>
      <c r="H28" s="176" t="s">
        <v>1256</v>
      </c>
      <c r="I28" s="176">
        <v>70</v>
      </c>
      <c r="J28" s="146">
        <v>10</v>
      </c>
      <c r="K28" s="145">
        <v>140</v>
      </c>
      <c r="L28" s="146">
        <v>40</v>
      </c>
      <c r="M28" s="147" t="s">
        <v>1236</v>
      </c>
      <c r="N28" s="339">
        <v>300</v>
      </c>
      <c r="O28" s="148" t="s">
        <v>1237</v>
      </c>
      <c r="P28" s="149">
        <v>2.5</v>
      </c>
      <c r="Q28" s="469">
        <v>0.2</v>
      </c>
      <c r="R28" s="150" t="s">
        <v>1238</v>
      </c>
      <c r="S28" s="162">
        <v>0</v>
      </c>
      <c r="T28" s="144">
        <v>10</v>
      </c>
      <c r="U28" s="172">
        <v>2.5</v>
      </c>
      <c r="V28" s="176">
        <v>15</v>
      </c>
      <c r="W28" s="176" t="s">
        <v>1239</v>
      </c>
      <c r="X28" s="335"/>
      <c r="Y28" s="144" t="s">
        <v>1257</v>
      </c>
      <c r="Z28" s="144" t="s">
        <v>272</v>
      </c>
      <c r="AA28" s="144" t="s">
        <v>1227</v>
      </c>
      <c r="AB28" s="152"/>
      <c r="AC28" s="152"/>
      <c r="AD28" s="471" t="s">
        <v>1254</v>
      </c>
      <c r="AE28" s="104"/>
      <c r="AF28" s="44" t="s">
        <v>1258</v>
      </c>
      <c r="AG28" s="44">
        <v>0.158</v>
      </c>
      <c r="AH28" s="44">
        <v>2.5099999999999998</v>
      </c>
      <c r="AI28" s="44"/>
    </row>
    <row r="29" spans="1:35" s="107" customFormat="1" ht="14.45">
      <c r="A29" s="107" t="s">
        <v>1245</v>
      </c>
      <c r="B29" s="107" t="s">
        <v>1246</v>
      </c>
      <c r="C29" s="108">
        <v>46207</v>
      </c>
      <c r="D29" s="108" t="s">
        <v>209</v>
      </c>
      <c r="E29" s="300"/>
      <c r="F29" s="176">
        <v>60</v>
      </c>
      <c r="G29" s="176">
        <v>910</v>
      </c>
      <c r="H29" s="144">
        <v>150</v>
      </c>
      <c r="I29" s="176">
        <v>50</v>
      </c>
      <c r="J29" s="146" t="s">
        <v>272</v>
      </c>
      <c r="K29" s="145" t="s">
        <v>272</v>
      </c>
      <c r="L29" s="146"/>
      <c r="M29" s="147" t="s">
        <v>1236</v>
      </c>
      <c r="N29" s="339">
        <v>150</v>
      </c>
      <c r="O29" s="148" t="s">
        <v>1249</v>
      </c>
      <c r="P29" s="149">
        <v>1</v>
      </c>
      <c r="Q29" s="469">
        <v>5</v>
      </c>
      <c r="R29" s="150" t="s">
        <v>1238</v>
      </c>
      <c r="S29" s="162">
        <v>0</v>
      </c>
      <c r="T29" s="144">
        <v>1</v>
      </c>
      <c r="U29" s="176">
        <v>5</v>
      </c>
      <c r="V29" s="176">
        <v>16</v>
      </c>
      <c r="W29" s="176" t="s">
        <v>1239</v>
      </c>
      <c r="X29" s="335" t="s">
        <v>1250</v>
      </c>
      <c r="Y29" s="109" t="s">
        <v>272</v>
      </c>
      <c r="Z29" s="109" t="s">
        <v>272</v>
      </c>
      <c r="AA29" s="109"/>
      <c r="AB29" s="114"/>
      <c r="AC29" s="114"/>
      <c r="AD29" s="109"/>
      <c r="AE29" s="101"/>
      <c r="AF29" s="109"/>
      <c r="AG29" s="101"/>
      <c r="AH29" s="101"/>
      <c r="AI29" s="101"/>
    </row>
    <row r="30" spans="1:35" s="107" customFormat="1" ht="57.95">
      <c r="A30" s="576" t="s">
        <v>1280</v>
      </c>
      <c r="B30" s="576" t="s">
        <v>1278</v>
      </c>
      <c r="C30" s="108">
        <v>46207</v>
      </c>
      <c r="D30" t="s">
        <v>209</v>
      </c>
      <c r="E30" s="594" t="s">
        <v>1281</v>
      </c>
      <c r="F30" s="176">
        <v>60</v>
      </c>
      <c r="G30" s="176">
        <v>850</v>
      </c>
      <c r="H30" s="176" t="s">
        <v>1256</v>
      </c>
      <c r="I30" s="176">
        <v>70</v>
      </c>
      <c r="J30" s="146">
        <v>10</v>
      </c>
      <c r="K30" s="145">
        <v>140</v>
      </c>
      <c r="L30" s="146">
        <v>25</v>
      </c>
      <c r="M30" s="147" t="s">
        <v>1236</v>
      </c>
      <c r="N30" s="339">
        <v>300</v>
      </c>
      <c r="O30" s="148" t="s">
        <v>1237</v>
      </c>
      <c r="P30" s="149">
        <v>2.5</v>
      </c>
      <c r="Q30" s="469">
        <v>0.2</v>
      </c>
      <c r="R30" s="150" t="s">
        <v>1238</v>
      </c>
      <c r="S30" s="162">
        <v>0</v>
      </c>
      <c r="T30" s="144">
        <v>10</v>
      </c>
      <c r="U30" s="172">
        <v>2.5</v>
      </c>
      <c r="V30" s="176">
        <v>15</v>
      </c>
      <c r="W30" s="176" t="s">
        <v>1239</v>
      </c>
      <c r="X30" s="335"/>
      <c r="Y30" s="144" t="s">
        <v>1257</v>
      </c>
      <c r="Z30" s="144" t="s">
        <v>272</v>
      </c>
      <c r="AA30" s="144" t="s">
        <v>1227</v>
      </c>
      <c r="AB30" s="152"/>
      <c r="AC30" s="152"/>
      <c r="AD30" s="471" t="s">
        <v>1254</v>
      </c>
      <c r="AE30" s="104"/>
      <c r="AF30" s="44" t="s">
        <v>1258</v>
      </c>
      <c r="AG30" s="44">
        <v>0.16700000000000001</v>
      </c>
      <c r="AH30" s="44">
        <v>2.78</v>
      </c>
      <c r="AI30" s="44"/>
    </row>
    <row r="31" spans="1:35" s="107" customFormat="1" ht="14.45">
      <c r="A31" s="107" t="s">
        <v>1245</v>
      </c>
      <c r="B31" s="107" t="s">
        <v>1246</v>
      </c>
      <c r="C31" s="108">
        <v>46207</v>
      </c>
      <c r="D31" s="108" t="s">
        <v>209</v>
      </c>
      <c r="E31" s="300"/>
      <c r="F31" s="176">
        <v>60</v>
      </c>
      <c r="G31" s="176">
        <v>910</v>
      </c>
      <c r="H31" s="144">
        <v>150</v>
      </c>
      <c r="I31" s="176">
        <v>50</v>
      </c>
      <c r="J31" s="146" t="s">
        <v>272</v>
      </c>
      <c r="K31" s="145" t="s">
        <v>272</v>
      </c>
      <c r="L31" s="146"/>
      <c r="M31" s="147" t="s">
        <v>1236</v>
      </c>
      <c r="N31" s="339">
        <v>150</v>
      </c>
      <c r="O31" s="148" t="s">
        <v>1249</v>
      </c>
      <c r="P31" s="149">
        <v>1</v>
      </c>
      <c r="Q31" s="469">
        <v>5</v>
      </c>
      <c r="R31" s="150" t="s">
        <v>1238</v>
      </c>
      <c r="S31" s="162">
        <v>0</v>
      </c>
      <c r="T31" s="144">
        <v>1</v>
      </c>
      <c r="U31" s="176">
        <v>5</v>
      </c>
      <c r="V31" s="176">
        <v>16</v>
      </c>
      <c r="W31" s="176" t="s">
        <v>1239</v>
      </c>
      <c r="X31" s="335" t="s">
        <v>1250</v>
      </c>
      <c r="Y31" s="109" t="s">
        <v>272</v>
      </c>
      <c r="Z31" s="109" t="s">
        <v>272</v>
      </c>
      <c r="AA31" s="109"/>
      <c r="AB31" s="114"/>
      <c r="AC31" s="114"/>
      <c r="AD31" s="109"/>
      <c r="AE31" s="101"/>
      <c r="AF31" s="109"/>
      <c r="AG31" s="101"/>
      <c r="AH31" s="101"/>
      <c r="AI31" s="101"/>
    </row>
    <row r="32" spans="1:35" s="107" customFormat="1" ht="57.95">
      <c r="A32" s="576" t="s">
        <v>1282</v>
      </c>
      <c r="B32" s="576" t="s">
        <v>1278</v>
      </c>
      <c r="C32" s="108">
        <v>46208</v>
      </c>
      <c r="D32" s="108"/>
      <c r="E32" s="594" t="s">
        <v>1283</v>
      </c>
      <c r="F32" s="176">
        <v>60</v>
      </c>
      <c r="G32" s="176">
        <v>850</v>
      </c>
      <c r="H32" s="176" t="s">
        <v>1256</v>
      </c>
      <c r="I32" s="176">
        <v>70</v>
      </c>
      <c r="J32" s="146">
        <v>10</v>
      </c>
      <c r="K32" s="145">
        <v>140</v>
      </c>
      <c r="L32" s="146">
        <v>25</v>
      </c>
      <c r="M32" s="147" t="s">
        <v>1236</v>
      </c>
      <c r="N32" s="339">
        <v>300</v>
      </c>
      <c r="O32" s="148" t="s">
        <v>1237</v>
      </c>
      <c r="P32" s="149">
        <v>2.5</v>
      </c>
      <c r="Q32" s="469">
        <v>0.2</v>
      </c>
      <c r="R32" s="150" t="s">
        <v>1238</v>
      </c>
      <c r="S32" s="162">
        <v>0</v>
      </c>
      <c r="T32" s="144">
        <v>10</v>
      </c>
      <c r="U32" s="172">
        <v>1.5</v>
      </c>
      <c r="V32" s="176">
        <v>15</v>
      </c>
      <c r="W32" s="176" t="s">
        <v>1239</v>
      </c>
      <c r="X32" s="335"/>
      <c r="Y32" s="144" t="s">
        <v>1257</v>
      </c>
      <c r="Z32" s="144" t="s">
        <v>272</v>
      </c>
      <c r="AA32" s="144" t="s">
        <v>1227</v>
      </c>
      <c r="AB32" s="152"/>
      <c r="AC32" s="152"/>
      <c r="AD32" s="471" t="s">
        <v>1254</v>
      </c>
      <c r="AE32" s="104"/>
      <c r="AF32" s="44" t="s">
        <v>1258</v>
      </c>
      <c r="AG32" s="44">
        <v>0.19600000000000001</v>
      </c>
      <c r="AH32" s="44">
        <v>3.6</v>
      </c>
      <c r="AI32" s="44"/>
    </row>
    <row r="33" spans="1:35" s="107" customFormat="1" ht="14.45">
      <c r="A33" s="107" t="s">
        <v>1245</v>
      </c>
      <c r="B33" s="107" t="s">
        <v>1246</v>
      </c>
      <c r="C33" s="108">
        <v>46208</v>
      </c>
      <c r="D33" s="108"/>
      <c r="E33" s="300"/>
      <c r="F33" s="176">
        <v>60</v>
      </c>
      <c r="G33" s="176">
        <v>910</v>
      </c>
      <c r="H33" s="144">
        <v>150</v>
      </c>
      <c r="I33" s="176">
        <v>50</v>
      </c>
      <c r="J33" s="146" t="s">
        <v>272</v>
      </c>
      <c r="K33" s="145" t="s">
        <v>272</v>
      </c>
      <c r="L33" s="146"/>
      <c r="M33" s="147" t="s">
        <v>1236</v>
      </c>
      <c r="N33" s="339">
        <v>150</v>
      </c>
      <c r="O33" s="148" t="s">
        <v>1249</v>
      </c>
      <c r="P33" s="149">
        <v>1</v>
      </c>
      <c r="Q33" s="469">
        <v>5</v>
      </c>
      <c r="R33" s="150" t="s">
        <v>1238</v>
      </c>
      <c r="S33" s="162">
        <v>0</v>
      </c>
      <c r="T33" s="144">
        <v>1</v>
      </c>
      <c r="U33" s="176">
        <v>5</v>
      </c>
      <c r="V33" s="176">
        <v>16</v>
      </c>
      <c r="W33" s="176" t="s">
        <v>1239</v>
      </c>
      <c r="X33" s="335" t="s">
        <v>1250</v>
      </c>
      <c r="Y33" s="109" t="s">
        <v>272</v>
      </c>
      <c r="Z33" s="109" t="s">
        <v>272</v>
      </c>
      <c r="AA33" s="109"/>
      <c r="AB33" s="114"/>
      <c r="AC33" s="114"/>
      <c r="AD33" s="109"/>
      <c r="AE33" s="101"/>
      <c r="AF33" s="109"/>
      <c r="AG33" s="101"/>
      <c r="AH33" s="101"/>
      <c r="AI33" s="101"/>
    </row>
    <row r="34" spans="1:35" s="107" customFormat="1" ht="57.95">
      <c r="A34" s="576" t="s">
        <v>1284</v>
      </c>
      <c r="B34" s="576" t="s">
        <v>1278</v>
      </c>
      <c r="C34" s="108">
        <v>46208</v>
      </c>
      <c r="D34" s="108"/>
      <c r="E34" s="594" t="s">
        <v>1285</v>
      </c>
      <c r="F34" s="172">
        <v>50</v>
      </c>
      <c r="G34" s="176">
        <v>850</v>
      </c>
      <c r="H34" s="176" t="s">
        <v>1256</v>
      </c>
      <c r="I34" s="176">
        <v>70</v>
      </c>
      <c r="J34" s="146">
        <v>10</v>
      </c>
      <c r="K34" s="145">
        <v>140</v>
      </c>
      <c r="L34" s="146">
        <v>25</v>
      </c>
      <c r="M34" s="147" t="s">
        <v>1236</v>
      </c>
      <c r="N34" s="339">
        <v>300</v>
      </c>
      <c r="O34" s="148" t="s">
        <v>1237</v>
      </c>
      <c r="P34" s="149">
        <v>2.5</v>
      </c>
      <c r="Q34" s="469">
        <v>0.2</v>
      </c>
      <c r="R34" s="150" t="s">
        <v>1238</v>
      </c>
      <c r="S34" s="162">
        <v>0</v>
      </c>
      <c r="T34" s="144">
        <v>10</v>
      </c>
      <c r="U34" s="176">
        <v>2.5</v>
      </c>
      <c r="V34" s="176">
        <v>15</v>
      </c>
      <c r="W34" s="176" t="s">
        <v>1239</v>
      </c>
      <c r="X34" s="335"/>
      <c r="Y34" s="144" t="s">
        <v>1257</v>
      </c>
      <c r="Z34" s="144" t="s">
        <v>272</v>
      </c>
      <c r="AA34" s="144" t="s">
        <v>1227</v>
      </c>
      <c r="AB34" s="152"/>
      <c r="AC34" s="152"/>
      <c r="AD34" s="471" t="s">
        <v>1254</v>
      </c>
      <c r="AE34" s="104"/>
      <c r="AF34" s="44" t="s">
        <v>1263</v>
      </c>
      <c r="AG34" s="44"/>
      <c r="AH34" s="44">
        <v>38.479999999999997</v>
      </c>
      <c r="AI34" s="44">
        <v>767.75</v>
      </c>
    </row>
    <row r="35" spans="1:35" s="107" customFormat="1" ht="14.45">
      <c r="A35" s="107" t="s">
        <v>1245</v>
      </c>
      <c r="B35" s="107" t="s">
        <v>1246</v>
      </c>
      <c r="C35" s="108">
        <v>46208</v>
      </c>
      <c r="D35" s="108"/>
      <c r="E35" s="300"/>
      <c r="F35" s="176">
        <v>60</v>
      </c>
      <c r="G35" s="176">
        <v>910</v>
      </c>
      <c r="H35" s="144">
        <v>150</v>
      </c>
      <c r="I35" s="176">
        <v>50</v>
      </c>
      <c r="J35" s="146" t="s">
        <v>272</v>
      </c>
      <c r="K35" s="145" t="s">
        <v>272</v>
      </c>
      <c r="L35" s="146"/>
      <c r="M35" s="147" t="s">
        <v>1236</v>
      </c>
      <c r="N35" s="339">
        <v>150</v>
      </c>
      <c r="O35" s="148" t="s">
        <v>1249</v>
      </c>
      <c r="P35" s="149">
        <v>1</v>
      </c>
      <c r="Q35" s="469">
        <v>5</v>
      </c>
      <c r="R35" s="150" t="s">
        <v>1238</v>
      </c>
      <c r="S35" s="162">
        <v>0</v>
      </c>
      <c r="T35" s="144">
        <v>1</v>
      </c>
      <c r="U35" s="176">
        <v>5</v>
      </c>
      <c r="V35" s="176">
        <v>16</v>
      </c>
      <c r="W35" s="176" t="s">
        <v>1239</v>
      </c>
      <c r="X35" s="335" t="s">
        <v>1250</v>
      </c>
      <c r="Y35" s="109" t="s">
        <v>272</v>
      </c>
      <c r="Z35" s="109" t="s">
        <v>272</v>
      </c>
      <c r="AA35" s="109"/>
      <c r="AB35" s="114"/>
      <c r="AC35" s="114"/>
      <c r="AD35" s="109"/>
      <c r="AE35" s="101"/>
      <c r="AF35" s="109"/>
      <c r="AG35" s="101"/>
      <c r="AH35" s="101"/>
      <c r="AI35" s="101"/>
    </row>
    <row r="36" spans="1:35" s="107" customFormat="1" ht="57.95">
      <c r="A36" s="588" t="s">
        <v>1286</v>
      </c>
      <c r="B36" s="588" t="s">
        <v>1278</v>
      </c>
      <c r="C36" s="108">
        <v>46208</v>
      </c>
      <c r="D36" s="108"/>
      <c r="E36" s="594" t="s">
        <v>1268</v>
      </c>
      <c r="F36" s="172">
        <v>70</v>
      </c>
      <c r="G36" s="176">
        <v>850</v>
      </c>
      <c r="H36" s="176" t="s">
        <v>1256</v>
      </c>
      <c r="I36" s="176">
        <v>70</v>
      </c>
      <c r="J36" s="146">
        <v>10</v>
      </c>
      <c r="K36" s="145">
        <v>140</v>
      </c>
      <c r="L36" s="569">
        <v>35</v>
      </c>
      <c r="M36" s="147" t="s">
        <v>1236</v>
      </c>
      <c r="N36" s="339">
        <v>300</v>
      </c>
      <c r="O36" s="148" t="s">
        <v>1237</v>
      </c>
      <c r="P36" s="149">
        <v>2.5</v>
      </c>
      <c r="Q36" s="469">
        <v>0.2</v>
      </c>
      <c r="R36" s="150" t="s">
        <v>1238</v>
      </c>
      <c r="S36" s="162">
        <v>0</v>
      </c>
      <c r="T36" s="144">
        <v>10</v>
      </c>
      <c r="U36" s="176">
        <v>2.5</v>
      </c>
      <c r="V36" s="176">
        <v>15</v>
      </c>
      <c r="W36" s="176" t="s">
        <v>1239</v>
      </c>
      <c r="X36" s="335"/>
      <c r="Y36" s="144" t="s">
        <v>1257</v>
      </c>
      <c r="Z36" s="144" t="s">
        <v>272</v>
      </c>
      <c r="AA36" s="144" t="s">
        <v>1227</v>
      </c>
      <c r="AB36" s="152"/>
      <c r="AC36" s="152"/>
      <c r="AD36" s="471" t="s">
        <v>1254</v>
      </c>
      <c r="AE36" s="104"/>
      <c r="AF36" s="44" t="s">
        <v>1258</v>
      </c>
      <c r="AG36" s="44">
        <v>0.33100000000000002</v>
      </c>
      <c r="AH36" s="44">
        <v>2.54</v>
      </c>
      <c r="AI36" s="44"/>
    </row>
    <row r="37" spans="1:35" s="107" customFormat="1" ht="14.45">
      <c r="A37" s="107" t="s">
        <v>1245</v>
      </c>
      <c r="B37" s="107" t="s">
        <v>1246</v>
      </c>
      <c r="C37" s="108">
        <v>46208</v>
      </c>
      <c r="D37" s="108"/>
      <c r="E37" s="300"/>
      <c r="F37" s="176">
        <v>60</v>
      </c>
      <c r="G37" s="176">
        <v>910</v>
      </c>
      <c r="H37" s="144">
        <v>150</v>
      </c>
      <c r="I37" s="176">
        <v>50</v>
      </c>
      <c r="J37" s="146" t="s">
        <v>272</v>
      </c>
      <c r="K37" s="145" t="s">
        <v>272</v>
      </c>
      <c r="L37" s="146">
        <v>35</v>
      </c>
      <c r="M37" s="147" t="s">
        <v>1236</v>
      </c>
      <c r="N37" s="339">
        <v>150</v>
      </c>
      <c r="O37" s="148" t="s">
        <v>1249</v>
      </c>
      <c r="P37" s="149">
        <v>1</v>
      </c>
      <c r="Q37" s="469">
        <v>5</v>
      </c>
      <c r="R37" s="150" t="s">
        <v>1238</v>
      </c>
      <c r="S37" s="162">
        <v>0</v>
      </c>
      <c r="T37" s="144">
        <v>1</v>
      </c>
      <c r="U37" s="176">
        <v>5</v>
      </c>
      <c r="V37" s="176">
        <v>16</v>
      </c>
      <c r="W37" s="176" t="s">
        <v>1239</v>
      </c>
      <c r="X37" s="335" t="s">
        <v>1250</v>
      </c>
      <c r="Y37" s="109" t="s">
        <v>272</v>
      </c>
      <c r="Z37" s="109" t="s">
        <v>272</v>
      </c>
      <c r="AA37" s="109"/>
      <c r="AB37" s="114"/>
      <c r="AC37" s="114"/>
      <c r="AD37" s="109"/>
      <c r="AE37" s="101"/>
      <c r="AF37" s="109"/>
      <c r="AG37" s="101"/>
      <c r="AH37" s="101"/>
      <c r="AI37" s="101"/>
    </row>
    <row r="38" spans="1:35" s="107" customFormat="1" ht="29.1">
      <c r="A38" s="576" t="s">
        <v>1287</v>
      </c>
      <c r="B38" s="576" t="s">
        <v>1278</v>
      </c>
      <c r="C38" s="108">
        <v>46209</v>
      </c>
      <c r="D38" s="108"/>
      <c r="E38" s="594" t="s">
        <v>1288</v>
      </c>
      <c r="F38" s="176">
        <v>60</v>
      </c>
      <c r="G38" s="176">
        <v>850</v>
      </c>
      <c r="H38" s="176" t="s">
        <v>1256</v>
      </c>
      <c r="I38" s="176">
        <v>70</v>
      </c>
      <c r="J38" s="146">
        <v>10</v>
      </c>
      <c r="K38" s="145">
        <v>140</v>
      </c>
      <c r="L38" s="146">
        <v>35</v>
      </c>
      <c r="M38" s="147" t="s">
        <v>1236</v>
      </c>
      <c r="N38" s="339">
        <v>300</v>
      </c>
      <c r="O38" s="148" t="s">
        <v>1237</v>
      </c>
      <c r="P38" s="149">
        <v>2.5</v>
      </c>
      <c r="Q38" s="469">
        <v>0.2</v>
      </c>
      <c r="R38" s="150" t="s">
        <v>1238</v>
      </c>
      <c r="S38" s="162">
        <v>0</v>
      </c>
      <c r="T38" s="144">
        <v>10</v>
      </c>
      <c r="U38" s="176">
        <v>2.5</v>
      </c>
      <c r="V38" s="176">
        <v>15</v>
      </c>
      <c r="W38" s="176" t="s">
        <v>1239</v>
      </c>
      <c r="X38" s="572" t="s">
        <v>1289</v>
      </c>
      <c r="Y38" s="144" t="s">
        <v>1257</v>
      </c>
      <c r="Z38" s="144" t="s">
        <v>272</v>
      </c>
      <c r="AA38" s="144" t="s">
        <v>1227</v>
      </c>
      <c r="AB38" s="152"/>
      <c r="AC38" s="152"/>
      <c r="AD38" s="570" t="s">
        <v>1254</v>
      </c>
      <c r="AE38" s="104"/>
      <c r="AF38" s="44" t="s">
        <v>1258</v>
      </c>
      <c r="AG38" s="44">
        <v>0.14299999999999999</v>
      </c>
      <c r="AH38" s="44">
        <v>3.7</v>
      </c>
      <c r="AI38" s="44"/>
    </row>
    <row r="39" spans="1:35" s="107" customFormat="1" ht="14.45">
      <c r="A39" s="107" t="s">
        <v>1245</v>
      </c>
      <c r="B39" s="107" t="s">
        <v>1246</v>
      </c>
      <c r="C39" s="108">
        <v>46209</v>
      </c>
      <c r="D39" s="108"/>
      <c r="E39" s="300"/>
      <c r="F39" s="176">
        <v>60</v>
      </c>
      <c r="G39" s="176">
        <v>910</v>
      </c>
      <c r="H39" s="144">
        <v>150</v>
      </c>
      <c r="I39" s="176">
        <v>50</v>
      </c>
      <c r="J39" s="146" t="s">
        <v>272</v>
      </c>
      <c r="K39" s="145" t="s">
        <v>272</v>
      </c>
      <c r="L39" s="146">
        <v>35</v>
      </c>
      <c r="M39" s="147" t="s">
        <v>1236</v>
      </c>
      <c r="N39" s="339">
        <v>150</v>
      </c>
      <c r="O39" s="148" t="s">
        <v>1249</v>
      </c>
      <c r="P39" s="149">
        <v>1</v>
      </c>
      <c r="Q39" s="469">
        <v>5</v>
      </c>
      <c r="R39" s="150" t="s">
        <v>1238</v>
      </c>
      <c r="S39" s="162">
        <v>0</v>
      </c>
      <c r="T39" s="144">
        <v>1</v>
      </c>
      <c r="U39" s="176">
        <v>5</v>
      </c>
      <c r="V39" s="176">
        <v>16</v>
      </c>
      <c r="W39" s="176" t="s">
        <v>1239</v>
      </c>
      <c r="X39" s="335" t="s">
        <v>1250</v>
      </c>
      <c r="Y39" s="109" t="s">
        <v>272</v>
      </c>
      <c r="Z39" s="109" t="s">
        <v>272</v>
      </c>
      <c r="AA39" s="109"/>
      <c r="AB39" s="114"/>
      <c r="AC39" s="114"/>
      <c r="AD39" s="109"/>
      <c r="AE39" s="101"/>
      <c r="AF39" s="109"/>
      <c r="AG39" s="101"/>
      <c r="AH39" s="101"/>
      <c r="AI39" s="101"/>
    </row>
    <row r="40" spans="1:35" s="107" customFormat="1" ht="57.95">
      <c r="A40" s="516" t="s">
        <v>1290</v>
      </c>
      <c r="B40" s="516" t="s">
        <v>1287</v>
      </c>
      <c r="C40" s="108">
        <v>46209</v>
      </c>
      <c r="D40" s="108"/>
      <c r="E40" s="594" t="s">
        <v>1291</v>
      </c>
      <c r="F40" s="176">
        <v>60</v>
      </c>
      <c r="G40" s="176">
        <v>850</v>
      </c>
      <c r="H40" s="176" t="s">
        <v>1256</v>
      </c>
      <c r="I40" s="176">
        <v>70</v>
      </c>
      <c r="J40" s="146">
        <v>10</v>
      </c>
      <c r="K40" s="145">
        <v>140</v>
      </c>
      <c r="L40" s="146">
        <v>35</v>
      </c>
      <c r="M40" s="147" t="s">
        <v>1236</v>
      </c>
      <c r="N40" s="339">
        <v>300</v>
      </c>
      <c r="O40" s="148" t="s">
        <v>1237</v>
      </c>
      <c r="P40" s="149">
        <v>2.5</v>
      </c>
      <c r="Q40" s="469">
        <v>0.2</v>
      </c>
      <c r="R40" s="150" t="s">
        <v>1238</v>
      </c>
      <c r="S40" s="162">
        <v>0</v>
      </c>
      <c r="T40" s="144">
        <v>10</v>
      </c>
      <c r="U40" s="176">
        <v>2.5</v>
      </c>
      <c r="V40" s="176">
        <v>15</v>
      </c>
      <c r="W40" s="176" t="s">
        <v>1239</v>
      </c>
      <c r="X40" s="572" t="s">
        <v>1292</v>
      </c>
      <c r="Y40" s="144" t="s">
        <v>1257</v>
      </c>
      <c r="Z40" s="144" t="s">
        <v>272</v>
      </c>
      <c r="AA40" s="144" t="s">
        <v>1227</v>
      </c>
      <c r="AB40" s="152"/>
      <c r="AC40" s="152"/>
      <c r="AD40" s="471" t="s">
        <v>1254</v>
      </c>
      <c r="AE40" s="104"/>
      <c r="AF40" s="44" t="s">
        <v>1263</v>
      </c>
      <c r="AG40" s="44"/>
      <c r="AH40" s="107" t="s">
        <v>1293</v>
      </c>
      <c r="AI40" s="44">
        <v>769.2</v>
      </c>
    </row>
    <row r="41" spans="1:35" s="107" customFormat="1" ht="14.45">
      <c r="A41" s="107" t="s">
        <v>1245</v>
      </c>
      <c r="B41" s="107" t="s">
        <v>1246</v>
      </c>
      <c r="C41" s="108">
        <v>46209</v>
      </c>
      <c r="D41" s="108"/>
      <c r="E41" s="300"/>
      <c r="F41" s="176">
        <v>60</v>
      </c>
      <c r="G41" s="176">
        <v>910</v>
      </c>
      <c r="H41" s="144">
        <v>150</v>
      </c>
      <c r="I41" s="176">
        <v>50</v>
      </c>
      <c r="J41" s="146" t="s">
        <v>272</v>
      </c>
      <c r="K41" s="145" t="s">
        <v>272</v>
      </c>
      <c r="L41" s="146">
        <v>35</v>
      </c>
      <c r="M41" s="147" t="s">
        <v>1236</v>
      </c>
      <c r="N41" s="339">
        <v>150</v>
      </c>
      <c r="O41" s="148" t="s">
        <v>1249</v>
      </c>
      <c r="P41" s="149">
        <v>1</v>
      </c>
      <c r="Q41" s="469">
        <v>5</v>
      </c>
      <c r="R41" s="150" t="s">
        <v>1238</v>
      </c>
      <c r="S41" s="162">
        <v>0</v>
      </c>
      <c r="T41" s="144">
        <v>1</v>
      </c>
      <c r="U41" s="176">
        <v>5</v>
      </c>
      <c r="V41" s="176">
        <v>16</v>
      </c>
      <c r="W41" s="176" t="s">
        <v>1239</v>
      </c>
      <c r="X41" s="335" t="s">
        <v>1250</v>
      </c>
      <c r="Y41" s="109" t="s">
        <v>272</v>
      </c>
      <c r="Z41" s="109" t="s">
        <v>272</v>
      </c>
      <c r="AA41" s="109"/>
      <c r="AB41" s="114"/>
      <c r="AC41" s="114"/>
      <c r="AD41" s="109"/>
      <c r="AE41" s="101"/>
      <c r="AF41" s="109"/>
      <c r="AG41" s="101"/>
      <c r="AH41" s="101"/>
      <c r="AI41" s="101"/>
    </row>
    <row r="42" spans="1:35" s="107" customFormat="1" ht="57.95">
      <c r="A42" s="516" t="s">
        <v>1294</v>
      </c>
      <c r="B42" s="516" t="s">
        <v>1287</v>
      </c>
      <c r="C42" s="108">
        <v>46209</v>
      </c>
      <c r="D42" s="108"/>
      <c r="E42" s="594" t="s">
        <v>1295</v>
      </c>
      <c r="F42" s="176">
        <v>60</v>
      </c>
      <c r="G42" s="176">
        <v>850</v>
      </c>
      <c r="H42" s="176" t="s">
        <v>1256</v>
      </c>
      <c r="I42" s="176">
        <v>70</v>
      </c>
      <c r="J42" s="146">
        <v>10</v>
      </c>
      <c r="K42" s="145">
        <v>140</v>
      </c>
      <c r="L42" s="146">
        <v>35</v>
      </c>
      <c r="M42" s="147" t="s">
        <v>1236</v>
      </c>
      <c r="N42" s="339">
        <v>300</v>
      </c>
      <c r="O42" s="148" t="s">
        <v>1237</v>
      </c>
      <c r="P42" s="149">
        <v>2.5</v>
      </c>
      <c r="Q42" s="469">
        <v>0.2</v>
      </c>
      <c r="R42" s="150" t="s">
        <v>1238</v>
      </c>
      <c r="S42" s="162">
        <v>0</v>
      </c>
      <c r="T42" s="144">
        <v>10</v>
      </c>
      <c r="U42" s="176">
        <v>2.5</v>
      </c>
      <c r="V42" s="176">
        <v>15</v>
      </c>
      <c r="W42" s="176" t="s">
        <v>1239</v>
      </c>
      <c r="X42" s="572" t="s">
        <v>1296</v>
      </c>
      <c r="Y42" s="144" t="s">
        <v>1257</v>
      </c>
      <c r="Z42" s="144" t="s">
        <v>272</v>
      </c>
      <c r="AA42" s="144" t="s">
        <v>1227</v>
      </c>
      <c r="AB42" s="152"/>
      <c r="AC42" s="152"/>
      <c r="AD42" s="471" t="s">
        <v>1254</v>
      </c>
      <c r="AE42" s="104"/>
      <c r="AF42" s="44"/>
      <c r="AG42" s="44"/>
      <c r="AH42" s="44"/>
      <c r="AI42" s="44"/>
    </row>
    <row r="43" spans="1:35" s="107" customFormat="1" ht="14.45">
      <c r="A43" s="107" t="s">
        <v>1245</v>
      </c>
      <c r="B43" s="107" t="s">
        <v>1246</v>
      </c>
      <c r="C43" s="108">
        <v>46209</v>
      </c>
      <c r="D43" s="108"/>
      <c r="E43" s="300"/>
      <c r="F43" s="176">
        <v>60</v>
      </c>
      <c r="G43" s="176">
        <v>910</v>
      </c>
      <c r="H43" s="144">
        <v>150</v>
      </c>
      <c r="I43" s="176">
        <v>50</v>
      </c>
      <c r="J43" s="146" t="s">
        <v>272</v>
      </c>
      <c r="K43" s="145" t="s">
        <v>272</v>
      </c>
      <c r="L43" s="146">
        <v>35</v>
      </c>
      <c r="M43" s="147" t="s">
        <v>1236</v>
      </c>
      <c r="N43" s="339">
        <v>150</v>
      </c>
      <c r="O43" s="148" t="s">
        <v>1249</v>
      </c>
      <c r="P43" s="149">
        <v>1</v>
      </c>
      <c r="Q43" s="469">
        <v>5</v>
      </c>
      <c r="R43" s="150" t="s">
        <v>1238</v>
      </c>
      <c r="S43" s="162">
        <v>0</v>
      </c>
      <c r="T43" s="144">
        <v>1</v>
      </c>
      <c r="U43" s="176">
        <v>5</v>
      </c>
      <c r="V43" s="176">
        <v>16</v>
      </c>
      <c r="W43" s="176" t="s">
        <v>1239</v>
      </c>
      <c r="X43" s="335" t="s">
        <v>1250</v>
      </c>
      <c r="Y43" s="109" t="s">
        <v>272</v>
      </c>
      <c r="Z43" s="109" t="s">
        <v>272</v>
      </c>
      <c r="AA43" s="109"/>
      <c r="AB43" s="114"/>
      <c r="AC43" s="114"/>
      <c r="AD43" s="109"/>
      <c r="AE43" s="101"/>
      <c r="AF43" s="109"/>
      <c r="AG43" s="101"/>
      <c r="AH43" s="101"/>
      <c r="AI43" s="101"/>
    </row>
    <row r="44" spans="1:35" s="107" customFormat="1" ht="57.95">
      <c r="A44" s="516" t="s">
        <v>1297</v>
      </c>
      <c r="B44" s="516" t="s">
        <v>1287</v>
      </c>
      <c r="C44" s="108">
        <v>46209</v>
      </c>
      <c r="D44" s="108"/>
      <c r="E44" s="594" t="s">
        <v>1298</v>
      </c>
      <c r="F44" s="176">
        <v>60</v>
      </c>
      <c r="G44" s="176">
        <v>850</v>
      </c>
      <c r="H44" s="176" t="s">
        <v>1256</v>
      </c>
      <c r="I44" s="176">
        <v>70</v>
      </c>
      <c r="J44" s="146">
        <v>10</v>
      </c>
      <c r="K44" s="145">
        <v>140</v>
      </c>
      <c r="L44" s="146">
        <v>35</v>
      </c>
      <c r="M44" s="147" t="s">
        <v>1236</v>
      </c>
      <c r="N44" s="339">
        <v>300</v>
      </c>
      <c r="O44" s="148" t="s">
        <v>1237</v>
      </c>
      <c r="P44" s="149">
        <v>2.5</v>
      </c>
      <c r="Q44" s="469">
        <v>0.2</v>
      </c>
      <c r="R44" s="150" t="s">
        <v>1238</v>
      </c>
      <c r="S44" s="162">
        <v>0</v>
      </c>
      <c r="T44" s="144">
        <v>10</v>
      </c>
      <c r="U44" s="176">
        <v>2.5</v>
      </c>
      <c r="V44" s="176">
        <v>15</v>
      </c>
      <c r="W44" s="176" t="s">
        <v>1239</v>
      </c>
      <c r="X44" s="572" t="s">
        <v>1299</v>
      </c>
      <c r="Y44" s="144" t="s">
        <v>1257</v>
      </c>
      <c r="Z44" s="144" t="s">
        <v>272</v>
      </c>
      <c r="AA44" s="144" t="s">
        <v>1227</v>
      </c>
      <c r="AB44" s="152"/>
      <c r="AC44" s="152"/>
      <c r="AD44" s="471" t="s">
        <v>1254</v>
      </c>
      <c r="AE44" s="104"/>
      <c r="AF44" s="44"/>
      <c r="AG44" s="44"/>
      <c r="AH44" s="44"/>
      <c r="AI44" s="44"/>
    </row>
    <row r="45" spans="1:35" s="107" customFormat="1" ht="14.45">
      <c r="A45" s="107" t="s">
        <v>1245</v>
      </c>
      <c r="B45" s="107" t="s">
        <v>1246</v>
      </c>
      <c r="C45" s="108">
        <v>46209</v>
      </c>
      <c r="D45" s="108"/>
      <c r="E45" s="300"/>
      <c r="F45" s="176">
        <v>60</v>
      </c>
      <c r="G45" s="176">
        <v>910</v>
      </c>
      <c r="H45" s="144">
        <v>150</v>
      </c>
      <c r="I45" s="176">
        <v>50</v>
      </c>
      <c r="J45" s="146" t="s">
        <v>272</v>
      </c>
      <c r="K45" s="145" t="s">
        <v>272</v>
      </c>
      <c r="L45" s="146">
        <v>35</v>
      </c>
      <c r="M45" s="147" t="s">
        <v>1236</v>
      </c>
      <c r="N45" s="339">
        <v>150</v>
      </c>
      <c r="O45" s="148" t="s">
        <v>1249</v>
      </c>
      <c r="P45" s="149">
        <v>1</v>
      </c>
      <c r="Q45" s="469">
        <v>5</v>
      </c>
      <c r="R45" s="150" t="s">
        <v>1238</v>
      </c>
      <c r="S45" s="162">
        <v>0</v>
      </c>
      <c r="T45" s="144">
        <v>1</v>
      </c>
      <c r="U45" s="176">
        <v>5</v>
      </c>
      <c r="V45" s="176">
        <v>16</v>
      </c>
      <c r="W45" s="176" t="s">
        <v>1239</v>
      </c>
      <c r="X45" s="335" t="s">
        <v>1250</v>
      </c>
      <c r="Y45" s="109" t="s">
        <v>272</v>
      </c>
      <c r="Z45" s="109" t="s">
        <v>272</v>
      </c>
      <c r="AA45" s="109"/>
      <c r="AB45" s="114"/>
      <c r="AC45" s="114"/>
      <c r="AD45" s="109"/>
      <c r="AE45" s="101"/>
      <c r="AF45" s="109"/>
      <c r="AG45" s="101"/>
      <c r="AH45" s="101"/>
      <c r="AI45" s="101"/>
    </row>
    <row r="46" spans="1:35" s="107" customFormat="1" ht="57.95">
      <c r="A46" s="516" t="s">
        <v>1300</v>
      </c>
      <c r="B46" s="350" t="s">
        <v>1287</v>
      </c>
      <c r="C46" s="108">
        <v>46210</v>
      </c>
      <c r="D46" s="108"/>
      <c r="E46" s="594" t="s">
        <v>1301</v>
      </c>
      <c r="F46" s="176">
        <v>60</v>
      </c>
      <c r="G46" s="176">
        <v>850</v>
      </c>
      <c r="H46" s="176" t="s">
        <v>1256</v>
      </c>
      <c r="I46" s="176">
        <v>70</v>
      </c>
      <c r="J46" s="146">
        <v>10</v>
      </c>
      <c r="K46" s="145">
        <v>140</v>
      </c>
      <c r="L46" s="146">
        <v>35</v>
      </c>
      <c r="M46" s="147" t="s">
        <v>1236</v>
      </c>
      <c r="N46" s="339">
        <v>300</v>
      </c>
      <c r="O46" s="148" t="s">
        <v>1237</v>
      </c>
      <c r="P46" s="149">
        <v>2.5</v>
      </c>
      <c r="Q46" s="469">
        <v>0.2</v>
      </c>
      <c r="R46" s="150" t="s">
        <v>1238</v>
      </c>
      <c r="S46" s="162">
        <v>0</v>
      </c>
      <c r="T46" s="144">
        <v>10</v>
      </c>
      <c r="U46" s="176">
        <v>2.5</v>
      </c>
      <c r="V46" s="176">
        <v>15</v>
      </c>
      <c r="W46" s="176" t="s">
        <v>1239</v>
      </c>
      <c r="X46" s="572" t="s">
        <v>1302</v>
      </c>
      <c r="Y46" s="144" t="s">
        <v>1257</v>
      </c>
      <c r="Z46" s="144" t="s">
        <v>272</v>
      </c>
      <c r="AA46" s="144" t="s">
        <v>1227</v>
      </c>
      <c r="AB46" s="152"/>
      <c r="AC46" s="152"/>
      <c r="AD46" s="471" t="s">
        <v>1254</v>
      </c>
      <c r="AE46" s="104"/>
      <c r="AF46" s="44"/>
      <c r="AG46" s="44"/>
      <c r="AH46" s="44"/>
      <c r="AI46" s="44"/>
    </row>
    <row r="47" spans="1:35" s="107" customFormat="1" ht="14.45">
      <c r="A47" s="107" t="s">
        <v>1245</v>
      </c>
      <c r="B47" s="107" t="s">
        <v>1246</v>
      </c>
      <c r="C47" s="108">
        <v>46210</v>
      </c>
      <c r="D47" s="108"/>
      <c r="E47" s="300"/>
      <c r="F47" s="176">
        <v>60</v>
      </c>
      <c r="G47" s="176">
        <v>910</v>
      </c>
      <c r="H47" s="144">
        <v>150</v>
      </c>
      <c r="I47" s="176">
        <v>50</v>
      </c>
      <c r="J47" s="146" t="s">
        <v>272</v>
      </c>
      <c r="K47" s="145" t="s">
        <v>272</v>
      </c>
      <c r="L47" s="146">
        <v>35</v>
      </c>
      <c r="M47" s="147" t="s">
        <v>1236</v>
      </c>
      <c r="N47" s="339">
        <v>150</v>
      </c>
      <c r="O47" s="148" t="s">
        <v>1249</v>
      </c>
      <c r="P47" s="149">
        <v>1</v>
      </c>
      <c r="Q47" s="469">
        <v>5</v>
      </c>
      <c r="R47" s="150" t="s">
        <v>1238</v>
      </c>
      <c r="S47" s="162">
        <v>0</v>
      </c>
      <c r="T47" s="144">
        <v>1</v>
      </c>
      <c r="U47" s="176">
        <v>5</v>
      </c>
      <c r="V47" s="176">
        <v>16</v>
      </c>
      <c r="W47" s="176" t="s">
        <v>1239</v>
      </c>
      <c r="X47" s="335" t="s">
        <v>1250</v>
      </c>
      <c r="Y47" s="109" t="s">
        <v>272</v>
      </c>
      <c r="Z47" s="109" t="s">
        <v>272</v>
      </c>
      <c r="AA47" s="109"/>
      <c r="AB47" s="114"/>
      <c r="AC47" s="114"/>
      <c r="AD47" s="109"/>
      <c r="AE47" s="101"/>
      <c r="AF47" s="109"/>
      <c r="AG47" s="101"/>
      <c r="AH47" s="101"/>
      <c r="AI47" s="101"/>
    </row>
    <row r="48" spans="1:35" s="107" customFormat="1" ht="57.95">
      <c r="A48" s="576" t="s">
        <v>1303</v>
      </c>
      <c r="B48" s="599" t="s">
        <v>1287</v>
      </c>
      <c r="C48" s="108">
        <v>46210</v>
      </c>
      <c r="D48" s="108"/>
      <c r="E48" s="594" t="s">
        <v>1301</v>
      </c>
      <c r="F48" s="176">
        <v>60</v>
      </c>
      <c r="G48" s="176">
        <v>850</v>
      </c>
      <c r="H48" s="176" t="s">
        <v>1256</v>
      </c>
      <c r="I48" s="176">
        <v>70</v>
      </c>
      <c r="J48" s="146">
        <v>10</v>
      </c>
      <c r="K48" s="145">
        <v>140</v>
      </c>
      <c r="L48" s="146">
        <v>35</v>
      </c>
      <c r="M48" s="147" t="s">
        <v>1236</v>
      </c>
      <c r="N48" s="339">
        <v>300</v>
      </c>
      <c r="O48" s="148" t="s">
        <v>1237</v>
      </c>
      <c r="P48" s="149">
        <v>2.5</v>
      </c>
      <c r="Q48" s="469">
        <v>0.2</v>
      </c>
      <c r="R48" s="150" t="s">
        <v>1238</v>
      </c>
      <c r="S48" s="162">
        <v>0</v>
      </c>
      <c r="T48" s="144">
        <v>10</v>
      </c>
      <c r="U48" s="176">
        <v>2.5</v>
      </c>
      <c r="V48" s="176">
        <v>15</v>
      </c>
      <c r="W48" s="176" t="s">
        <v>1239</v>
      </c>
      <c r="X48" s="335"/>
      <c r="Y48" s="144" t="s">
        <v>1257</v>
      </c>
      <c r="Z48" s="144" t="s">
        <v>272</v>
      </c>
      <c r="AA48" s="144" t="s">
        <v>1227</v>
      </c>
      <c r="AB48" s="152"/>
      <c r="AC48" s="152"/>
      <c r="AD48" s="471" t="s">
        <v>1254</v>
      </c>
      <c r="AE48" s="104"/>
      <c r="AF48" s="44" t="s">
        <v>1258</v>
      </c>
      <c r="AG48" s="44">
        <v>0.17799999999999999</v>
      </c>
      <c r="AH48" s="44">
        <v>4.4800000000000004</v>
      </c>
      <c r="AI48" s="44"/>
    </row>
    <row r="49" spans="1:35" s="107" customFormat="1" ht="14.45">
      <c r="A49" s="107" t="s">
        <v>1245</v>
      </c>
      <c r="B49" s="107" t="s">
        <v>1246</v>
      </c>
      <c r="C49" s="108">
        <v>46210</v>
      </c>
      <c r="D49" s="108"/>
      <c r="E49" s="300"/>
      <c r="F49" s="176">
        <v>60</v>
      </c>
      <c r="G49" s="176">
        <v>910</v>
      </c>
      <c r="H49" s="144">
        <v>150</v>
      </c>
      <c r="I49" s="176">
        <v>50</v>
      </c>
      <c r="J49" s="146" t="s">
        <v>272</v>
      </c>
      <c r="K49" s="145" t="s">
        <v>272</v>
      </c>
      <c r="L49" s="146">
        <v>35</v>
      </c>
      <c r="M49" s="147" t="s">
        <v>1236</v>
      </c>
      <c r="N49" s="339">
        <v>150</v>
      </c>
      <c r="O49" s="148" t="s">
        <v>1249</v>
      </c>
      <c r="P49" s="149">
        <v>1</v>
      </c>
      <c r="Q49" s="469">
        <v>5</v>
      </c>
      <c r="R49" s="150" t="s">
        <v>1238</v>
      </c>
      <c r="S49" s="162">
        <v>0</v>
      </c>
      <c r="T49" s="144">
        <v>1</v>
      </c>
      <c r="U49" s="176">
        <v>5</v>
      </c>
      <c r="V49" s="176">
        <v>16</v>
      </c>
      <c r="W49" s="176" t="s">
        <v>1239</v>
      </c>
      <c r="X49" s="335" t="s">
        <v>1250</v>
      </c>
      <c r="Y49" s="109" t="s">
        <v>272</v>
      </c>
      <c r="Z49" s="109" t="s">
        <v>272</v>
      </c>
      <c r="AA49" s="109"/>
      <c r="AB49" s="114"/>
      <c r="AC49" s="114"/>
      <c r="AD49" s="109"/>
      <c r="AE49" s="101"/>
      <c r="AF49" s="109"/>
      <c r="AG49" s="101"/>
      <c r="AH49" s="101"/>
      <c r="AI49" s="101"/>
    </row>
    <row r="50" spans="1:35" s="107" customFormat="1" ht="57.95">
      <c r="A50" s="577" t="s">
        <v>1304</v>
      </c>
      <c r="B50" s="576" t="s">
        <v>1303</v>
      </c>
      <c r="C50" s="108">
        <v>46210</v>
      </c>
      <c r="D50" s="108"/>
      <c r="E50" s="594" t="s">
        <v>1305</v>
      </c>
      <c r="F50" s="176">
        <v>60</v>
      </c>
      <c r="G50" s="176">
        <v>850</v>
      </c>
      <c r="H50" s="172" t="s">
        <v>1306</v>
      </c>
      <c r="I50" s="176">
        <v>70</v>
      </c>
      <c r="J50" s="146">
        <v>10</v>
      </c>
      <c r="K50" s="145">
        <v>140</v>
      </c>
      <c r="L50" s="146">
        <v>35</v>
      </c>
      <c r="M50" s="147" t="s">
        <v>1236</v>
      </c>
      <c r="N50" s="339">
        <v>300</v>
      </c>
      <c r="O50" s="148" t="s">
        <v>1237</v>
      </c>
      <c r="P50" s="149">
        <v>2.5</v>
      </c>
      <c r="Q50" s="469">
        <v>0.2</v>
      </c>
      <c r="R50" s="150" t="s">
        <v>1238</v>
      </c>
      <c r="S50" s="162">
        <v>0</v>
      </c>
      <c r="T50" s="144">
        <v>10</v>
      </c>
      <c r="U50" s="176">
        <v>2.5</v>
      </c>
      <c r="V50" s="176">
        <v>15</v>
      </c>
      <c r="W50" s="176" t="s">
        <v>1239</v>
      </c>
      <c r="X50" s="335"/>
      <c r="Y50" s="144" t="s">
        <v>1257</v>
      </c>
      <c r="Z50" s="144" t="s">
        <v>272</v>
      </c>
      <c r="AA50" s="144" t="s">
        <v>1227</v>
      </c>
      <c r="AB50" s="152"/>
      <c r="AC50" s="152"/>
      <c r="AD50" s="471" t="s">
        <v>1254</v>
      </c>
      <c r="AE50" s="104"/>
      <c r="AF50" s="44" t="s">
        <v>1258</v>
      </c>
      <c r="AG50" s="44">
        <v>0.153</v>
      </c>
      <c r="AH50" s="44">
        <v>3.14</v>
      </c>
      <c r="AI50" s="44"/>
    </row>
    <row r="51" spans="1:35" s="107" customFormat="1" ht="14.45">
      <c r="A51" s="107" t="s">
        <v>1245</v>
      </c>
      <c r="B51" s="107" t="s">
        <v>1246</v>
      </c>
      <c r="C51" s="108">
        <v>46210</v>
      </c>
      <c r="D51" s="108"/>
      <c r="E51" s="300"/>
      <c r="F51" s="176">
        <v>60</v>
      </c>
      <c r="G51" s="176">
        <v>910</v>
      </c>
      <c r="H51" s="144">
        <v>150</v>
      </c>
      <c r="I51" s="176">
        <v>50</v>
      </c>
      <c r="J51" s="146" t="s">
        <v>272</v>
      </c>
      <c r="K51" s="145" t="s">
        <v>272</v>
      </c>
      <c r="L51" s="146">
        <v>35</v>
      </c>
      <c r="M51" s="147" t="s">
        <v>1236</v>
      </c>
      <c r="N51" s="339">
        <v>150</v>
      </c>
      <c r="O51" s="148" t="s">
        <v>1249</v>
      </c>
      <c r="P51" s="149">
        <v>1</v>
      </c>
      <c r="Q51" s="469">
        <v>5</v>
      </c>
      <c r="R51" s="150" t="s">
        <v>1238</v>
      </c>
      <c r="S51" s="162">
        <v>0</v>
      </c>
      <c r="T51" s="144">
        <v>1</v>
      </c>
      <c r="U51" s="176">
        <v>5</v>
      </c>
      <c r="V51" s="176">
        <v>16</v>
      </c>
      <c r="W51" s="176" t="s">
        <v>1239</v>
      </c>
      <c r="X51" s="335" t="s">
        <v>1250</v>
      </c>
      <c r="Y51" s="109" t="s">
        <v>272</v>
      </c>
      <c r="Z51" s="109" t="s">
        <v>272</v>
      </c>
      <c r="AA51" s="109"/>
      <c r="AB51" s="114"/>
      <c r="AC51" s="114"/>
      <c r="AD51" s="109"/>
      <c r="AE51" s="101"/>
      <c r="AF51" s="109"/>
      <c r="AG51" s="101"/>
      <c r="AH51" s="101"/>
      <c r="AI51" s="101"/>
    </row>
    <row r="52" spans="1:35" s="107" customFormat="1" ht="57.95">
      <c r="A52" s="576" t="s">
        <v>1307</v>
      </c>
      <c r="B52" s="576" t="s">
        <v>1304</v>
      </c>
      <c r="C52" s="108">
        <v>46210</v>
      </c>
      <c r="D52" s="108"/>
      <c r="E52" s="594" t="s">
        <v>1308</v>
      </c>
      <c r="F52" s="176">
        <v>60</v>
      </c>
      <c r="G52" s="176">
        <v>850</v>
      </c>
      <c r="H52" s="176" t="s">
        <v>1306</v>
      </c>
      <c r="I52" s="176">
        <v>70</v>
      </c>
      <c r="J52" s="146">
        <v>10</v>
      </c>
      <c r="K52" s="145">
        <v>140</v>
      </c>
      <c r="L52" s="146">
        <v>35</v>
      </c>
      <c r="M52" s="147" t="s">
        <v>1236</v>
      </c>
      <c r="N52" s="339">
        <v>300</v>
      </c>
      <c r="O52" s="148" t="s">
        <v>1237</v>
      </c>
      <c r="P52" s="149">
        <v>2.5</v>
      </c>
      <c r="Q52" s="219">
        <v>0.3</v>
      </c>
      <c r="R52" s="150" t="s">
        <v>1238</v>
      </c>
      <c r="S52" s="162">
        <v>0</v>
      </c>
      <c r="T52" s="144">
        <v>10</v>
      </c>
      <c r="U52" s="176">
        <v>2.5</v>
      </c>
      <c r="V52" s="176">
        <v>15</v>
      </c>
      <c r="W52" s="176" t="s">
        <v>1239</v>
      </c>
      <c r="X52" s="335"/>
      <c r="Y52" s="144" t="s">
        <v>1257</v>
      </c>
      <c r="Z52" s="144" t="s">
        <v>272</v>
      </c>
      <c r="AA52" s="144" t="s">
        <v>1227</v>
      </c>
      <c r="AB52" s="152"/>
      <c r="AC52" s="152"/>
      <c r="AD52" s="471" t="s">
        <v>1254</v>
      </c>
      <c r="AE52" s="104"/>
      <c r="AF52" s="44" t="s">
        <v>1258</v>
      </c>
      <c r="AG52" s="44">
        <v>0.25600000000000001</v>
      </c>
      <c r="AH52" s="44">
        <v>4.0199999999999996</v>
      </c>
      <c r="AI52" s="44"/>
    </row>
    <row r="53" spans="1:35" s="107" customFormat="1" ht="14.45">
      <c r="A53" s="107" t="s">
        <v>1245</v>
      </c>
      <c r="B53" s="107" t="s">
        <v>1246</v>
      </c>
      <c r="C53" s="108"/>
      <c r="D53" s="108"/>
      <c r="E53" s="300"/>
      <c r="F53" s="176">
        <v>60</v>
      </c>
      <c r="G53" s="176">
        <v>910</v>
      </c>
      <c r="H53" s="144">
        <v>150</v>
      </c>
      <c r="I53" s="176">
        <v>50</v>
      </c>
      <c r="J53" s="146" t="s">
        <v>272</v>
      </c>
      <c r="K53" s="145" t="s">
        <v>272</v>
      </c>
      <c r="L53" s="146">
        <v>35</v>
      </c>
      <c r="M53" s="147" t="s">
        <v>1236</v>
      </c>
      <c r="N53" s="339">
        <v>150</v>
      </c>
      <c r="O53" s="148" t="s">
        <v>1249</v>
      </c>
      <c r="P53" s="149">
        <v>1</v>
      </c>
      <c r="Q53" s="469">
        <v>5</v>
      </c>
      <c r="R53" s="150" t="s">
        <v>1238</v>
      </c>
      <c r="S53" s="162">
        <v>0</v>
      </c>
      <c r="T53" s="144">
        <v>1</v>
      </c>
      <c r="U53" s="176">
        <v>5</v>
      </c>
      <c r="V53" s="176">
        <v>16</v>
      </c>
      <c r="W53" s="176" t="s">
        <v>1239</v>
      </c>
      <c r="X53" s="335" t="s">
        <v>1250</v>
      </c>
      <c r="Y53" s="109" t="s">
        <v>272</v>
      </c>
      <c r="Z53" s="109" t="s">
        <v>272</v>
      </c>
      <c r="AA53" s="109"/>
      <c r="AB53" s="114"/>
      <c r="AC53" s="114"/>
      <c r="AD53" s="109"/>
      <c r="AE53" s="101"/>
      <c r="AF53" s="109"/>
      <c r="AG53" s="101"/>
      <c r="AH53" s="101"/>
      <c r="AI53" s="101"/>
    </row>
    <row r="54" spans="1:35" s="107" customFormat="1" ht="57.95">
      <c r="A54" s="516" t="s">
        <v>1309</v>
      </c>
      <c r="B54" s="516"/>
      <c r="C54" s="108">
        <v>46210</v>
      </c>
      <c r="D54" s="108"/>
      <c r="E54" s="594"/>
      <c r="F54" s="176">
        <v>60</v>
      </c>
      <c r="G54" s="176">
        <v>850</v>
      </c>
      <c r="H54" s="176" t="s">
        <v>1306</v>
      </c>
      <c r="I54" s="176">
        <v>70</v>
      </c>
      <c r="J54" s="146">
        <v>10</v>
      </c>
      <c r="K54" s="145">
        <v>140</v>
      </c>
      <c r="L54" s="146">
        <v>35</v>
      </c>
      <c r="M54" s="147" t="s">
        <v>1236</v>
      </c>
      <c r="N54" s="339">
        <v>300</v>
      </c>
      <c r="O54" s="148" t="s">
        <v>1237</v>
      </c>
      <c r="P54" s="249">
        <v>2</v>
      </c>
      <c r="Q54" s="469">
        <v>0.2</v>
      </c>
      <c r="R54" s="150" t="s">
        <v>1238</v>
      </c>
      <c r="S54" s="162">
        <v>0</v>
      </c>
      <c r="T54" s="144">
        <v>10</v>
      </c>
      <c r="U54" s="514" t="s">
        <v>1310</v>
      </c>
      <c r="V54" s="176">
        <v>15</v>
      </c>
      <c r="W54" s="176" t="s">
        <v>1239</v>
      </c>
      <c r="X54" s="335"/>
      <c r="Y54" s="144" t="s">
        <v>1257</v>
      </c>
      <c r="Z54" s="144" t="s">
        <v>272</v>
      </c>
      <c r="AA54" s="144" t="s">
        <v>1227</v>
      </c>
      <c r="AB54" s="152"/>
      <c r="AC54" s="152"/>
      <c r="AD54" s="471" t="s">
        <v>1254</v>
      </c>
      <c r="AE54" s="104"/>
      <c r="AF54" s="44"/>
      <c r="AG54" s="44"/>
      <c r="AH54" s="44"/>
      <c r="AI54" s="44"/>
    </row>
    <row r="55" spans="1:35" s="107" customFormat="1" ht="14.45">
      <c r="A55" s="107" t="s">
        <v>1245</v>
      </c>
      <c r="B55" s="107" t="s">
        <v>1246</v>
      </c>
      <c r="C55" s="108"/>
      <c r="D55" s="108"/>
      <c r="E55" s="300"/>
      <c r="F55" s="176">
        <v>60</v>
      </c>
      <c r="G55" s="176">
        <v>910</v>
      </c>
      <c r="H55" s="144">
        <v>150</v>
      </c>
      <c r="I55" s="176">
        <v>50</v>
      </c>
      <c r="J55" s="146" t="s">
        <v>272</v>
      </c>
      <c r="K55" s="145" t="s">
        <v>272</v>
      </c>
      <c r="L55" s="146">
        <v>35</v>
      </c>
      <c r="M55" s="147" t="s">
        <v>1236</v>
      </c>
      <c r="N55" s="339">
        <v>150</v>
      </c>
      <c r="O55" s="148" t="s">
        <v>1249</v>
      </c>
      <c r="P55" s="149">
        <v>1</v>
      </c>
      <c r="Q55" s="469">
        <v>5</v>
      </c>
      <c r="R55" s="150" t="s">
        <v>1238</v>
      </c>
      <c r="S55" s="162">
        <v>0</v>
      </c>
      <c r="T55" s="144">
        <v>1</v>
      </c>
      <c r="U55" s="176">
        <v>5</v>
      </c>
      <c r="V55" s="176">
        <v>16</v>
      </c>
      <c r="W55" s="176" t="s">
        <v>1239</v>
      </c>
      <c r="X55" s="335" t="s">
        <v>1250</v>
      </c>
      <c r="Y55" s="109" t="s">
        <v>272</v>
      </c>
      <c r="Z55" s="109" t="s">
        <v>272</v>
      </c>
      <c r="AA55" s="109"/>
      <c r="AB55" s="114"/>
      <c r="AC55" s="114"/>
      <c r="AD55" s="109"/>
      <c r="AE55" s="101"/>
      <c r="AF55" s="109"/>
      <c r="AG55" s="101"/>
      <c r="AH55" s="101"/>
      <c r="AI55" s="101"/>
    </row>
    <row r="56" spans="1:35" s="107" customFormat="1" ht="57.95">
      <c r="A56" s="516" t="s">
        <v>1311</v>
      </c>
      <c r="B56" s="516"/>
      <c r="C56" s="108">
        <v>46210</v>
      </c>
      <c r="D56" s="108"/>
      <c r="E56" s="594"/>
      <c r="F56" s="176">
        <v>60</v>
      </c>
      <c r="G56" s="176">
        <v>850</v>
      </c>
      <c r="H56" s="176" t="s">
        <v>1306</v>
      </c>
      <c r="I56" s="176">
        <v>70</v>
      </c>
      <c r="J56" s="146">
        <v>10</v>
      </c>
      <c r="K56" s="145">
        <v>140</v>
      </c>
      <c r="L56" s="146">
        <v>35</v>
      </c>
      <c r="M56" s="147" t="s">
        <v>1236</v>
      </c>
      <c r="N56" s="339">
        <v>300</v>
      </c>
      <c r="O56" s="148" t="s">
        <v>1237</v>
      </c>
      <c r="P56" s="249">
        <v>2</v>
      </c>
      <c r="Q56" s="469">
        <v>0.2</v>
      </c>
      <c r="R56" s="150" t="s">
        <v>1238</v>
      </c>
      <c r="S56" s="162">
        <v>0</v>
      </c>
      <c r="T56" s="144">
        <v>10</v>
      </c>
      <c r="U56" s="176">
        <v>2.5</v>
      </c>
      <c r="V56" s="176">
        <v>15</v>
      </c>
      <c r="W56" s="176" t="s">
        <v>1239</v>
      </c>
      <c r="X56" s="335"/>
      <c r="Y56" s="144" t="s">
        <v>1257</v>
      </c>
      <c r="Z56" s="144" t="s">
        <v>272</v>
      </c>
      <c r="AA56" s="144" t="s">
        <v>1227</v>
      </c>
      <c r="AB56" s="152"/>
      <c r="AC56" s="152"/>
      <c r="AD56" s="471" t="s">
        <v>1254</v>
      </c>
      <c r="AE56" s="104"/>
      <c r="AF56" s="44" t="s">
        <v>1258</v>
      </c>
      <c r="AG56" s="44">
        <v>0.17100000000000001</v>
      </c>
      <c r="AH56" s="44">
        <v>3.1</v>
      </c>
      <c r="AI56" s="44"/>
    </row>
    <row r="57" spans="1:35" s="107" customFormat="1" ht="14.45">
      <c r="A57" s="107" t="s">
        <v>1245</v>
      </c>
      <c r="B57" s="107" t="s">
        <v>1246</v>
      </c>
      <c r="C57" s="108"/>
      <c r="D57" s="108"/>
      <c r="E57" s="300"/>
      <c r="F57" s="176">
        <v>60</v>
      </c>
      <c r="G57" s="176">
        <v>910</v>
      </c>
      <c r="H57" s="144">
        <v>150</v>
      </c>
      <c r="I57" s="176">
        <v>50</v>
      </c>
      <c r="J57" s="146" t="s">
        <v>272</v>
      </c>
      <c r="K57" s="145" t="s">
        <v>272</v>
      </c>
      <c r="L57" s="146">
        <v>35</v>
      </c>
      <c r="M57" s="147" t="s">
        <v>1236</v>
      </c>
      <c r="N57" s="339">
        <v>150</v>
      </c>
      <c r="O57" s="148" t="s">
        <v>1249</v>
      </c>
      <c r="P57" s="149">
        <v>1</v>
      </c>
      <c r="Q57" s="469">
        <v>5</v>
      </c>
      <c r="R57" s="150" t="s">
        <v>1238</v>
      </c>
      <c r="S57" s="162">
        <v>0</v>
      </c>
      <c r="T57" s="144">
        <v>1</v>
      </c>
      <c r="U57" s="176">
        <v>5</v>
      </c>
      <c r="V57" s="176">
        <v>16</v>
      </c>
      <c r="W57" s="176" t="s">
        <v>1239</v>
      </c>
      <c r="X57" s="335" t="s">
        <v>1250</v>
      </c>
      <c r="Y57" s="109" t="s">
        <v>272</v>
      </c>
      <c r="Z57" s="109" t="s">
        <v>272</v>
      </c>
      <c r="AA57" s="109"/>
      <c r="AB57" s="114"/>
      <c r="AC57" s="114"/>
      <c r="AD57" s="109"/>
      <c r="AE57" s="101"/>
      <c r="AF57" s="109"/>
      <c r="AG57" s="101"/>
      <c r="AH57" s="101"/>
      <c r="AI57" s="101"/>
    </row>
    <row r="58" spans="1:35" s="107" customFormat="1" ht="57.95">
      <c r="A58" s="516" t="s">
        <v>1312</v>
      </c>
      <c r="B58" s="516"/>
      <c r="C58" s="108"/>
      <c r="D58" s="108"/>
      <c r="E58" s="594"/>
      <c r="F58" s="176">
        <v>60</v>
      </c>
      <c r="G58" s="176">
        <v>850</v>
      </c>
      <c r="H58" s="176" t="s">
        <v>1306</v>
      </c>
      <c r="I58" s="176">
        <v>70</v>
      </c>
      <c r="J58" s="146">
        <v>10</v>
      </c>
      <c r="K58" s="220">
        <v>120</v>
      </c>
      <c r="L58" s="146">
        <v>35</v>
      </c>
      <c r="M58" s="147" t="s">
        <v>1236</v>
      </c>
      <c r="N58" s="339">
        <v>300</v>
      </c>
      <c r="O58" s="148" t="s">
        <v>1237</v>
      </c>
      <c r="P58" s="354">
        <v>2.5</v>
      </c>
      <c r="Q58" s="469">
        <v>0.2</v>
      </c>
      <c r="R58" s="150" t="s">
        <v>1238</v>
      </c>
      <c r="S58" s="162">
        <v>0</v>
      </c>
      <c r="T58" s="144">
        <v>10</v>
      </c>
      <c r="U58" s="176">
        <v>2.5</v>
      </c>
      <c r="V58" s="176">
        <v>15</v>
      </c>
      <c r="W58" s="176" t="s">
        <v>1239</v>
      </c>
      <c r="X58" s="335"/>
      <c r="Y58" s="144" t="s">
        <v>1257</v>
      </c>
      <c r="Z58" s="144" t="s">
        <v>272</v>
      </c>
      <c r="AA58" s="144" t="s">
        <v>1227</v>
      </c>
      <c r="AB58" s="152"/>
      <c r="AC58" s="152"/>
      <c r="AD58" s="471" t="s">
        <v>1254</v>
      </c>
      <c r="AE58" s="104"/>
      <c r="AF58" s="44" t="s">
        <v>1258</v>
      </c>
      <c r="AG58" s="44"/>
      <c r="AH58" s="44"/>
      <c r="AI58" s="44"/>
    </row>
    <row r="59" spans="1:35" s="107" customFormat="1" ht="14.45">
      <c r="A59" s="107" t="s">
        <v>1245</v>
      </c>
      <c r="B59" s="107" t="s">
        <v>1246</v>
      </c>
      <c r="C59" s="108"/>
      <c r="D59" s="108"/>
      <c r="E59" s="300"/>
      <c r="F59" s="176">
        <v>60</v>
      </c>
      <c r="G59" s="176">
        <v>910</v>
      </c>
      <c r="H59" s="144">
        <v>150</v>
      </c>
      <c r="I59" s="176">
        <v>50</v>
      </c>
      <c r="J59" s="146" t="s">
        <v>272</v>
      </c>
      <c r="K59" s="145" t="s">
        <v>272</v>
      </c>
      <c r="L59" s="146">
        <v>35</v>
      </c>
      <c r="M59" s="147" t="s">
        <v>1236</v>
      </c>
      <c r="N59" s="339">
        <v>150</v>
      </c>
      <c r="O59" s="148" t="s">
        <v>1249</v>
      </c>
      <c r="P59" s="149">
        <v>1</v>
      </c>
      <c r="Q59" s="469">
        <v>5</v>
      </c>
      <c r="R59" s="150" t="s">
        <v>1238</v>
      </c>
      <c r="S59" s="162">
        <v>0</v>
      </c>
      <c r="T59" s="144">
        <v>1</v>
      </c>
      <c r="U59" s="176">
        <v>5</v>
      </c>
      <c r="V59" s="176">
        <v>16</v>
      </c>
      <c r="W59" s="176" t="s">
        <v>1239</v>
      </c>
      <c r="X59" s="335" t="s">
        <v>1250</v>
      </c>
      <c r="Y59" s="109" t="s">
        <v>272</v>
      </c>
      <c r="Z59" s="109" t="s">
        <v>272</v>
      </c>
      <c r="AA59" s="109"/>
      <c r="AB59" s="114"/>
      <c r="AC59" s="114"/>
      <c r="AD59" s="109"/>
      <c r="AE59" s="101"/>
      <c r="AF59" s="109"/>
      <c r="AG59" s="101"/>
      <c r="AH59" s="101"/>
      <c r="AI59" s="101"/>
    </row>
    <row r="60" spans="1:35" s="107" customFormat="1" ht="57.95">
      <c r="A60" s="516" t="s">
        <v>1313</v>
      </c>
      <c r="B60" s="516"/>
      <c r="C60" s="108"/>
      <c r="D60" s="108"/>
      <c r="E60" s="594"/>
      <c r="F60" s="176">
        <v>60</v>
      </c>
      <c r="G60" s="172">
        <v>925</v>
      </c>
      <c r="H60" s="176" t="s">
        <v>1306</v>
      </c>
      <c r="I60" s="176">
        <v>70</v>
      </c>
      <c r="J60" s="146">
        <v>10</v>
      </c>
      <c r="K60" s="145">
        <v>140</v>
      </c>
      <c r="L60" s="146">
        <v>35</v>
      </c>
      <c r="M60" s="147" t="s">
        <v>1236</v>
      </c>
      <c r="N60" s="339">
        <v>300</v>
      </c>
      <c r="O60" s="148" t="s">
        <v>1237</v>
      </c>
      <c r="P60" s="354">
        <v>2</v>
      </c>
      <c r="Q60" s="469">
        <v>0.2</v>
      </c>
      <c r="R60" s="150" t="s">
        <v>1238</v>
      </c>
      <c r="S60" s="162">
        <v>0</v>
      </c>
      <c r="T60" s="144">
        <v>10</v>
      </c>
      <c r="U60" s="176">
        <v>2.5</v>
      </c>
      <c r="V60" s="176">
        <v>15</v>
      </c>
      <c r="W60" s="176" t="s">
        <v>1239</v>
      </c>
      <c r="X60" s="335"/>
      <c r="Y60" s="144" t="s">
        <v>1257</v>
      </c>
      <c r="Z60" s="144" t="s">
        <v>272</v>
      </c>
      <c r="AA60" s="144" t="s">
        <v>1227</v>
      </c>
      <c r="AB60" s="152"/>
      <c r="AC60" s="152"/>
      <c r="AD60" s="471" t="s">
        <v>1254</v>
      </c>
      <c r="AE60" s="104"/>
      <c r="AF60" s="44" t="s">
        <v>1258</v>
      </c>
      <c r="AG60" s="44"/>
      <c r="AH60" s="44"/>
      <c r="AI60" s="44"/>
    </row>
    <row r="61" spans="1:35" s="107" customFormat="1" ht="14.45">
      <c r="A61" s="107" t="s">
        <v>1245</v>
      </c>
      <c r="B61" s="107" t="s">
        <v>1246</v>
      </c>
      <c r="C61" s="108"/>
      <c r="D61" s="108"/>
      <c r="E61" s="300"/>
      <c r="F61" s="176">
        <v>60</v>
      </c>
      <c r="G61" s="176">
        <v>910</v>
      </c>
      <c r="H61" s="144">
        <v>150</v>
      </c>
      <c r="I61" s="176">
        <v>50</v>
      </c>
      <c r="J61" s="146" t="s">
        <v>272</v>
      </c>
      <c r="K61" s="145" t="s">
        <v>272</v>
      </c>
      <c r="L61" s="146">
        <v>35</v>
      </c>
      <c r="M61" s="147" t="s">
        <v>1236</v>
      </c>
      <c r="N61" s="339">
        <v>150</v>
      </c>
      <c r="O61" s="148" t="s">
        <v>1249</v>
      </c>
      <c r="P61" s="149">
        <v>1</v>
      </c>
      <c r="Q61" s="469">
        <v>5</v>
      </c>
      <c r="R61" s="150" t="s">
        <v>1238</v>
      </c>
      <c r="S61" s="162">
        <v>0</v>
      </c>
      <c r="T61" s="144">
        <v>1</v>
      </c>
      <c r="U61" s="176">
        <v>5</v>
      </c>
      <c r="V61" s="176">
        <v>16</v>
      </c>
      <c r="W61" s="176" t="s">
        <v>1239</v>
      </c>
      <c r="X61" s="335" t="s">
        <v>1250</v>
      </c>
      <c r="Y61" s="109" t="s">
        <v>272</v>
      </c>
      <c r="Z61" s="109" t="s">
        <v>272</v>
      </c>
      <c r="AA61" s="109"/>
      <c r="AB61" s="114"/>
      <c r="AC61" s="114"/>
      <c r="AD61" s="109"/>
      <c r="AE61" s="101"/>
      <c r="AF61" s="109"/>
      <c r="AG61" s="101"/>
      <c r="AH61" s="101"/>
      <c r="AI61" s="101"/>
    </row>
    <row r="62" spans="1:35" s="107" customFormat="1" ht="57.95">
      <c r="A62" s="516" t="s">
        <v>1314</v>
      </c>
      <c r="B62" s="516"/>
      <c r="C62" s="108"/>
      <c r="D62" s="108"/>
      <c r="E62" s="594"/>
      <c r="F62" s="176">
        <v>60</v>
      </c>
      <c r="G62" s="176">
        <v>850</v>
      </c>
      <c r="H62" s="172" t="s">
        <v>1315</v>
      </c>
      <c r="I62" s="172">
        <v>14</v>
      </c>
      <c r="J62" s="146">
        <v>10</v>
      </c>
      <c r="K62" s="145">
        <v>140</v>
      </c>
      <c r="L62" s="146">
        <v>35</v>
      </c>
      <c r="M62" s="147" t="s">
        <v>1236</v>
      </c>
      <c r="N62" s="339">
        <v>300</v>
      </c>
      <c r="O62" s="148" t="s">
        <v>1237</v>
      </c>
      <c r="P62" s="354">
        <v>2</v>
      </c>
      <c r="Q62" s="469">
        <v>0.2</v>
      </c>
      <c r="R62" s="150" t="s">
        <v>1238</v>
      </c>
      <c r="S62" s="162">
        <v>0</v>
      </c>
      <c r="T62" s="144">
        <v>10</v>
      </c>
      <c r="U62" s="176">
        <v>2.5</v>
      </c>
      <c r="V62" s="176">
        <v>15</v>
      </c>
      <c r="W62" s="176" t="s">
        <v>1239</v>
      </c>
      <c r="X62" s="335"/>
      <c r="Y62" s="144" t="s">
        <v>1257</v>
      </c>
      <c r="Z62" s="144" t="s">
        <v>272</v>
      </c>
      <c r="AA62" s="144" t="s">
        <v>1227</v>
      </c>
      <c r="AB62" s="152"/>
      <c r="AC62" s="152"/>
      <c r="AD62" s="471" t="s">
        <v>1254</v>
      </c>
      <c r="AE62" s="104"/>
      <c r="AF62" s="44" t="s">
        <v>1258</v>
      </c>
      <c r="AG62" s="44"/>
      <c r="AH62" s="44"/>
      <c r="AI62" s="44"/>
    </row>
    <row r="63" spans="1:35" s="107" customFormat="1" ht="14.45">
      <c r="A63" s="107" t="s">
        <v>1245</v>
      </c>
      <c r="B63" s="107" t="s">
        <v>1246</v>
      </c>
      <c r="C63" s="108"/>
      <c r="D63" s="108"/>
      <c r="E63" s="300"/>
      <c r="F63" s="176">
        <v>60</v>
      </c>
      <c r="G63" s="176">
        <v>910</v>
      </c>
      <c r="H63" s="144">
        <v>150</v>
      </c>
      <c r="I63" s="176">
        <v>50</v>
      </c>
      <c r="J63" s="146" t="s">
        <v>272</v>
      </c>
      <c r="K63" s="145" t="s">
        <v>272</v>
      </c>
      <c r="L63" s="146">
        <v>35</v>
      </c>
      <c r="M63" s="147" t="s">
        <v>1236</v>
      </c>
      <c r="N63" s="339">
        <v>150</v>
      </c>
      <c r="O63" s="148" t="s">
        <v>1249</v>
      </c>
      <c r="P63" s="149">
        <v>1</v>
      </c>
      <c r="Q63" s="469">
        <v>5</v>
      </c>
      <c r="R63" s="150" t="s">
        <v>1238</v>
      </c>
      <c r="S63" s="162">
        <v>0</v>
      </c>
      <c r="T63" s="144">
        <v>1</v>
      </c>
      <c r="U63" s="176">
        <v>5</v>
      </c>
      <c r="V63" s="176">
        <v>16</v>
      </c>
      <c r="W63" s="176" t="s">
        <v>1239</v>
      </c>
      <c r="X63" s="335" t="s">
        <v>1250</v>
      </c>
      <c r="Y63" s="109" t="s">
        <v>272</v>
      </c>
      <c r="Z63" s="109" t="s">
        <v>272</v>
      </c>
      <c r="AA63" s="109"/>
      <c r="AB63" s="114"/>
      <c r="AC63" s="114"/>
      <c r="AD63" s="109"/>
      <c r="AE63" s="101"/>
      <c r="AF63" s="109"/>
      <c r="AG63" s="101"/>
      <c r="AH63" s="101"/>
      <c r="AI63" s="101"/>
    </row>
    <row r="64" spans="1:35" s="107" customFormat="1" ht="57.95">
      <c r="A64" s="516" t="s">
        <v>1316</v>
      </c>
      <c r="B64" s="516" t="s">
        <v>1255</v>
      </c>
      <c r="C64" s="108"/>
      <c r="D64" s="108"/>
      <c r="E64" s="594" t="s">
        <v>1317</v>
      </c>
      <c r="F64" s="176">
        <v>60</v>
      </c>
      <c r="G64" s="176">
        <v>850</v>
      </c>
      <c r="H64" s="581" t="s">
        <v>1318</v>
      </c>
      <c r="I64" s="176">
        <v>70</v>
      </c>
      <c r="J64" s="146">
        <v>10</v>
      </c>
      <c r="K64" s="145">
        <v>140</v>
      </c>
      <c r="L64" s="146">
        <v>35</v>
      </c>
      <c r="M64" s="147" t="s">
        <v>1236</v>
      </c>
      <c r="N64" s="339">
        <v>300</v>
      </c>
      <c r="O64" s="148" t="s">
        <v>1237</v>
      </c>
      <c r="P64" s="354">
        <v>2</v>
      </c>
      <c r="Q64" s="469">
        <v>0.2</v>
      </c>
      <c r="R64" s="150" t="s">
        <v>1238</v>
      </c>
      <c r="S64" s="162">
        <v>0</v>
      </c>
      <c r="T64" s="144">
        <v>10</v>
      </c>
      <c r="U64" s="176">
        <v>2.5</v>
      </c>
      <c r="V64" s="176">
        <v>15</v>
      </c>
      <c r="W64" s="172" t="s">
        <v>1319</v>
      </c>
      <c r="X64" s="335"/>
      <c r="Y64" s="144" t="s">
        <v>1257</v>
      </c>
      <c r="Z64" s="144" t="s">
        <v>272</v>
      </c>
      <c r="AA64" s="144" t="s">
        <v>1227</v>
      </c>
      <c r="AB64" s="152"/>
      <c r="AC64" s="152"/>
      <c r="AD64" s="471" t="s">
        <v>1254</v>
      </c>
      <c r="AE64" s="104"/>
      <c r="AF64" s="44" t="s">
        <v>1258</v>
      </c>
      <c r="AG64" s="44"/>
      <c r="AH64" s="44"/>
      <c r="AI64" s="44"/>
    </row>
    <row r="65" spans="1:35" s="107" customFormat="1" ht="14.45">
      <c r="A65" s="107" t="s">
        <v>1245</v>
      </c>
      <c r="B65" s="107" t="s">
        <v>1246</v>
      </c>
      <c r="C65" s="108"/>
      <c r="D65" s="108"/>
      <c r="E65" s="300"/>
      <c r="F65" s="176">
        <v>60</v>
      </c>
      <c r="G65" s="176">
        <v>910</v>
      </c>
      <c r="H65" s="144">
        <v>150</v>
      </c>
      <c r="I65" s="176">
        <v>50</v>
      </c>
      <c r="J65" s="146" t="s">
        <v>272</v>
      </c>
      <c r="K65" s="145" t="s">
        <v>272</v>
      </c>
      <c r="L65" s="146">
        <v>35</v>
      </c>
      <c r="M65" s="147" t="s">
        <v>1236</v>
      </c>
      <c r="N65" s="339">
        <v>150</v>
      </c>
      <c r="O65" s="148" t="s">
        <v>1249</v>
      </c>
      <c r="P65" s="149">
        <v>1</v>
      </c>
      <c r="Q65" s="469">
        <v>5</v>
      </c>
      <c r="R65" s="150" t="s">
        <v>1238</v>
      </c>
      <c r="S65" s="162">
        <v>0</v>
      </c>
      <c r="T65" s="144">
        <v>1</v>
      </c>
      <c r="U65" s="176">
        <v>5</v>
      </c>
      <c r="V65" s="176">
        <v>16</v>
      </c>
      <c r="W65" s="176" t="s">
        <v>1319</v>
      </c>
      <c r="X65" s="335" t="s">
        <v>1250</v>
      </c>
      <c r="Y65" s="109" t="s">
        <v>272</v>
      </c>
      <c r="Z65" s="109" t="s">
        <v>272</v>
      </c>
      <c r="AA65" s="109"/>
      <c r="AB65" s="114"/>
      <c r="AC65" s="114"/>
      <c r="AD65" s="109"/>
      <c r="AE65" s="101"/>
      <c r="AF65" s="109"/>
      <c r="AG65" s="101"/>
      <c r="AH65" s="101"/>
      <c r="AI65" s="101"/>
    </row>
    <row r="66" spans="1:35" s="107" customFormat="1" ht="57.95">
      <c r="A66" s="516" t="s">
        <v>1320</v>
      </c>
      <c r="B66" s="516" t="s">
        <v>1321</v>
      </c>
      <c r="C66" s="108">
        <v>46214</v>
      </c>
      <c r="D66" s="108" t="s">
        <v>208</v>
      </c>
      <c r="E66" s="594" t="s">
        <v>1322</v>
      </c>
      <c r="F66" s="176">
        <v>50</v>
      </c>
      <c r="G66" s="176">
        <v>850</v>
      </c>
      <c r="H66" s="176" t="s">
        <v>1256</v>
      </c>
      <c r="I66" s="176">
        <v>70</v>
      </c>
      <c r="J66" s="146">
        <v>10</v>
      </c>
      <c r="K66" s="145">
        <v>140</v>
      </c>
      <c r="L66" s="146">
        <v>35</v>
      </c>
      <c r="M66" s="147" t="s">
        <v>1236</v>
      </c>
      <c r="N66" s="339">
        <v>300</v>
      </c>
      <c r="O66" s="148" t="s">
        <v>1323</v>
      </c>
      <c r="P66" s="354">
        <v>2.5</v>
      </c>
      <c r="Q66" s="469">
        <v>0.2</v>
      </c>
      <c r="R66" s="150" t="s">
        <v>1238</v>
      </c>
      <c r="S66" s="162">
        <v>0</v>
      </c>
      <c r="T66" s="144">
        <v>10</v>
      </c>
      <c r="U66" s="176">
        <v>2.5</v>
      </c>
      <c r="V66" s="176">
        <v>15</v>
      </c>
      <c r="W66" s="176" t="s">
        <v>1319</v>
      </c>
      <c r="X66" s="335"/>
      <c r="Y66" s="144" t="s">
        <v>1324</v>
      </c>
      <c r="Z66" s="144" t="s">
        <v>272</v>
      </c>
      <c r="AA66" s="144" t="s">
        <v>1227</v>
      </c>
      <c r="AB66" s="152"/>
      <c r="AC66" s="152"/>
      <c r="AD66" s="471" t="s">
        <v>1325</v>
      </c>
      <c r="AE66" s="104"/>
      <c r="AF66" s="44" t="s">
        <v>1263</v>
      </c>
      <c r="AG66" s="44"/>
      <c r="AH66" s="44"/>
      <c r="AI66" s="44"/>
    </row>
    <row r="67" spans="1:35" s="107" customFormat="1" ht="14.45">
      <c r="A67" s="107" t="s">
        <v>1245</v>
      </c>
      <c r="B67" s="107" t="s">
        <v>1246</v>
      </c>
      <c r="C67" s="108">
        <v>46214</v>
      </c>
      <c r="D67" s="108" t="s">
        <v>209</v>
      </c>
      <c r="E67" s="300"/>
      <c r="F67" s="176">
        <v>60</v>
      </c>
      <c r="G67" s="176">
        <v>910</v>
      </c>
      <c r="H67" s="144">
        <v>150</v>
      </c>
      <c r="I67" s="176">
        <v>50</v>
      </c>
      <c r="J67" s="146" t="s">
        <v>272</v>
      </c>
      <c r="K67" s="145" t="s">
        <v>272</v>
      </c>
      <c r="L67" s="146">
        <v>35</v>
      </c>
      <c r="M67" s="147" t="s">
        <v>1236</v>
      </c>
      <c r="N67" s="339">
        <v>150</v>
      </c>
      <c r="O67" s="148" t="s">
        <v>1249</v>
      </c>
      <c r="P67" s="149">
        <v>1</v>
      </c>
      <c r="Q67" s="469">
        <v>5</v>
      </c>
      <c r="R67" s="150" t="s">
        <v>1238</v>
      </c>
      <c r="S67" s="162">
        <v>0</v>
      </c>
      <c r="T67" s="144">
        <v>1</v>
      </c>
      <c r="U67" s="176">
        <v>5</v>
      </c>
      <c r="V67" s="176">
        <v>16</v>
      </c>
      <c r="W67" s="176" t="s">
        <v>1319</v>
      </c>
      <c r="X67" s="335" t="s">
        <v>1250</v>
      </c>
      <c r="Y67" s="109" t="s">
        <v>272</v>
      </c>
      <c r="Z67" s="109" t="s">
        <v>272</v>
      </c>
      <c r="AA67" s="109"/>
      <c r="AB67" s="114"/>
      <c r="AC67" s="114"/>
      <c r="AD67" s="109"/>
      <c r="AE67" s="101"/>
      <c r="AF67" s="109"/>
      <c r="AG67" s="101"/>
      <c r="AH67" s="101"/>
      <c r="AI67" s="101"/>
    </row>
    <row r="68" spans="1:35" s="107" customFormat="1" ht="57.95">
      <c r="A68" s="516" t="s">
        <v>1326</v>
      </c>
      <c r="B68" s="516" t="s">
        <v>1321</v>
      </c>
      <c r="C68" s="108">
        <v>46214</v>
      </c>
      <c r="D68" s="108" t="s">
        <v>209</v>
      </c>
      <c r="E68" s="594" t="s">
        <v>1327</v>
      </c>
      <c r="F68" s="176">
        <v>50</v>
      </c>
      <c r="G68" s="176">
        <v>850</v>
      </c>
      <c r="H68" s="176" t="s">
        <v>1256</v>
      </c>
      <c r="I68" s="176">
        <v>70</v>
      </c>
      <c r="J68" s="146">
        <v>10</v>
      </c>
      <c r="K68" s="145">
        <v>140</v>
      </c>
      <c r="L68" s="146">
        <v>35</v>
      </c>
      <c r="M68" s="147" t="s">
        <v>1236</v>
      </c>
      <c r="N68" s="339">
        <v>300</v>
      </c>
      <c r="O68" s="148" t="s">
        <v>1237</v>
      </c>
      <c r="P68" s="249">
        <v>2</v>
      </c>
      <c r="Q68" s="469">
        <v>0.2</v>
      </c>
      <c r="R68" s="150" t="s">
        <v>1238</v>
      </c>
      <c r="S68" s="162">
        <v>0</v>
      </c>
      <c r="T68" s="144">
        <v>10</v>
      </c>
      <c r="U68" s="176">
        <v>2.5</v>
      </c>
      <c r="V68" s="176">
        <v>15</v>
      </c>
      <c r="W68" s="176" t="s">
        <v>1319</v>
      </c>
      <c r="X68" s="335"/>
      <c r="Y68" s="144" t="s">
        <v>1324</v>
      </c>
      <c r="Z68" s="144" t="s">
        <v>272</v>
      </c>
      <c r="AA68" s="144" t="s">
        <v>1227</v>
      </c>
      <c r="AB68" s="152"/>
      <c r="AC68" s="152"/>
      <c r="AD68" s="471" t="s">
        <v>1325</v>
      </c>
      <c r="AE68" s="104"/>
      <c r="AF68" s="44" t="s">
        <v>1263</v>
      </c>
      <c r="AG68" s="44"/>
      <c r="AH68" s="44"/>
      <c r="AI68" s="44"/>
    </row>
    <row r="69" spans="1:35" s="107" customFormat="1" ht="14.45">
      <c r="A69" s="107" t="s">
        <v>1245</v>
      </c>
      <c r="B69" s="107" t="s">
        <v>1246</v>
      </c>
      <c r="C69" s="108">
        <v>46214</v>
      </c>
      <c r="D69" s="108" t="s">
        <v>209</v>
      </c>
      <c r="E69" s="300"/>
      <c r="F69" s="176">
        <v>60</v>
      </c>
      <c r="G69" s="176">
        <v>910</v>
      </c>
      <c r="H69" s="144">
        <v>150</v>
      </c>
      <c r="I69" s="176">
        <v>50</v>
      </c>
      <c r="J69" s="146" t="s">
        <v>272</v>
      </c>
      <c r="K69" s="145" t="s">
        <v>272</v>
      </c>
      <c r="L69" s="146">
        <v>35</v>
      </c>
      <c r="M69" s="147" t="s">
        <v>1236</v>
      </c>
      <c r="N69" s="339">
        <v>150</v>
      </c>
      <c r="O69" s="148" t="s">
        <v>1249</v>
      </c>
      <c r="P69" s="149">
        <v>1</v>
      </c>
      <c r="Q69" s="469">
        <v>5</v>
      </c>
      <c r="R69" s="150" t="s">
        <v>1238</v>
      </c>
      <c r="S69" s="162">
        <v>0</v>
      </c>
      <c r="T69" s="144">
        <v>1</v>
      </c>
      <c r="U69" s="176">
        <v>5</v>
      </c>
      <c r="V69" s="176">
        <v>16</v>
      </c>
      <c r="W69" s="176" t="s">
        <v>1319</v>
      </c>
      <c r="X69" s="335" t="s">
        <v>1250</v>
      </c>
      <c r="Y69" s="109" t="s">
        <v>272</v>
      </c>
      <c r="Z69" s="109" t="s">
        <v>272</v>
      </c>
      <c r="AA69" s="109"/>
      <c r="AB69" s="114"/>
      <c r="AC69" s="114"/>
      <c r="AD69" s="109"/>
      <c r="AE69" s="101"/>
      <c r="AF69" s="109"/>
      <c r="AG69" s="101"/>
      <c r="AH69" s="101"/>
      <c r="AI69" s="101"/>
    </row>
    <row r="70" spans="1:35" s="107" customFormat="1" ht="57.95">
      <c r="A70" s="516" t="s">
        <v>1328</v>
      </c>
      <c r="B70" s="107" t="s">
        <v>1321</v>
      </c>
      <c r="C70" s="108">
        <v>46214</v>
      </c>
      <c r="D70" s="108" t="s">
        <v>209</v>
      </c>
      <c r="E70" s="612" t="s">
        <v>1329</v>
      </c>
      <c r="F70" s="176">
        <v>50</v>
      </c>
      <c r="G70" s="176">
        <v>850</v>
      </c>
      <c r="H70" s="176" t="s">
        <v>1256</v>
      </c>
      <c r="I70" s="176">
        <v>70</v>
      </c>
      <c r="J70" s="146">
        <v>10</v>
      </c>
      <c r="K70" s="145">
        <v>140</v>
      </c>
      <c r="L70" s="146"/>
      <c r="M70" s="147" t="s">
        <v>1236</v>
      </c>
      <c r="N70" s="339">
        <v>300</v>
      </c>
      <c r="O70" s="148" t="s">
        <v>1237</v>
      </c>
      <c r="P70" s="354">
        <v>2.5</v>
      </c>
      <c r="Q70" s="219">
        <v>0.15</v>
      </c>
      <c r="R70" s="150" t="s">
        <v>1238</v>
      </c>
      <c r="S70" s="162">
        <v>0</v>
      </c>
      <c r="T70" s="144">
        <v>10</v>
      </c>
      <c r="U70" s="176">
        <v>2.5</v>
      </c>
      <c r="V70" s="176">
        <v>15</v>
      </c>
      <c r="W70" s="176" t="s">
        <v>1319</v>
      </c>
      <c r="X70" s="335"/>
      <c r="Y70" s="144" t="s">
        <v>1324</v>
      </c>
      <c r="Z70" s="144" t="s">
        <v>272</v>
      </c>
      <c r="AA70" s="144" t="s">
        <v>1227</v>
      </c>
      <c r="AB70" s="152"/>
      <c r="AC70" s="152"/>
      <c r="AD70" s="471" t="s">
        <v>1325</v>
      </c>
      <c r="AE70" s="104"/>
      <c r="AF70" s="44" t="s">
        <v>1263</v>
      </c>
      <c r="AG70" s="44"/>
      <c r="AH70" s="44"/>
      <c r="AI70" s="44"/>
    </row>
    <row r="71" spans="1:35" s="107" customFormat="1" ht="14.45">
      <c r="A71" s="107" t="s">
        <v>1245</v>
      </c>
      <c r="B71" s="107" t="s">
        <v>1246</v>
      </c>
      <c r="C71" s="108">
        <v>46214</v>
      </c>
      <c r="D71" s="108"/>
      <c r="E71" s="300"/>
      <c r="F71" s="176">
        <v>60</v>
      </c>
      <c r="G71" s="176">
        <v>910</v>
      </c>
      <c r="H71" s="144">
        <v>150</v>
      </c>
      <c r="I71" s="176">
        <v>50</v>
      </c>
      <c r="J71" s="146" t="s">
        <v>272</v>
      </c>
      <c r="K71" s="145" t="s">
        <v>272</v>
      </c>
      <c r="L71" s="146">
        <v>35</v>
      </c>
      <c r="M71" s="147" t="s">
        <v>1236</v>
      </c>
      <c r="N71" s="339">
        <v>150</v>
      </c>
      <c r="O71" s="148" t="s">
        <v>1249</v>
      </c>
      <c r="P71" s="149">
        <v>1</v>
      </c>
      <c r="Q71" s="469">
        <v>5</v>
      </c>
      <c r="R71" s="150" t="s">
        <v>1238</v>
      </c>
      <c r="S71" s="162">
        <v>0</v>
      </c>
      <c r="T71" s="144">
        <v>1</v>
      </c>
      <c r="U71" s="176">
        <v>5</v>
      </c>
      <c r="V71" s="176">
        <v>16</v>
      </c>
      <c r="W71" s="176" t="s">
        <v>1319</v>
      </c>
      <c r="X71" s="335" t="s">
        <v>1250</v>
      </c>
      <c r="Y71" s="109" t="s">
        <v>272</v>
      </c>
      <c r="Z71" s="109" t="s">
        <v>272</v>
      </c>
      <c r="AA71" s="109"/>
      <c r="AB71" s="114"/>
      <c r="AC71" s="114"/>
      <c r="AD71" s="109"/>
      <c r="AE71" s="101"/>
      <c r="AF71" s="109"/>
      <c r="AG71" s="101"/>
      <c r="AH71" s="101"/>
      <c r="AI71" s="101"/>
    </row>
    <row r="72" spans="1:35" s="107" customFormat="1" ht="57.95">
      <c r="A72" s="516" t="s">
        <v>1330</v>
      </c>
      <c r="B72" s="516" t="s">
        <v>1321</v>
      </c>
      <c r="C72" s="108">
        <v>46215</v>
      </c>
      <c r="D72" s="108" t="s">
        <v>209</v>
      </c>
      <c r="E72" s="594" t="s">
        <v>1322</v>
      </c>
      <c r="F72" s="176">
        <v>50</v>
      </c>
      <c r="G72" s="176">
        <v>850</v>
      </c>
      <c r="H72" s="176" t="s">
        <v>1256</v>
      </c>
      <c r="I72" s="176">
        <v>70</v>
      </c>
      <c r="J72" s="146">
        <v>10</v>
      </c>
      <c r="K72" s="145">
        <v>140</v>
      </c>
      <c r="L72" s="146"/>
      <c r="M72" s="147" t="s">
        <v>1236</v>
      </c>
      <c r="N72" s="339">
        <v>300</v>
      </c>
      <c r="O72" s="148" t="s">
        <v>1331</v>
      </c>
      <c r="P72" s="354">
        <v>2.5</v>
      </c>
      <c r="Q72" s="469">
        <v>0.2</v>
      </c>
      <c r="R72" s="150" t="s">
        <v>1238</v>
      </c>
      <c r="S72" s="162">
        <v>0</v>
      </c>
      <c r="T72" s="144">
        <v>10</v>
      </c>
      <c r="U72" s="176">
        <v>2.5</v>
      </c>
      <c r="V72" s="176">
        <v>15</v>
      </c>
      <c r="W72" s="176" t="s">
        <v>1319</v>
      </c>
      <c r="X72" s="335"/>
      <c r="Y72" s="144" t="s">
        <v>1324</v>
      </c>
      <c r="Z72" s="144" t="s">
        <v>272</v>
      </c>
      <c r="AA72" s="144" t="s">
        <v>1227</v>
      </c>
      <c r="AB72" s="152"/>
      <c r="AC72" s="152"/>
      <c r="AD72" s="471" t="s">
        <v>1325</v>
      </c>
      <c r="AE72" s="104"/>
      <c r="AF72" s="44" t="s">
        <v>1263</v>
      </c>
      <c r="AG72" s="44"/>
      <c r="AH72" s="44"/>
      <c r="AI72" s="44"/>
    </row>
    <row r="73" spans="1:35" s="107" customFormat="1" ht="14.45">
      <c r="A73" s="107" t="s">
        <v>1245</v>
      </c>
      <c r="B73" s="107" t="s">
        <v>1246</v>
      </c>
      <c r="C73" s="108">
        <v>46215</v>
      </c>
      <c r="D73" s="108" t="s">
        <v>209</v>
      </c>
      <c r="E73" s="300"/>
      <c r="F73" s="176">
        <v>60</v>
      </c>
      <c r="G73" s="176">
        <v>910</v>
      </c>
      <c r="H73" s="144">
        <v>150</v>
      </c>
      <c r="I73" s="176">
        <v>50</v>
      </c>
      <c r="J73" s="146" t="s">
        <v>272</v>
      </c>
      <c r="K73" s="145" t="s">
        <v>272</v>
      </c>
      <c r="L73" s="146">
        <v>35</v>
      </c>
      <c r="M73" s="147" t="s">
        <v>1236</v>
      </c>
      <c r="N73" s="339">
        <v>150</v>
      </c>
      <c r="O73" s="148" t="s">
        <v>1249</v>
      </c>
      <c r="P73" s="149">
        <v>1</v>
      </c>
      <c r="Q73" s="469">
        <v>5</v>
      </c>
      <c r="R73" s="150" t="s">
        <v>1238</v>
      </c>
      <c r="S73" s="162">
        <v>0</v>
      </c>
      <c r="T73" s="144">
        <v>1</v>
      </c>
      <c r="U73" s="176">
        <v>5</v>
      </c>
      <c r="V73" s="176">
        <v>16</v>
      </c>
      <c r="W73" s="176" t="s">
        <v>1319</v>
      </c>
      <c r="X73" s="335" t="s">
        <v>1250</v>
      </c>
      <c r="Y73" s="109" t="s">
        <v>272</v>
      </c>
      <c r="Z73" s="109" t="s">
        <v>272</v>
      </c>
      <c r="AA73" s="109"/>
      <c r="AB73" s="114"/>
      <c r="AC73" s="114"/>
      <c r="AD73" s="109"/>
      <c r="AE73" s="101"/>
      <c r="AF73" s="109"/>
      <c r="AG73" s="101"/>
      <c r="AH73" s="101"/>
      <c r="AI73" s="101"/>
    </row>
    <row r="74" spans="1:35" s="107" customFormat="1" ht="57.95">
      <c r="A74" s="516" t="s">
        <v>1332</v>
      </c>
      <c r="B74" s="516" t="s">
        <v>1255</v>
      </c>
      <c r="C74" s="108">
        <v>46215</v>
      </c>
      <c r="D74" s="108" t="s">
        <v>209</v>
      </c>
      <c r="E74" s="594" t="s">
        <v>1288</v>
      </c>
      <c r="F74" s="176">
        <v>60</v>
      </c>
      <c r="G74" s="176">
        <v>850</v>
      </c>
      <c r="H74" s="581" t="s">
        <v>1318</v>
      </c>
      <c r="I74" s="176">
        <v>70</v>
      </c>
      <c r="J74" s="146">
        <v>10</v>
      </c>
      <c r="K74" s="145">
        <v>140</v>
      </c>
      <c r="L74" s="146"/>
      <c r="M74" s="147" t="s">
        <v>1236</v>
      </c>
      <c r="N74" s="339">
        <v>300</v>
      </c>
      <c r="O74" s="148" t="s">
        <v>1237</v>
      </c>
      <c r="P74" s="354">
        <v>2</v>
      </c>
      <c r="Q74" s="469">
        <v>0.2</v>
      </c>
      <c r="R74" s="150" t="s">
        <v>1238</v>
      </c>
      <c r="S74" s="162">
        <v>0</v>
      </c>
      <c r="T74" s="144">
        <v>10</v>
      </c>
      <c r="U74" s="176">
        <v>2.5</v>
      </c>
      <c r="V74" s="176">
        <v>15</v>
      </c>
      <c r="W74" s="176" t="s">
        <v>1319</v>
      </c>
      <c r="X74" s="571" t="s">
        <v>1289</v>
      </c>
      <c r="Y74" s="144" t="s">
        <v>1257</v>
      </c>
      <c r="Z74" s="144" t="s">
        <v>272</v>
      </c>
      <c r="AA74" s="144" t="s">
        <v>1227</v>
      </c>
      <c r="AB74" s="152"/>
      <c r="AC74" s="152"/>
      <c r="AD74" s="471" t="s">
        <v>1254</v>
      </c>
      <c r="AE74" s="104"/>
      <c r="AF74" s="44" t="s">
        <v>1263</v>
      </c>
      <c r="AG74" s="44"/>
      <c r="AH74" s="44"/>
      <c r="AI74" s="44"/>
    </row>
    <row r="75" spans="1:35" s="107" customFormat="1" ht="14.45">
      <c r="A75" s="107" t="s">
        <v>1245</v>
      </c>
      <c r="B75" s="107" t="s">
        <v>1246</v>
      </c>
      <c r="C75" s="108">
        <v>46215</v>
      </c>
      <c r="D75" s="108" t="s">
        <v>209</v>
      </c>
      <c r="E75" s="300"/>
      <c r="F75" s="176">
        <v>60</v>
      </c>
      <c r="G75" s="176">
        <v>910</v>
      </c>
      <c r="H75" s="144">
        <v>150</v>
      </c>
      <c r="I75" s="176">
        <v>50</v>
      </c>
      <c r="J75" s="146" t="s">
        <v>272</v>
      </c>
      <c r="K75" s="145" t="s">
        <v>272</v>
      </c>
      <c r="L75" s="146"/>
      <c r="M75" s="147" t="s">
        <v>1236</v>
      </c>
      <c r="N75" s="339">
        <v>150</v>
      </c>
      <c r="O75" s="148" t="s">
        <v>1249</v>
      </c>
      <c r="P75" s="149">
        <v>1</v>
      </c>
      <c r="Q75" s="469">
        <v>5</v>
      </c>
      <c r="R75" s="150" t="s">
        <v>1238</v>
      </c>
      <c r="S75" s="162">
        <v>0</v>
      </c>
      <c r="T75" s="144">
        <v>1</v>
      </c>
      <c r="U75" s="176">
        <v>5</v>
      </c>
      <c r="V75" s="176">
        <v>16</v>
      </c>
      <c r="W75" s="176" t="s">
        <v>1319</v>
      </c>
      <c r="X75" s="335" t="s">
        <v>1250</v>
      </c>
      <c r="Y75" s="109" t="s">
        <v>272</v>
      </c>
      <c r="Z75" s="109" t="s">
        <v>272</v>
      </c>
      <c r="AA75" s="109"/>
      <c r="AB75" s="114"/>
      <c r="AC75" s="114"/>
      <c r="AD75" s="109"/>
      <c r="AE75" s="101"/>
      <c r="AF75" s="109"/>
      <c r="AG75" s="101"/>
      <c r="AH75" s="101"/>
      <c r="AI75" s="101"/>
    </row>
    <row r="76" spans="1:35" s="107" customFormat="1" ht="29.1">
      <c r="A76" s="516" t="s">
        <v>1333</v>
      </c>
      <c r="B76" s="516" t="s">
        <v>1320</v>
      </c>
      <c r="C76" s="108"/>
      <c r="D76" s="108"/>
      <c r="E76" s="594" t="s">
        <v>1334</v>
      </c>
      <c r="F76" s="176">
        <v>60</v>
      </c>
      <c r="G76" s="176">
        <v>850</v>
      </c>
      <c r="H76" s="581" t="s">
        <v>1318</v>
      </c>
      <c r="I76" s="176">
        <v>70</v>
      </c>
      <c r="J76" s="146">
        <v>10</v>
      </c>
      <c r="K76" s="220">
        <v>120</v>
      </c>
      <c r="L76" s="146"/>
      <c r="M76" s="147" t="s">
        <v>1236</v>
      </c>
      <c r="N76" s="339">
        <v>300</v>
      </c>
      <c r="O76" s="148" t="s">
        <v>1237</v>
      </c>
      <c r="P76" s="354">
        <v>2</v>
      </c>
      <c r="Q76" s="469">
        <v>0.2</v>
      </c>
      <c r="R76" s="150" t="s">
        <v>1238</v>
      </c>
      <c r="S76" s="162">
        <v>0</v>
      </c>
      <c r="T76" s="144">
        <v>10</v>
      </c>
      <c r="U76" s="176">
        <v>2.5</v>
      </c>
      <c r="V76" s="176">
        <v>15</v>
      </c>
      <c r="W76" s="176" t="s">
        <v>1319</v>
      </c>
      <c r="X76" s="571"/>
      <c r="Y76" s="144" t="s">
        <v>1324</v>
      </c>
      <c r="Z76" s="144" t="s">
        <v>272</v>
      </c>
      <c r="AA76" s="144" t="s">
        <v>1227</v>
      </c>
      <c r="AB76" s="152"/>
      <c r="AC76" s="152"/>
      <c r="AD76" s="471" t="s">
        <v>1335</v>
      </c>
      <c r="AE76" s="104"/>
      <c r="AF76" s="44"/>
      <c r="AG76" s="44"/>
      <c r="AH76" s="44"/>
      <c r="AI76" s="44"/>
    </row>
    <row r="77" spans="1:35" s="107" customFormat="1" ht="14.45">
      <c r="A77" s="107" t="s">
        <v>1245</v>
      </c>
      <c r="B77" s="107" t="s">
        <v>1246</v>
      </c>
      <c r="C77" s="108"/>
      <c r="D77" s="108"/>
      <c r="E77" s="300"/>
      <c r="F77" s="176">
        <v>60</v>
      </c>
      <c r="G77" s="176">
        <v>910</v>
      </c>
      <c r="H77" s="144">
        <v>150</v>
      </c>
      <c r="I77" s="176">
        <v>50</v>
      </c>
      <c r="J77" s="146" t="s">
        <v>272</v>
      </c>
      <c r="K77" s="145" t="s">
        <v>272</v>
      </c>
      <c r="L77" s="146"/>
      <c r="M77" s="147" t="s">
        <v>1236</v>
      </c>
      <c r="N77" s="339">
        <v>150</v>
      </c>
      <c r="O77" s="148" t="s">
        <v>1249</v>
      </c>
      <c r="P77" s="149">
        <v>1</v>
      </c>
      <c r="Q77" s="469">
        <v>5</v>
      </c>
      <c r="R77" s="150" t="s">
        <v>1238</v>
      </c>
      <c r="S77" s="162">
        <v>0</v>
      </c>
      <c r="T77" s="144">
        <v>1</v>
      </c>
      <c r="U77" s="176">
        <v>5</v>
      </c>
      <c r="V77" s="176">
        <v>16</v>
      </c>
      <c r="W77" s="176" t="s">
        <v>1319</v>
      </c>
      <c r="X77" s="335" t="s">
        <v>1250</v>
      </c>
      <c r="Y77" s="109" t="s">
        <v>272</v>
      </c>
      <c r="Z77" s="109" t="s">
        <v>272</v>
      </c>
      <c r="AA77" s="109"/>
      <c r="AB77" s="114"/>
      <c r="AC77" s="114"/>
      <c r="AD77" s="109"/>
      <c r="AE77" s="101"/>
      <c r="AF77" s="109"/>
      <c r="AG77" s="101"/>
      <c r="AH77" s="101"/>
      <c r="AI77" s="101"/>
    </row>
    <row r="78" spans="1:35" s="107" customFormat="1" ht="29.1">
      <c r="A78" s="516" t="s">
        <v>1336</v>
      </c>
      <c r="B78" s="516" t="s">
        <v>1320</v>
      </c>
      <c r="C78" s="108"/>
      <c r="D78" s="108"/>
      <c r="E78" s="594" t="s">
        <v>1337</v>
      </c>
      <c r="F78" s="176">
        <v>50</v>
      </c>
      <c r="G78" s="176">
        <v>850</v>
      </c>
      <c r="H78" s="581" t="s">
        <v>1318</v>
      </c>
      <c r="I78" s="176">
        <v>70</v>
      </c>
      <c r="J78" s="146">
        <v>10</v>
      </c>
      <c r="K78" s="146">
        <v>140</v>
      </c>
      <c r="L78" s="146"/>
      <c r="M78" s="147" t="s">
        <v>1236</v>
      </c>
      <c r="N78" s="339">
        <v>300</v>
      </c>
      <c r="O78" s="148" t="s">
        <v>1237</v>
      </c>
      <c r="P78" s="354">
        <v>2</v>
      </c>
      <c r="Q78" s="469">
        <v>0.2</v>
      </c>
      <c r="R78" s="150" t="s">
        <v>1238</v>
      </c>
      <c r="S78" s="162">
        <v>0</v>
      </c>
      <c r="T78" s="144">
        <v>10</v>
      </c>
      <c r="U78" s="172" t="s">
        <v>1338</v>
      </c>
      <c r="V78" s="176">
        <v>15</v>
      </c>
      <c r="W78" s="176" t="s">
        <v>1319</v>
      </c>
      <c r="X78" s="571"/>
      <c r="Y78" s="144" t="s">
        <v>1324</v>
      </c>
      <c r="Z78" s="144" t="s">
        <v>272</v>
      </c>
      <c r="AA78" s="144" t="s">
        <v>1227</v>
      </c>
      <c r="AB78" s="152"/>
      <c r="AC78" s="152"/>
      <c r="AD78" s="471" t="s">
        <v>1335</v>
      </c>
      <c r="AE78" s="104"/>
      <c r="AF78" s="44"/>
      <c r="AG78" s="44"/>
      <c r="AH78" s="44"/>
      <c r="AI78" s="44"/>
    </row>
    <row r="79" spans="1:35" s="107" customFormat="1" ht="14.45">
      <c r="A79" s="107" t="s">
        <v>1245</v>
      </c>
      <c r="B79" s="107" t="s">
        <v>1246</v>
      </c>
      <c r="C79" s="108"/>
      <c r="D79" s="108"/>
      <c r="E79" s="300"/>
      <c r="F79" s="176">
        <v>60</v>
      </c>
      <c r="G79" s="176">
        <v>910</v>
      </c>
      <c r="H79" s="144">
        <v>150</v>
      </c>
      <c r="I79" s="176">
        <v>50</v>
      </c>
      <c r="J79" s="146" t="s">
        <v>272</v>
      </c>
      <c r="K79" s="145" t="s">
        <v>272</v>
      </c>
      <c r="L79" s="146"/>
      <c r="M79" s="147" t="s">
        <v>1236</v>
      </c>
      <c r="N79" s="339">
        <v>150</v>
      </c>
      <c r="O79" s="148" t="s">
        <v>1249</v>
      </c>
      <c r="P79" s="149">
        <v>1</v>
      </c>
      <c r="Q79" s="469">
        <v>5</v>
      </c>
      <c r="R79" s="150" t="s">
        <v>1238</v>
      </c>
      <c r="S79" s="162">
        <v>0</v>
      </c>
      <c r="T79" s="144">
        <v>1</v>
      </c>
      <c r="U79" s="176">
        <v>5</v>
      </c>
      <c r="V79" s="176">
        <v>16</v>
      </c>
      <c r="W79" s="176" t="s">
        <v>1319</v>
      </c>
      <c r="X79" s="335" t="s">
        <v>1250</v>
      </c>
      <c r="Y79" s="109" t="s">
        <v>272</v>
      </c>
      <c r="Z79" s="109" t="s">
        <v>272</v>
      </c>
      <c r="AA79" s="109"/>
      <c r="AB79" s="114"/>
      <c r="AC79" s="114"/>
      <c r="AD79" s="109"/>
      <c r="AE79" s="101"/>
      <c r="AF79" s="109"/>
      <c r="AG79" s="101"/>
      <c r="AH79" s="101"/>
      <c r="AI79" s="101"/>
    </row>
    <row r="80" spans="1:35" s="107" customFormat="1" ht="29.1">
      <c r="A80" s="516" t="s">
        <v>1339</v>
      </c>
      <c r="B80" s="516" t="s">
        <v>1320</v>
      </c>
      <c r="C80" s="108"/>
      <c r="D80" s="108"/>
      <c r="E80" s="594"/>
      <c r="F80" s="176">
        <v>50</v>
      </c>
      <c r="G80" s="176">
        <v>850</v>
      </c>
      <c r="H80" s="581" t="s">
        <v>1318</v>
      </c>
      <c r="I80" s="176">
        <v>70</v>
      </c>
      <c r="J80" s="146">
        <v>10</v>
      </c>
      <c r="K80" s="146">
        <v>140</v>
      </c>
      <c r="L80" s="146"/>
      <c r="M80" s="147" t="s">
        <v>1236</v>
      </c>
      <c r="N80" s="339">
        <v>300</v>
      </c>
      <c r="O80" s="148" t="s">
        <v>1237</v>
      </c>
      <c r="P80" s="354">
        <v>2</v>
      </c>
      <c r="Q80" s="469">
        <v>0.2</v>
      </c>
      <c r="R80" s="150" t="s">
        <v>1238</v>
      </c>
      <c r="S80" s="162">
        <v>0</v>
      </c>
      <c r="T80" s="144">
        <v>10</v>
      </c>
      <c r="U80" s="350">
        <v>1.5</v>
      </c>
      <c r="V80" s="176">
        <v>15</v>
      </c>
      <c r="W80" s="176" t="s">
        <v>1319</v>
      </c>
      <c r="X80" s="571"/>
      <c r="Y80" s="144" t="s">
        <v>1324</v>
      </c>
      <c r="Z80" s="144" t="s">
        <v>272</v>
      </c>
      <c r="AA80" s="144" t="s">
        <v>1227</v>
      </c>
      <c r="AB80" s="152"/>
      <c r="AC80" s="152"/>
      <c r="AD80" s="471" t="s">
        <v>1335</v>
      </c>
      <c r="AE80" s="104"/>
      <c r="AF80" s="44"/>
      <c r="AG80" s="44"/>
      <c r="AH80" s="44"/>
      <c r="AI80" s="44"/>
    </row>
    <row r="81" spans="1:35" s="107" customFormat="1" ht="14.45">
      <c r="A81" s="107" t="s">
        <v>1245</v>
      </c>
      <c r="B81" s="107" t="s">
        <v>1246</v>
      </c>
      <c r="C81" s="108"/>
      <c r="D81" s="108"/>
      <c r="E81" s="300"/>
      <c r="F81" s="176">
        <v>60</v>
      </c>
      <c r="G81" s="176">
        <v>910</v>
      </c>
      <c r="H81" s="144">
        <v>150</v>
      </c>
      <c r="I81" s="176">
        <v>50</v>
      </c>
      <c r="J81" s="146" t="s">
        <v>272</v>
      </c>
      <c r="K81" s="145" t="s">
        <v>272</v>
      </c>
      <c r="L81" s="146"/>
      <c r="M81" s="147" t="s">
        <v>1236</v>
      </c>
      <c r="N81" s="339">
        <v>150</v>
      </c>
      <c r="O81" s="148" t="s">
        <v>1249</v>
      </c>
      <c r="P81" s="149">
        <v>1</v>
      </c>
      <c r="Q81" s="469">
        <v>5</v>
      </c>
      <c r="R81" s="150" t="s">
        <v>1238</v>
      </c>
      <c r="S81" s="162">
        <v>0</v>
      </c>
      <c r="T81" s="144">
        <v>1</v>
      </c>
      <c r="U81" s="176">
        <v>5</v>
      </c>
      <c r="V81" s="176">
        <v>16</v>
      </c>
      <c r="W81" s="176" t="s">
        <v>1319</v>
      </c>
      <c r="X81" s="335" t="s">
        <v>1250</v>
      </c>
      <c r="Y81" s="109" t="s">
        <v>272</v>
      </c>
      <c r="Z81" s="109" t="s">
        <v>272</v>
      </c>
      <c r="AA81" s="109"/>
      <c r="AB81" s="114"/>
      <c r="AC81" s="114"/>
      <c r="AD81" s="109"/>
      <c r="AE81" s="101"/>
      <c r="AF81" s="109"/>
      <c r="AG81" s="101"/>
      <c r="AH81" s="101"/>
      <c r="AI81" s="101"/>
    </row>
    <row r="82" spans="1:35" s="107" customFormat="1" ht="29.1">
      <c r="A82" s="516" t="s">
        <v>1340</v>
      </c>
      <c r="B82" s="516" t="s">
        <v>1320</v>
      </c>
      <c r="C82" s="108"/>
      <c r="D82" s="108"/>
      <c r="E82" s="594"/>
      <c r="F82" s="176">
        <v>50</v>
      </c>
      <c r="G82" s="176">
        <v>850</v>
      </c>
      <c r="H82" s="581" t="s">
        <v>1318</v>
      </c>
      <c r="I82" s="176">
        <v>70</v>
      </c>
      <c r="J82" s="146">
        <v>10</v>
      </c>
      <c r="K82" s="146">
        <v>140</v>
      </c>
      <c r="L82" s="146"/>
      <c r="M82" s="147" t="s">
        <v>1236</v>
      </c>
      <c r="N82" s="339">
        <v>300</v>
      </c>
      <c r="O82" s="148" t="s">
        <v>1237</v>
      </c>
      <c r="P82" s="354">
        <v>2</v>
      </c>
      <c r="Q82" s="469">
        <v>0.2</v>
      </c>
      <c r="R82" s="150" t="s">
        <v>1238</v>
      </c>
      <c r="S82" s="162">
        <v>0</v>
      </c>
      <c r="T82" s="144">
        <v>10</v>
      </c>
      <c r="U82" s="350">
        <v>2.5</v>
      </c>
      <c r="V82" s="176">
        <v>15</v>
      </c>
      <c r="W82" s="176" t="s">
        <v>1319</v>
      </c>
      <c r="X82" s="571"/>
      <c r="Y82" s="144" t="s">
        <v>1324</v>
      </c>
      <c r="Z82" s="144" t="s">
        <v>272</v>
      </c>
      <c r="AA82" s="144" t="s">
        <v>1227</v>
      </c>
      <c r="AB82" s="152"/>
      <c r="AC82" s="152"/>
      <c r="AD82" s="471" t="s">
        <v>1335</v>
      </c>
      <c r="AE82" s="104"/>
      <c r="AF82" s="44"/>
      <c r="AG82" s="44"/>
      <c r="AH82" s="44"/>
      <c r="AI82" s="44"/>
    </row>
    <row r="83" spans="1:35" s="107" customFormat="1" ht="14.45">
      <c r="A83" s="107" t="s">
        <v>1245</v>
      </c>
      <c r="B83" s="107" t="s">
        <v>1246</v>
      </c>
      <c r="C83" s="108"/>
      <c r="D83" s="108"/>
      <c r="E83" s="300"/>
      <c r="F83" s="176">
        <v>60</v>
      </c>
      <c r="G83" s="176">
        <v>910</v>
      </c>
      <c r="H83" s="144">
        <v>150</v>
      </c>
      <c r="I83" s="176">
        <v>50</v>
      </c>
      <c r="J83" s="146" t="s">
        <v>272</v>
      </c>
      <c r="K83" s="145" t="s">
        <v>272</v>
      </c>
      <c r="L83" s="146"/>
      <c r="M83" s="147" t="s">
        <v>1236</v>
      </c>
      <c r="N83" s="339">
        <v>150</v>
      </c>
      <c r="O83" s="148" t="s">
        <v>1249</v>
      </c>
      <c r="P83" s="149">
        <v>1</v>
      </c>
      <c r="Q83" s="469">
        <v>5</v>
      </c>
      <c r="R83" s="150" t="s">
        <v>1238</v>
      </c>
      <c r="S83" s="162">
        <v>0</v>
      </c>
      <c r="T83" s="144">
        <v>1</v>
      </c>
      <c r="U83" s="176">
        <v>5</v>
      </c>
      <c r="V83" s="176">
        <v>16</v>
      </c>
      <c r="W83" s="176" t="s">
        <v>1319</v>
      </c>
      <c r="X83" s="335" t="s">
        <v>1250</v>
      </c>
      <c r="Y83" s="109" t="s">
        <v>272</v>
      </c>
      <c r="Z83" s="109" t="s">
        <v>272</v>
      </c>
      <c r="AA83" s="109"/>
      <c r="AB83" s="114"/>
      <c r="AC83" s="114"/>
      <c r="AD83" s="109"/>
      <c r="AE83" s="101"/>
      <c r="AF83" s="109"/>
      <c r="AG83" s="101"/>
      <c r="AH83" s="101"/>
      <c r="AI83" s="101"/>
    </row>
    <row r="84" spans="1:35" s="107" customFormat="1" ht="29.1">
      <c r="A84" s="516" t="s">
        <v>1341</v>
      </c>
      <c r="B84" s="516" t="s">
        <v>1320</v>
      </c>
      <c r="C84" s="108"/>
      <c r="D84" s="108"/>
      <c r="E84" s="594"/>
      <c r="F84" s="176">
        <v>50</v>
      </c>
      <c r="G84" s="176">
        <v>850</v>
      </c>
      <c r="H84" s="581" t="s">
        <v>1318</v>
      </c>
      <c r="I84" s="176">
        <v>70</v>
      </c>
      <c r="J84" s="146">
        <v>10</v>
      </c>
      <c r="K84" s="146">
        <v>140</v>
      </c>
      <c r="L84" s="146"/>
      <c r="M84" s="147" t="s">
        <v>1236</v>
      </c>
      <c r="N84" s="339">
        <v>300</v>
      </c>
      <c r="O84" s="148" t="s">
        <v>1237</v>
      </c>
      <c r="P84" s="354">
        <v>2</v>
      </c>
      <c r="Q84" s="469">
        <v>0.2</v>
      </c>
      <c r="R84" s="150" t="s">
        <v>1238</v>
      </c>
      <c r="S84" s="162">
        <v>0</v>
      </c>
      <c r="T84" s="144">
        <v>10</v>
      </c>
      <c r="U84" s="352">
        <v>2.5</v>
      </c>
      <c r="V84" s="176">
        <v>15</v>
      </c>
      <c r="W84" s="176" t="s">
        <v>1319</v>
      </c>
      <c r="X84" s="571"/>
      <c r="Y84" s="144" t="s">
        <v>1324</v>
      </c>
      <c r="Z84" s="144" t="s">
        <v>272</v>
      </c>
      <c r="AA84" s="144" t="s">
        <v>1227</v>
      </c>
      <c r="AB84" s="152"/>
      <c r="AC84" s="152"/>
      <c r="AD84" s="471" t="s">
        <v>1335</v>
      </c>
      <c r="AE84" s="104"/>
      <c r="AF84" s="44"/>
      <c r="AG84" s="44"/>
      <c r="AH84" s="44"/>
      <c r="AI84" s="44"/>
    </row>
    <row r="85" spans="1:35" s="107" customFormat="1" ht="15" customHeight="1">
      <c r="A85" s="107" t="s">
        <v>1245</v>
      </c>
      <c r="B85" s="107" t="s">
        <v>1246</v>
      </c>
      <c r="C85" s="108"/>
      <c r="D85" s="108"/>
      <c r="E85" s="300"/>
      <c r="F85" s="176">
        <v>60</v>
      </c>
      <c r="G85" s="176">
        <v>910</v>
      </c>
      <c r="H85" s="144">
        <v>150</v>
      </c>
      <c r="I85" s="176">
        <v>50</v>
      </c>
      <c r="J85" s="146" t="s">
        <v>272</v>
      </c>
      <c r="K85" s="145" t="s">
        <v>272</v>
      </c>
      <c r="L85" s="146"/>
      <c r="M85" s="147" t="s">
        <v>1236</v>
      </c>
      <c r="N85" s="339">
        <v>150</v>
      </c>
      <c r="O85" s="148" t="s">
        <v>1249</v>
      </c>
      <c r="P85" s="149">
        <v>1</v>
      </c>
      <c r="Q85" s="469">
        <v>5</v>
      </c>
      <c r="R85" s="150" t="s">
        <v>1238</v>
      </c>
      <c r="S85" s="162">
        <v>0</v>
      </c>
      <c r="T85" s="144">
        <v>1</v>
      </c>
      <c r="U85" s="176">
        <v>5</v>
      </c>
      <c r="V85" s="176">
        <v>16</v>
      </c>
      <c r="W85" s="176" t="s">
        <v>1319</v>
      </c>
      <c r="X85" s="335" t="s">
        <v>1250</v>
      </c>
      <c r="Y85" s="109" t="s">
        <v>272</v>
      </c>
      <c r="Z85" s="109" t="s">
        <v>272</v>
      </c>
      <c r="AA85" s="109"/>
      <c r="AB85" s="114"/>
      <c r="AC85" s="114"/>
      <c r="AD85" s="109"/>
      <c r="AE85" s="101"/>
      <c r="AF85" s="109"/>
      <c r="AG85" s="101"/>
      <c r="AH85" s="101"/>
      <c r="AI85" s="101"/>
    </row>
    <row r="86" spans="1:35" s="107" customFormat="1" ht="29.1">
      <c r="A86" s="516" t="s">
        <v>1342</v>
      </c>
      <c r="B86" s="516" t="s">
        <v>1320</v>
      </c>
      <c r="C86" s="108"/>
      <c r="D86" s="108"/>
      <c r="E86" s="594"/>
      <c r="F86" s="176">
        <v>50</v>
      </c>
      <c r="G86" s="176">
        <v>850</v>
      </c>
      <c r="H86" s="581" t="s">
        <v>1318</v>
      </c>
      <c r="I86" s="176">
        <v>70</v>
      </c>
      <c r="J86" s="146">
        <v>10</v>
      </c>
      <c r="K86" s="146">
        <v>140</v>
      </c>
      <c r="L86" s="146"/>
      <c r="M86" s="147" t="s">
        <v>1236</v>
      </c>
      <c r="N86" s="339">
        <v>300</v>
      </c>
      <c r="O86" s="148" t="s">
        <v>1237</v>
      </c>
      <c r="P86" s="354">
        <v>2</v>
      </c>
      <c r="Q86" s="469">
        <v>0.2</v>
      </c>
      <c r="R86" s="150" t="s">
        <v>1238</v>
      </c>
      <c r="S86" s="162">
        <v>0</v>
      </c>
      <c r="T86" s="144">
        <v>10</v>
      </c>
      <c r="U86" s="352">
        <v>2.5</v>
      </c>
      <c r="V86" s="176">
        <v>15</v>
      </c>
      <c r="W86" s="176" t="s">
        <v>1319</v>
      </c>
      <c r="X86" s="571"/>
      <c r="Y86" s="144" t="s">
        <v>1324</v>
      </c>
      <c r="Z86" s="144" t="s">
        <v>272</v>
      </c>
      <c r="AA86" s="144" t="s">
        <v>1227</v>
      </c>
      <c r="AB86" s="152"/>
      <c r="AC86" s="152"/>
      <c r="AD86" s="471" t="s">
        <v>1335</v>
      </c>
      <c r="AE86" s="104"/>
      <c r="AF86" s="44"/>
      <c r="AG86" s="44"/>
      <c r="AH86" s="44"/>
      <c r="AI86" s="44"/>
    </row>
    <row r="87" spans="1:35" s="107" customFormat="1" ht="29.1">
      <c r="A87" s="516" t="s">
        <v>1343</v>
      </c>
      <c r="B87" s="516" t="s">
        <v>1320</v>
      </c>
      <c r="C87" s="108"/>
      <c r="D87" s="108"/>
      <c r="E87" s="594"/>
      <c r="F87" s="176">
        <v>50</v>
      </c>
      <c r="G87" s="176">
        <v>850</v>
      </c>
      <c r="H87" s="581" t="s">
        <v>1318</v>
      </c>
      <c r="I87" s="176">
        <v>70</v>
      </c>
      <c r="J87" s="146">
        <v>10</v>
      </c>
      <c r="K87" s="146">
        <v>140</v>
      </c>
      <c r="L87" s="146"/>
      <c r="M87" s="147" t="s">
        <v>1236</v>
      </c>
      <c r="N87" s="339">
        <v>300</v>
      </c>
      <c r="O87" s="148" t="s">
        <v>1237</v>
      </c>
      <c r="P87" s="354">
        <v>2</v>
      </c>
      <c r="Q87" s="469">
        <v>0.2</v>
      </c>
      <c r="R87" s="150" t="s">
        <v>1238</v>
      </c>
      <c r="S87" s="162">
        <v>0</v>
      </c>
      <c r="T87" s="144">
        <v>10</v>
      </c>
      <c r="U87" s="352">
        <v>2.5</v>
      </c>
      <c r="V87" s="176">
        <v>15</v>
      </c>
      <c r="W87" s="176" t="s">
        <v>1319</v>
      </c>
      <c r="X87" s="571"/>
      <c r="Y87" s="144" t="s">
        <v>1324</v>
      </c>
      <c r="Z87" s="144" t="s">
        <v>272</v>
      </c>
      <c r="AA87" s="144" t="s">
        <v>1227</v>
      </c>
      <c r="AB87" s="152"/>
      <c r="AC87" s="152"/>
      <c r="AD87" s="471" t="s">
        <v>1335</v>
      </c>
      <c r="AE87" s="104"/>
      <c r="AF87" s="44"/>
      <c r="AG87" s="44"/>
      <c r="AH87" s="44"/>
      <c r="AI87" s="44"/>
    </row>
    <row r="88" spans="1:35" s="107" customFormat="1" ht="29.1">
      <c r="A88" s="516" t="s">
        <v>1344</v>
      </c>
      <c r="B88" s="516" t="s">
        <v>1320</v>
      </c>
      <c r="C88" s="108"/>
      <c r="D88" s="108"/>
      <c r="E88" s="594"/>
      <c r="F88" s="176">
        <v>50</v>
      </c>
      <c r="G88" s="176">
        <v>850</v>
      </c>
      <c r="H88" s="581" t="s">
        <v>1318</v>
      </c>
      <c r="I88" s="176">
        <v>70</v>
      </c>
      <c r="J88" s="146">
        <v>10</v>
      </c>
      <c r="K88" s="146">
        <v>140</v>
      </c>
      <c r="L88" s="146"/>
      <c r="M88" s="147" t="s">
        <v>1236</v>
      </c>
      <c r="N88" s="339">
        <v>300</v>
      </c>
      <c r="O88" s="148" t="s">
        <v>1237</v>
      </c>
      <c r="P88" s="354">
        <v>2</v>
      </c>
      <c r="Q88" s="469">
        <v>0.2</v>
      </c>
      <c r="R88" s="150" t="s">
        <v>1238</v>
      </c>
      <c r="S88" s="162">
        <v>0</v>
      </c>
      <c r="T88" s="144">
        <v>10</v>
      </c>
      <c r="U88" s="352">
        <v>2.5</v>
      </c>
      <c r="V88" s="176">
        <v>15</v>
      </c>
      <c r="W88" s="176" t="s">
        <v>1319</v>
      </c>
      <c r="X88" s="571"/>
      <c r="Y88" s="144" t="s">
        <v>1324</v>
      </c>
      <c r="Z88" s="144" t="s">
        <v>272</v>
      </c>
      <c r="AA88" s="144" t="s">
        <v>1227</v>
      </c>
      <c r="AB88" s="152"/>
      <c r="AC88" s="152"/>
      <c r="AD88" s="471" t="s">
        <v>1335</v>
      </c>
      <c r="AE88" s="104"/>
      <c r="AF88" s="44"/>
      <c r="AG88" s="44"/>
      <c r="AH88" s="44"/>
      <c r="AI88" s="44"/>
    </row>
    <row r="89" spans="1:35" s="107" customFormat="1" ht="14.45">
      <c r="A89" s="107" t="s">
        <v>1245</v>
      </c>
      <c r="B89" s="107" t="s">
        <v>1246</v>
      </c>
      <c r="C89" s="108"/>
      <c r="D89" s="108"/>
      <c r="E89" s="300"/>
      <c r="F89" s="176">
        <v>60</v>
      </c>
      <c r="G89" s="176">
        <v>910</v>
      </c>
      <c r="H89" s="144">
        <v>150</v>
      </c>
      <c r="I89" s="176">
        <v>50</v>
      </c>
      <c r="J89" s="146" t="s">
        <v>272</v>
      </c>
      <c r="K89" s="145" t="s">
        <v>272</v>
      </c>
      <c r="L89" s="146"/>
      <c r="M89" s="147" t="s">
        <v>1236</v>
      </c>
      <c r="N89" s="339">
        <v>150</v>
      </c>
      <c r="O89" s="148" t="s">
        <v>1249</v>
      </c>
      <c r="P89" s="149">
        <v>1</v>
      </c>
      <c r="Q89" s="469">
        <v>5</v>
      </c>
      <c r="R89" s="150" t="s">
        <v>1238</v>
      </c>
      <c r="S89" s="162">
        <v>0</v>
      </c>
      <c r="T89" s="144">
        <v>1</v>
      </c>
      <c r="U89" s="176">
        <v>5</v>
      </c>
      <c r="V89" s="176">
        <v>16</v>
      </c>
      <c r="W89" s="176" t="s">
        <v>1319</v>
      </c>
      <c r="X89" s="335" t="s">
        <v>1250</v>
      </c>
      <c r="Y89" s="109" t="s">
        <v>272</v>
      </c>
      <c r="Z89" s="109" t="s">
        <v>272</v>
      </c>
      <c r="AA89" s="109"/>
      <c r="AB89" s="114"/>
      <c r="AC89" s="114"/>
      <c r="AD89" s="543"/>
      <c r="AE89" s="101"/>
      <c r="AF89" s="109"/>
      <c r="AG89" s="101"/>
      <c r="AH89" s="101"/>
      <c r="AI89" s="101"/>
    </row>
    <row r="90" spans="1:35" s="107" customFormat="1" ht="29.1">
      <c r="A90" s="516" t="s">
        <v>1345</v>
      </c>
      <c r="B90" s="516" t="s">
        <v>1320</v>
      </c>
      <c r="C90" s="108"/>
      <c r="D90" s="108"/>
      <c r="E90" s="594"/>
      <c r="F90" s="176">
        <v>50</v>
      </c>
      <c r="G90" s="176">
        <v>850</v>
      </c>
      <c r="H90" s="581" t="s">
        <v>1318</v>
      </c>
      <c r="I90" s="176">
        <v>70</v>
      </c>
      <c r="J90" s="146">
        <v>10</v>
      </c>
      <c r="K90" s="146">
        <v>140</v>
      </c>
      <c r="L90" s="146"/>
      <c r="M90" s="147" t="s">
        <v>1236</v>
      </c>
      <c r="N90" s="663">
        <v>150</v>
      </c>
      <c r="O90" s="148" t="s">
        <v>1237</v>
      </c>
      <c r="P90" s="354">
        <v>2</v>
      </c>
      <c r="Q90" s="469">
        <v>0.2</v>
      </c>
      <c r="R90" s="150" t="s">
        <v>1238</v>
      </c>
      <c r="S90" s="162">
        <v>0</v>
      </c>
      <c r="T90" s="144">
        <v>10</v>
      </c>
      <c r="U90" s="352">
        <v>2.5</v>
      </c>
      <c r="V90" s="176">
        <v>15</v>
      </c>
      <c r="W90" s="176" t="s">
        <v>1319</v>
      </c>
      <c r="X90" s="571"/>
      <c r="Y90" s="144" t="s">
        <v>1324</v>
      </c>
      <c r="Z90" s="144" t="s">
        <v>272</v>
      </c>
      <c r="AA90" s="144" t="s">
        <v>1227</v>
      </c>
      <c r="AB90" s="152"/>
      <c r="AC90" s="152"/>
      <c r="AD90" s="471" t="s">
        <v>1335</v>
      </c>
      <c r="AE90" s="104"/>
      <c r="AF90" s="44"/>
      <c r="AG90" s="44"/>
      <c r="AH90" s="44"/>
      <c r="AI90" s="44"/>
    </row>
    <row r="91" spans="1:35" s="107" customFormat="1" ht="29.1">
      <c r="A91" s="516" t="s">
        <v>1346</v>
      </c>
      <c r="B91" s="516" t="s">
        <v>1320</v>
      </c>
      <c r="C91" s="108"/>
      <c r="D91" s="108"/>
      <c r="E91" s="594"/>
      <c r="F91" s="172">
        <v>80</v>
      </c>
      <c r="G91" s="176">
        <v>850</v>
      </c>
      <c r="H91" s="581" t="s">
        <v>1318</v>
      </c>
      <c r="I91" s="144">
        <v>70</v>
      </c>
      <c r="J91" s="146">
        <v>10</v>
      </c>
      <c r="K91" s="146">
        <v>140</v>
      </c>
      <c r="L91" s="146"/>
      <c r="M91" s="147" t="s">
        <v>1236</v>
      </c>
      <c r="N91" s="339">
        <v>300</v>
      </c>
      <c r="O91" s="148" t="s">
        <v>1237</v>
      </c>
      <c r="P91" s="354">
        <v>2</v>
      </c>
      <c r="Q91" s="469">
        <v>0.2</v>
      </c>
      <c r="R91" s="150" t="s">
        <v>1238</v>
      </c>
      <c r="S91" s="162">
        <v>0</v>
      </c>
      <c r="T91" s="144">
        <v>10</v>
      </c>
      <c r="U91" s="352">
        <v>2.5</v>
      </c>
      <c r="V91" s="176">
        <v>15</v>
      </c>
      <c r="W91" s="176" t="s">
        <v>1319</v>
      </c>
      <c r="X91" s="571"/>
      <c r="Y91" s="144" t="s">
        <v>1324</v>
      </c>
      <c r="Z91" s="144" t="s">
        <v>272</v>
      </c>
      <c r="AA91" s="144" t="s">
        <v>1227</v>
      </c>
      <c r="AB91" s="152"/>
      <c r="AC91" s="152"/>
      <c r="AD91" s="471" t="s">
        <v>1335</v>
      </c>
      <c r="AE91" s="104"/>
      <c r="AF91" s="44"/>
      <c r="AG91" s="44"/>
      <c r="AH91" s="44"/>
      <c r="AI91" s="44"/>
    </row>
    <row r="92" spans="1:35" s="107" customFormat="1" ht="29.1">
      <c r="A92" s="516" t="s">
        <v>1347</v>
      </c>
      <c r="B92" s="516" t="s">
        <v>1320</v>
      </c>
      <c r="C92" s="108"/>
      <c r="D92" s="108"/>
      <c r="E92" s="594"/>
      <c r="F92" s="176">
        <v>50</v>
      </c>
      <c r="G92" s="176">
        <v>850</v>
      </c>
      <c r="H92" s="581" t="s">
        <v>1318</v>
      </c>
      <c r="I92" s="144">
        <v>70</v>
      </c>
      <c r="J92" s="146">
        <v>10</v>
      </c>
      <c r="K92" s="146">
        <v>140</v>
      </c>
      <c r="L92" s="146"/>
      <c r="M92" s="147" t="s">
        <v>1236</v>
      </c>
      <c r="N92" s="339">
        <v>300</v>
      </c>
      <c r="O92" s="148" t="s">
        <v>1237</v>
      </c>
      <c r="P92" s="354">
        <v>2</v>
      </c>
      <c r="Q92" s="469">
        <v>0.2</v>
      </c>
      <c r="R92" s="150" t="s">
        <v>1238</v>
      </c>
      <c r="S92" s="162">
        <v>0</v>
      </c>
      <c r="T92" s="144">
        <v>10</v>
      </c>
      <c r="U92" s="352">
        <v>2.5</v>
      </c>
      <c r="V92" s="176">
        <v>15</v>
      </c>
      <c r="W92" s="176" t="s">
        <v>1319</v>
      </c>
      <c r="X92" s="571"/>
      <c r="Y92" s="144" t="s">
        <v>1324</v>
      </c>
      <c r="Z92" s="144" t="s">
        <v>272</v>
      </c>
      <c r="AA92" s="144" t="s">
        <v>1227</v>
      </c>
      <c r="AB92" s="152"/>
      <c r="AC92" s="152"/>
      <c r="AD92" s="471" t="s">
        <v>1335</v>
      </c>
      <c r="AE92" s="104"/>
      <c r="AF92" s="44"/>
      <c r="AG92" s="44"/>
      <c r="AH92" s="44"/>
      <c r="AI92" s="44"/>
    </row>
    <row r="93" spans="1:35" s="107" customFormat="1" ht="29.1">
      <c r="A93" s="516" t="s">
        <v>1348</v>
      </c>
      <c r="B93" s="516" t="s">
        <v>1320</v>
      </c>
      <c r="C93" s="108"/>
      <c r="D93" s="108"/>
      <c r="E93" s="594"/>
      <c r="F93" s="176">
        <v>50</v>
      </c>
      <c r="G93" s="176">
        <v>850</v>
      </c>
      <c r="H93" s="581" t="s">
        <v>1318</v>
      </c>
      <c r="I93" s="144">
        <v>70</v>
      </c>
      <c r="J93" s="146">
        <v>10</v>
      </c>
      <c r="K93" s="146">
        <v>140</v>
      </c>
      <c r="L93" s="146"/>
      <c r="M93" s="147" t="s">
        <v>1236</v>
      </c>
      <c r="N93" s="339">
        <v>300</v>
      </c>
      <c r="O93" s="148" t="s">
        <v>1237</v>
      </c>
      <c r="P93" s="354">
        <v>2</v>
      </c>
      <c r="Q93" s="469">
        <v>0.2</v>
      </c>
      <c r="R93" s="150" t="s">
        <v>1238</v>
      </c>
      <c r="S93" s="162">
        <v>0</v>
      </c>
      <c r="T93" s="144">
        <v>10</v>
      </c>
      <c r="U93" s="352">
        <v>2.5</v>
      </c>
      <c r="V93" s="176">
        <v>15</v>
      </c>
      <c r="W93" s="176" t="s">
        <v>1319</v>
      </c>
      <c r="X93" s="571"/>
      <c r="Y93" s="144" t="s">
        <v>1324</v>
      </c>
      <c r="Z93" s="144" t="s">
        <v>272</v>
      </c>
      <c r="AA93" s="144" t="s">
        <v>1227</v>
      </c>
      <c r="AB93" s="152"/>
      <c r="AC93" s="152"/>
      <c r="AD93" s="471" t="s">
        <v>1335</v>
      </c>
      <c r="AE93" s="104"/>
      <c r="AF93" s="44"/>
      <c r="AG93" s="44"/>
      <c r="AH93" s="44"/>
      <c r="AI93" s="44"/>
    </row>
    <row r="94" spans="1:35" s="107" customFormat="1" ht="29.1">
      <c r="A94" s="516" t="s">
        <v>1349</v>
      </c>
      <c r="B94" s="516" t="s">
        <v>1316</v>
      </c>
      <c r="C94" s="108">
        <v>46220</v>
      </c>
      <c r="D94" s="108" t="s">
        <v>209</v>
      </c>
      <c r="E94" s="594" t="s">
        <v>1322</v>
      </c>
      <c r="F94" s="176">
        <v>50</v>
      </c>
      <c r="G94" s="176">
        <v>850</v>
      </c>
      <c r="H94" s="176" t="s">
        <v>1318</v>
      </c>
      <c r="I94" s="176">
        <v>70</v>
      </c>
      <c r="J94" s="146">
        <v>10</v>
      </c>
      <c r="K94" s="145">
        <v>140</v>
      </c>
      <c r="L94" s="220">
        <v>30</v>
      </c>
      <c r="M94" s="147" t="s">
        <v>1350</v>
      </c>
      <c r="N94" s="339">
        <v>300</v>
      </c>
      <c r="O94" s="148" t="s">
        <v>1237</v>
      </c>
      <c r="P94" s="354">
        <v>2.5</v>
      </c>
      <c r="Q94" s="469">
        <v>0.2</v>
      </c>
      <c r="R94" s="150" t="s">
        <v>1238</v>
      </c>
      <c r="S94" s="162">
        <v>0</v>
      </c>
      <c r="T94" s="144">
        <v>10</v>
      </c>
      <c r="U94" s="176">
        <v>2.5</v>
      </c>
      <c r="V94" s="176">
        <v>15</v>
      </c>
      <c r="W94" s="172" t="s">
        <v>1351</v>
      </c>
      <c r="X94" s="335"/>
      <c r="Y94" s="144" t="s">
        <v>1324</v>
      </c>
      <c r="Z94" s="144" t="s">
        <v>272</v>
      </c>
      <c r="AA94" s="144" t="s">
        <v>1227</v>
      </c>
      <c r="AB94" s="152"/>
      <c r="AC94" s="152"/>
      <c r="AD94" s="471" t="s">
        <v>1352</v>
      </c>
      <c r="AE94" s="104"/>
      <c r="AF94" s="44" t="s">
        <v>1263</v>
      </c>
      <c r="AG94" s="44"/>
      <c r="AH94" s="44"/>
      <c r="AI94" s="44"/>
    </row>
    <row r="95" spans="1:35" s="107" customFormat="1" ht="29.1">
      <c r="A95" s="516" t="s">
        <v>1353</v>
      </c>
      <c r="B95" s="516" t="s">
        <v>1316</v>
      </c>
      <c r="C95" s="108">
        <v>46221</v>
      </c>
      <c r="D95" s="108" t="s">
        <v>209</v>
      </c>
      <c r="E95" s="594" t="s">
        <v>1354</v>
      </c>
      <c r="F95" s="176">
        <v>50</v>
      </c>
      <c r="G95" s="176">
        <v>850</v>
      </c>
      <c r="H95" s="176" t="s">
        <v>1318</v>
      </c>
      <c r="I95" s="176">
        <v>70</v>
      </c>
      <c r="J95" s="146">
        <v>10</v>
      </c>
      <c r="K95" s="145">
        <v>140</v>
      </c>
      <c r="L95" s="220">
        <v>40</v>
      </c>
      <c r="M95" s="147" t="s">
        <v>1350</v>
      </c>
      <c r="N95" s="339">
        <v>300</v>
      </c>
      <c r="O95" s="148" t="s">
        <v>1237</v>
      </c>
      <c r="P95" s="354">
        <v>2.5</v>
      </c>
      <c r="Q95" s="469">
        <v>0.2</v>
      </c>
      <c r="R95" s="150" t="s">
        <v>1238</v>
      </c>
      <c r="S95" s="162">
        <v>0</v>
      </c>
      <c r="T95" s="144">
        <v>10</v>
      </c>
      <c r="U95" s="176">
        <v>2.5</v>
      </c>
      <c r="V95" s="176">
        <v>15</v>
      </c>
      <c r="W95" s="176" t="s">
        <v>1351</v>
      </c>
      <c r="X95" s="335"/>
      <c r="Y95" s="144" t="s">
        <v>1324</v>
      </c>
      <c r="Z95" s="144" t="s">
        <v>272</v>
      </c>
      <c r="AA95" s="144" t="s">
        <v>1227</v>
      </c>
      <c r="AB95" s="152"/>
      <c r="AC95" s="152"/>
      <c r="AD95" s="471" t="s">
        <v>1352</v>
      </c>
      <c r="AE95" s="104"/>
      <c r="AF95" s="44" t="s">
        <v>1263</v>
      </c>
      <c r="AG95" s="44"/>
      <c r="AH95" s="44"/>
      <c r="AI95" s="44"/>
    </row>
    <row r="96" spans="1:35" s="107" customFormat="1" ht="29.1">
      <c r="A96" s="516" t="s">
        <v>1355</v>
      </c>
      <c r="B96" s="516" t="s">
        <v>1316</v>
      </c>
      <c r="C96" s="108">
        <v>46221</v>
      </c>
      <c r="D96" s="108" t="s">
        <v>209</v>
      </c>
      <c r="E96" s="594" t="s">
        <v>1356</v>
      </c>
      <c r="F96" s="176">
        <v>50</v>
      </c>
      <c r="G96" s="176">
        <v>850</v>
      </c>
      <c r="H96" s="176" t="s">
        <v>1318</v>
      </c>
      <c r="I96" s="176">
        <v>70</v>
      </c>
      <c r="J96" s="146">
        <v>10</v>
      </c>
      <c r="K96" s="145">
        <v>140</v>
      </c>
      <c r="L96" s="220">
        <v>50</v>
      </c>
      <c r="M96" s="147" t="s">
        <v>1350</v>
      </c>
      <c r="N96" s="339">
        <v>300</v>
      </c>
      <c r="O96" s="148" t="s">
        <v>1237</v>
      </c>
      <c r="P96" s="354">
        <v>2.5</v>
      </c>
      <c r="Q96" s="469">
        <v>0.2</v>
      </c>
      <c r="R96" s="150" t="s">
        <v>1238</v>
      </c>
      <c r="S96" s="162">
        <v>0</v>
      </c>
      <c r="T96" s="144">
        <v>10</v>
      </c>
      <c r="U96" s="176">
        <v>2.5</v>
      </c>
      <c r="V96" s="176">
        <v>15</v>
      </c>
      <c r="W96" s="176" t="s">
        <v>1351</v>
      </c>
      <c r="X96" s="335"/>
      <c r="Y96" s="144" t="s">
        <v>1324</v>
      </c>
      <c r="Z96" s="144" t="s">
        <v>272</v>
      </c>
      <c r="AA96" s="144" t="s">
        <v>1227</v>
      </c>
      <c r="AB96" s="152"/>
      <c r="AC96" s="152"/>
      <c r="AD96" s="471" t="s">
        <v>1352</v>
      </c>
      <c r="AE96" s="104"/>
      <c r="AF96" s="44" t="s">
        <v>1263</v>
      </c>
      <c r="AG96" s="44"/>
      <c r="AH96" s="44"/>
      <c r="AI96" s="44"/>
    </row>
    <row r="97" spans="1:35" s="107" customFormat="1" ht="29.1">
      <c r="A97" s="597" t="s">
        <v>1357</v>
      </c>
      <c r="B97" s="516" t="s">
        <v>1355</v>
      </c>
      <c r="C97" s="108">
        <v>46221</v>
      </c>
      <c r="D97" s="108" t="s">
        <v>209</v>
      </c>
      <c r="E97" s="594" t="s">
        <v>1358</v>
      </c>
      <c r="F97" s="172">
        <v>60</v>
      </c>
      <c r="G97" s="176">
        <v>850</v>
      </c>
      <c r="H97" s="176" t="s">
        <v>1318</v>
      </c>
      <c r="I97" s="176">
        <v>70</v>
      </c>
      <c r="J97" s="146">
        <v>10</v>
      </c>
      <c r="K97" s="145">
        <v>140</v>
      </c>
      <c r="L97" s="145">
        <v>50</v>
      </c>
      <c r="M97" s="147" t="s">
        <v>1350</v>
      </c>
      <c r="N97" s="339">
        <v>300</v>
      </c>
      <c r="O97" s="148" t="s">
        <v>1237</v>
      </c>
      <c r="P97" s="354">
        <v>2.5</v>
      </c>
      <c r="Q97" s="469">
        <v>0.2</v>
      </c>
      <c r="R97" s="150" t="s">
        <v>1238</v>
      </c>
      <c r="S97" s="162">
        <v>0</v>
      </c>
      <c r="T97" s="144">
        <v>10</v>
      </c>
      <c r="U97" s="176">
        <v>2.5</v>
      </c>
      <c r="V97" s="176">
        <v>15</v>
      </c>
      <c r="W97" s="176" t="s">
        <v>1351</v>
      </c>
      <c r="X97" s="335"/>
      <c r="Y97" s="144" t="s">
        <v>1324</v>
      </c>
      <c r="Z97" s="144" t="s">
        <v>272</v>
      </c>
      <c r="AA97" s="144" t="s">
        <v>1227</v>
      </c>
      <c r="AB97" s="152"/>
      <c r="AC97" s="152"/>
      <c r="AD97" s="471" t="s">
        <v>1352</v>
      </c>
      <c r="AE97" s="104"/>
      <c r="AF97" s="228" t="s">
        <v>1258</v>
      </c>
      <c r="AG97" s="44">
        <v>0.14399999999999999</v>
      </c>
      <c r="AH97" s="44">
        <v>3.19</v>
      </c>
      <c r="AI97" s="44"/>
    </row>
    <row r="98" spans="1:35" s="107" customFormat="1" ht="29.1">
      <c r="A98" s="516" t="s">
        <v>1359</v>
      </c>
      <c r="B98" s="516" t="s">
        <v>1357</v>
      </c>
      <c r="C98" s="108">
        <v>46222</v>
      </c>
      <c r="D98" s="108" t="s">
        <v>209</v>
      </c>
      <c r="E98" s="594" t="s">
        <v>1360</v>
      </c>
      <c r="F98" s="172">
        <v>60</v>
      </c>
      <c r="G98" s="176">
        <v>850</v>
      </c>
      <c r="H98" s="176" t="s">
        <v>1318</v>
      </c>
      <c r="I98" s="176">
        <v>70</v>
      </c>
      <c r="J98" s="146">
        <v>10</v>
      </c>
      <c r="K98" s="145">
        <v>140</v>
      </c>
      <c r="L98" s="145">
        <v>50</v>
      </c>
      <c r="M98" s="147" t="s">
        <v>1350</v>
      </c>
      <c r="N98" s="339">
        <v>300</v>
      </c>
      <c r="O98" s="148" t="s">
        <v>1237</v>
      </c>
      <c r="P98" s="354">
        <v>2.5</v>
      </c>
      <c r="Q98" s="469">
        <v>0.2</v>
      </c>
      <c r="R98" s="150" t="s">
        <v>1238</v>
      </c>
      <c r="S98" s="162">
        <v>0</v>
      </c>
      <c r="T98" s="144">
        <v>10</v>
      </c>
      <c r="U98" s="176">
        <v>2.5</v>
      </c>
      <c r="V98" s="172">
        <v>18</v>
      </c>
      <c r="W98" s="176" t="s">
        <v>1351</v>
      </c>
      <c r="X98" s="335"/>
      <c r="Y98" s="144" t="s">
        <v>1324</v>
      </c>
      <c r="Z98" s="144" t="s">
        <v>272</v>
      </c>
      <c r="AA98" s="144" t="s">
        <v>1227</v>
      </c>
      <c r="AB98" s="152"/>
      <c r="AC98" s="152"/>
      <c r="AD98" s="471" t="s">
        <v>1352</v>
      </c>
      <c r="AE98" s="104"/>
      <c r="AF98" s="228" t="s">
        <v>1258</v>
      </c>
      <c r="AG98" s="44">
        <v>0.217</v>
      </c>
      <c r="AH98" s="44">
        <v>4.83</v>
      </c>
      <c r="AI98" s="44"/>
    </row>
    <row r="99" spans="1:35" s="107" customFormat="1" ht="29.1">
      <c r="A99" s="516" t="s">
        <v>1361</v>
      </c>
      <c r="B99" s="516" t="s">
        <v>1357</v>
      </c>
      <c r="C99" s="108">
        <v>46222</v>
      </c>
      <c r="D99" s="108" t="s">
        <v>209</v>
      </c>
      <c r="E99" s="594" t="s">
        <v>1362</v>
      </c>
      <c r="F99" s="172">
        <v>65</v>
      </c>
      <c r="G99" s="176">
        <v>850</v>
      </c>
      <c r="H99" s="598" t="s">
        <v>1318</v>
      </c>
      <c r="I99" s="176">
        <v>70</v>
      </c>
      <c r="J99" s="146">
        <v>10</v>
      </c>
      <c r="K99" s="145">
        <v>140</v>
      </c>
      <c r="L99" s="145">
        <v>50</v>
      </c>
      <c r="M99" s="147" t="s">
        <v>1350</v>
      </c>
      <c r="N99" s="339">
        <v>300</v>
      </c>
      <c r="O99" s="148" t="s">
        <v>1237</v>
      </c>
      <c r="P99" s="354">
        <v>2.5</v>
      </c>
      <c r="Q99" s="469">
        <v>0.2</v>
      </c>
      <c r="R99" s="150" t="s">
        <v>1238</v>
      </c>
      <c r="S99" s="162">
        <v>0</v>
      </c>
      <c r="T99" s="144">
        <v>10</v>
      </c>
      <c r="U99" s="176">
        <v>2.5</v>
      </c>
      <c r="V99" s="176">
        <v>15</v>
      </c>
      <c r="W99" s="176" t="s">
        <v>1351</v>
      </c>
      <c r="X99" s="335"/>
      <c r="Y99" s="144" t="s">
        <v>1324</v>
      </c>
      <c r="Z99" s="144" t="s">
        <v>272</v>
      </c>
      <c r="AA99" s="144" t="s">
        <v>1227</v>
      </c>
      <c r="AB99" s="152"/>
      <c r="AC99" s="152"/>
      <c r="AD99" s="471" t="s">
        <v>1352</v>
      </c>
      <c r="AE99" s="104"/>
      <c r="AF99" s="228" t="s">
        <v>1258</v>
      </c>
      <c r="AG99" s="44">
        <v>0.14299999999999999</v>
      </c>
      <c r="AH99" s="44">
        <v>3.11</v>
      </c>
      <c r="AI99" s="44"/>
    </row>
    <row r="100" spans="1:35" s="107" customFormat="1" ht="29.1">
      <c r="A100" s="516" t="s">
        <v>1363</v>
      </c>
      <c r="B100" s="516" t="s">
        <v>1357</v>
      </c>
      <c r="C100" s="108">
        <v>46222</v>
      </c>
      <c r="D100" s="108" t="s">
        <v>209</v>
      </c>
      <c r="E100" s="594" t="s">
        <v>1364</v>
      </c>
      <c r="F100" s="176">
        <v>60</v>
      </c>
      <c r="G100" s="176">
        <v>850</v>
      </c>
      <c r="H100" s="598" t="s">
        <v>1256</v>
      </c>
      <c r="I100" s="176">
        <v>70</v>
      </c>
      <c r="J100" s="146">
        <v>10</v>
      </c>
      <c r="K100" s="145">
        <v>140</v>
      </c>
      <c r="L100" s="145">
        <v>50</v>
      </c>
      <c r="M100" s="600" t="s">
        <v>1236</v>
      </c>
      <c r="N100" s="339">
        <v>300</v>
      </c>
      <c r="O100" s="148" t="s">
        <v>1237</v>
      </c>
      <c r="P100" s="354">
        <v>2.5</v>
      </c>
      <c r="Q100" s="469">
        <v>0.2</v>
      </c>
      <c r="R100" s="150" t="s">
        <v>1238</v>
      </c>
      <c r="S100" s="162">
        <v>0</v>
      </c>
      <c r="T100" s="144">
        <v>10</v>
      </c>
      <c r="U100" s="176">
        <v>2.5</v>
      </c>
      <c r="V100" s="176">
        <v>15</v>
      </c>
      <c r="W100" s="176" t="s">
        <v>1351</v>
      </c>
      <c r="X100" s="335"/>
      <c r="Y100" s="144" t="s">
        <v>1324</v>
      </c>
      <c r="Z100" s="144" t="s">
        <v>272</v>
      </c>
      <c r="AA100" s="144" t="s">
        <v>1227</v>
      </c>
      <c r="AB100" s="152"/>
      <c r="AC100" s="152"/>
      <c r="AD100" s="471" t="s">
        <v>1352</v>
      </c>
      <c r="AE100" s="104"/>
      <c r="AF100" s="228" t="s">
        <v>1263</v>
      </c>
      <c r="AG100" s="44"/>
      <c r="AH100" s="44"/>
      <c r="AI100" s="44"/>
    </row>
    <row r="101" spans="1:35" s="107" customFormat="1" ht="29.1">
      <c r="A101" s="597" t="s">
        <v>1365</v>
      </c>
      <c r="B101" s="516" t="s">
        <v>1357</v>
      </c>
      <c r="C101" s="108">
        <v>46222</v>
      </c>
      <c r="D101" s="108" t="s">
        <v>209</v>
      </c>
      <c r="E101" s="594" t="s">
        <v>1366</v>
      </c>
      <c r="F101" s="176">
        <v>60</v>
      </c>
      <c r="G101" s="176">
        <v>850</v>
      </c>
      <c r="H101" s="176" t="s">
        <v>1318</v>
      </c>
      <c r="I101" s="176">
        <v>70</v>
      </c>
      <c r="J101" s="146">
        <v>10</v>
      </c>
      <c r="K101" s="145">
        <v>140</v>
      </c>
      <c r="L101" s="145">
        <v>50</v>
      </c>
      <c r="M101" s="147" t="s">
        <v>1350</v>
      </c>
      <c r="N101" s="339">
        <v>300</v>
      </c>
      <c r="O101" s="148" t="s">
        <v>1237</v>
      </c>
      <c r="P101" s="249">
        <v>3</v>
      </c>
      <c r="Q101" s="469">
        <v>0.2</v>
      </c>
      <c r="R101" s="150" t="s">
        <v>1238</v>
      </c>
      <c r="S101" s="162">
        <v>0</v>
      </c>
      <c r="T101" s="144">
        <v>10</v>
      </c>
      <c r="U101" s="176">
        <v>2.5</v>
      </c>
      <c r="V101" s="176">
        <v>15</v>
      </c>
      <c r="W101" s="176" t="s">
        <v>1351</v>
      </c>
      <c r="X101" s="335"/>
      <c r="Y101" s="144" t="s">
        <v>1324</v>
      </c>
      <c r="Z101" s="144" t="s">
        <v>272</v>
      </c>
      <c r="AA101" s="144" t="s">
        <v>1227</v>
      </c>
      <c r="AB101" s="152"/>
      <c r="AC101" s="152"/>
      <c r="AD101" s="471" t="s">
        <v>1352</v>
      </c>
      <c r="AE101" s="104"/>
      <c r="AF101" s="44" t="s">
        <v>1258</v>
      </c>
      <c r="AG101" s="44"/>
      <c r="AH101" s="44"/>
      <c r="AI101" s="44"/>
    </row>
    <row r="102" spans="1:35" s="107" customFormat="1" ht="22.5" customHeight="1">
      <c r="A102" s="516" t="s">
        <v>1367</v>
      </c>
      <c r="B102" s="516" t="s">
        <v>1365</v>
      </c>
      <c r="C102" s="108">
        <v>46222</v>
      </c>
      <c r="D102" t="s">
        <v>1368</v>
      </c>
      <c r="E102" s="594" t="s">
        <v>1369</v>
      </c>
      <c r="F102" s="176">
        <v>60</v>
      </c>
      <c r="G102" s="176">
        <v>850</v>
      </c>
      <c r="H102" s="176" t="s">
        <v>1318</v>
      </c>
      <c r="I102" s="176">
        <v>70</v>
      </c>
      <c r="J102" s="146">
        <v>10</v>
      </c>
      <c r="K102" s="145">
        <v>140</v>
      </c>
      <c r="L102" s="145">
        <v>50</v>
      </c>
      <c r="M102" s="147" t="s">
        <v>1350</v>
      </c>
      <c r="N102" s="339">
        <v>300</v>
      </c>
      <c r="O102" s="148" t="s">
        <v>1237</v>
      </c>
      <c r="P102" s="249">
        <v>3.5</v>
      </c>
      <c r="Q102" s="469">
        <v>0.2</v>
      </c>
      <c r="R102" s="150" t="s">
        <v>1238</v>
      </c>
      <c r="S102" s="162">
        <v>0</v>
      </c>
      <c r="T102" s="144">
        <v>10</v>
      </c>
      <c r="U102" s="176">
        <v>2.5</v>
      </c>
      <c r="V102" s="176">
        <v>15</v>
      </c>
      <c r="W102" s="176" t="s">
        <v>1351</v>
      </c>
      <c r="X102" s="335"/>
      <c r="Y102" s="144" t="s">
        <v>1324</v>
      </c>
      <c r="Z102" s="144" t="s">
        <v>272</v>
      </c>
      <c r="AA102" s="144" t="s">
        <v>1227</v>
      </c>
      <c r="AB102" s="152"/>
      <c r="AC102" s="152"/>
      <c r="AD102" s="471" t="s">
        <v>1352</v>
      </c>
      <c r="AE102" s="86" t="s">
        <v>1370</v>
      </c>
      <c r="AF102" s="44" t="s">
        <v>1263</v>
      </c>
      <c r="AG102" s="44"/>
      <c r="AH102" s="44"/>
      <c r="AI102" s="44"/>
    </row>
    <row r="103" spans="1:35" s="107" customFormat="1" ht="57.95">
      <c r="A103" s="516" t="s">
        <v>1371</v>
      </c>
      <c r="B103" s="516" t="s">
        <v>1365</v>
      </c>
      <c r="C103" s="108">
        <v>46222</v>
      </c>
      <c r="D103" s="108" t="s">
        <v>1368</v>
      </c>
      <c r="E103" s="594" t="s">
        <v>1372</v>
      </c>
      <c r="F103" s="176">
        <v>60</v>
      </c>
      <c r="G103" s="176">
        <v>850</v>
      </c>
      <c r="H103" s="176" t="s">
        <v>1318</v>
      </c>
      <c r="I103" s="176">
        <v>70</v>
      </c>
      <c r="J103" s="146">
        <v>10</v>
      </c>
      <c r="K103" s="145">
        <v>140</v>
      </c>
      <c r="L103" s="145">
        <v>50</v>
      </c>
      <c r="M103" s="147" t="s">
        <v>1350</v>
      </c>
      <c r="N103" s="339">
        <v>300</v>
      </c>
      <c r="O103" s="148" t="s">
        <v>1237</v>
      </c>
      <c r="P103" s="249">
        <v>3.3</v>
      </c>
      <c r="Q103" s="469">
        <v>0.2</v>
      </c>
      <c r="R103" s="150" t="s">
        <v>1238</v>
      </c>
      <c r="S103" s="162">
        <v>0</v>
      </c>
      <c r="T103" s="144">
        <v>10</v>
      </c>
      <c r="U103" s="176">
        <v>2.5</v>
      </c>
      <c r="V103" s="176">
        <v>15</v>
      </c>
      <c r="W103" s="176" t="s">
        <v>1351</v>
      </c>
      <c r="X103" s="335"/>
      <c r="Y103" s="144" t="s">
        <v>1324</v>
      </c>
      <c r="Z103" s="144" t="s">
        <v>272</v>
      </c>
      <c r="AA103" s="144" t="s">
        <v>1227</v>
      </c>
      <c r="AB103" s="152"/>
      <c r="AC103" s="152"/>
      <c r="AD103" s="471" t="s">
        <v>1352</v>
      </c>
      <c r="AE103" s="596" t="s">
        <v>1370</v>
      </c>
      <c r="AF103" s="44" t="s">
        <v>272</v>
      </c>
      <c r="AG103" s="44"/>
      <c r="AH103" s="44"/>
      <c r="AI103" s="44"/>
    </row>
    <row r="104" spans="1:35" s="107" customFormat="1" ht="58.5">
      <c r="A104" s="516" t="s">
        <v>1373</v>
      </c>
      <c r="B104" s="516" t="s">
        <v>1365</v>
      </c>
      <c r="C104" s="108">
        <v>46222</v>
      </c>
      <c r="D104" s="108" t="s">
        <v>1368</v>
      </c>
      <c r="E104" s="594" t="s">
        <v>1374</v>
      </c>
      <c r="F104" s="176">
        <v>60</v>
      </c>
      <c r="G104" s="176">
        <v>850</v>
      </c>
      <c r="H104" s="176" t="s">
        <v>1318</v>
      </c>
      <c r="I104" s="176">
        <v>70</v>
      </c>
      <c r="J104" s="146">
        <v>10</v>
      </c>
      <c r="K104" s="220">
        <v>130</v>
      </c>
      <c r="L104" s="145">
        <v>50</v>
      </c>
      <c r="M104" s="147" t="s">
        <v>1350</v>
      </c>
      <c r="N104" s="339">
        <v>300</v>
      </c>
      <c r="O104" s="148" t="s">
        <v>1237</v>
      </c>
      <c r="P104" s="354">
        <v>3</v>
      </c>
      <c r="Q104" s="469">
        <v>0.2</v>
      </c>
      <c r="R104" s="150" t="s">
        <v>1238</v>
      </c>
      <c r="S104" s="162">
        <v>0</v>
      </c>
      <c r="T104" s="144">
        <v>10</v>
      </c>
      <c r="U104" s="176">
        <v>2.5</v>
      </c>
      <c r="V104" s="176">
        <v>15</v>
      </c>
      <c r="W104" s="176" t="s">
        <v>1351</v>
      </c>
      <c r="X104" s="335"/>
      <c r="Y104" s="144" t="s">
        <v>1324</v>
      </c>
      <c r="Z104" s="144" t="s">
        <v>272</v>
      </c>
      <c r="AA104" s="144" t="s">
        <v>1227</v>
      </c>
      <c r="AB104" s="152"/>
      <c r="AC104" s="152"/>
      <c r="AD104" s="471" t="s">
        <v>1352</v>
      </c>
      <c r="AE104" s="596" t="s">
        <v>1370</v>
      </c>
      <c r="AF104" t="s">
        <v>272</v>
      </c>
      <c r="AG104" s="44"/>
      <c r="AH104" s="44"/>
      <c r="AI104" s="44"/>
    </row>
    <row r="105" spans="1:35" s="107" customFormat="1" ht="57.95">
      <c r="A105" s="516" t="s">
        <v>1375</v>
      </c>
      <c r="B105" s="516" t="s">
        <v>1365</v>
      </c>
      <c r="C105" s="108">
        <v>46222</v>
      </c>
      <c r="D105" s="108" t="s">
        <v>1368</v>
      </c>
      <c r="E105" s="594" t="s">
        <v>1376</v>
      </c>
      <c r="F105" s="176">
        <v>60</v>
      </c>
      <c r="G105" s="176">
        <v>850</v>
      </c>
      <c r="H105" s="176" t="s">
        <v>1318</v>
      </c>
      <c r="I105" s="176">
        <v>70</v>
      </c>
      <c r="J105" s="146">
        <v>10</v>
      </c>
      <c r="K105" s="145">
        <v>140</v>
      </c>
      <c r="L105" s="145">
        <v>50</v>
      </c>
      <c r="M105" s="147" t="s">
        <v>1350</v>
      </c>
      <c r="N105" s="339">
        <v>300</v>
      </c>
      <c r="O105" s="148" t="s">
        <v>1237</v>
      </c>
      <c r="P105" s="354">
        <v>3</v>
      </c>
      <c r="Q105" s="469">
        <v>0.2</v>
      </c>
      <c r="R105" s="150" t="s">
        <v>1238</v>
      </c>
      <c r="S105" s="162">
        <v>0</v>
      </c>
      <c r="T105" s="144">
        <v>10</v>
      </c>
      <c r="U105" s="172" t="s">
        <v>1377</v>
      </c>
      <c r="V105" s="176">
        <v>15</v>
      </c>
      <c r="W105" s="176" t="s">
        <v>1351</v>
      </c>
      <c r="X105" s="335"/>
      <c r="Y105" s="144" t="s">
        <v>1324</v>
      </c>
      <c r="Z105" s="144" t="s">
        <v>272</v>
      </c>
      <c r="AA105" s="144" t="s">
        <v>1227</v>
      </c>
      <c r="AB105" s="152"/>
      <c r="AC105" s="152"/>
      <c r="AD105" s="471" t="s">
        <v>1352</v>
      </c>
      <c r="AE105" s="596" t="s">
        <v>1370</v>
      </c>
      <c r="AF105" s="44" t="s">
        <v>272</v>
      </c>
      <c r="AG105" s="44"/>
      <c r="AH105" s="44"/>
      <c r="AI105" s="44"/>
    </row>
    <row r="106" spans="1:35" s="107" customFormat="1" ht="58.5">
      <c r="A106" s="516" t="s">
        <v>1378</v>
      </c>
      <c r="B106" s="516" t="s">
        <v>1365</v>
      </c>
      <c r="C106" s="108">
        <v>46224</v>
      </c>
      <c r="D106" s="108" t="s">
        <v>209</v>
      </c>
      <c r="E106" s="594" t="s">
        <v>1369</v>
      </c>
      <c r="F106" s="176">
        <v>60</v>
      </c>
      <c r="G106" s="176">
        <v>850</v>
      </c>
      <c r="H106" s="176" t="s">
        <v>1318</v>
      </c>
      <c r="I106" s="176">
        <v>70</v>
      </c>
      <c r="J106" s="146">
        <v>10</v>
      </c>
      <c r="K106" s="145">
        <v>140</v>
      </c>
      <c r="L106" s="145">
        <v>50</v>
      </c>
      <c r="M106" s="147" t="s">
        <v>1350</v>
      </c>
      <c r="N106" s="339">
        <v>300</v>
      </c>
      <c r="O106" s="148" t="s">
        <v>1237</v>
      </c>
      <c r="P106" s="249">
        <v>3.5</v>
      </c>
      <c r="Q106" s="469">
        <v>0.2</v>
      </c>
      <c r="R106" s="150" t="s">
        <v>1238</v>
      </c>
      <c r="S106" s="162">
        <v>0</v>
      </c>
      <c r="T106" s="144">
        <v>10</v>
      </c>
      <c r="U106" s="176">
        <v>2.5</v>
      </c>
      <c r="V106" s="176">
        <v>15</v>
      </c>
      <c r="W106" s="176" t="s">
        <v>1351</v>
      </c>
      <c r="X106" s="335"/>
      <c r="Y106" s="144" t="s">
        <v>1324</v>
      </c>
      <c r="Z106" s="144" t="s">
        <v>272</v>
      </c>
      <c r="AA106" s="144" t="s">
        <v>1227</v>
      </c>
      <c r="AB106" s="152"/>
      <c r="AC106" s="152"/>
      <c r="AD106" s="471" t="s">
        <v>1352</v>
      </c>
      <c r="AE106" s="596" t="s">
        <v>1370</v>
      </c>
      <c r="AF106" t="s">
        <v>1379</v>
      </c>
      <c r="AG106" s="44">
        <v>0.11799999999999999</v>
      </c>
      <c r="AH106" s="44">
        <v>2.4700000000000002</v>
      </c>
      <c r="AI106" s="44"/>
    </row>
    <row r="107" spans="1:35" s="107" customFormat="1" ht="29.1">
      <c r="A107" s="516" t="s">
        <v>1380</v>
      </c>
      <c r="B107" s="516" t="s">
        <v>1365</v>
      </c>
      <c r="C107" s="108">
        <v>46224</v>
      </c>
      <c r="D107" s="108" t="s">
        <v>209</v>
      </c>
      <c r="E107" s="594" t="s">
        <v>1381</v>
      </c>
      <c r="F107" s="176">
        <v>60</v>
      </c>
      <c r="G107" s="176">
        <v>850</v>
      </c>
      <c r="H107" s="176" t="s">
        <v>1318</v>
      </c>
      <c r="I107" s="176">
        <v>70</v>
      </c>
      <c r="J107" s="146">
        <v>10</v>
      </c>
      <c r="K107" s="145">
        <v>140</v>
      </c>
      <c r="L107" s="145">
        <v>50</v>
      </c>
      <c r="M107" s="147" t="s">
        <v>1350</v>
      </c>
      <c r="N107" s="339">
        <v>300</v>
      </c>
      <c r="O107" s="148" t="s">
        <v>1237</v>
      </c>
      <c r="P107" s="354">
        <v>3</v>
      </c>
      <c r="Q107" s="469">
        <v>0.2</v>
      </c>
      <c r="R107" s="150" t="s">
        <v>1238</v>
      </c>
      <c r="S107" s="162">
        <v>0</v>
      </c>
      <c r="T107" s="144">
        <v>10</v>
      </c>
      <c r="U107" s="176">
        <v>2.5</v>
      </c>
      <c r="V107" s="176">
        <v>15</v>
      </c>
      <c r="W107" s="176" t="s">
        <v>1351</v>
      </c>
      <c r="X107" s="335"/>
      <c r="Y107" s="144" t="s">
        <v>1324</v>
      </c>
      <c r="Z107" s="144" t="s">
        <v>272</v>
      </c>
      <c r="AA107" s="144" t="s">
        <v>1227</v>
      </c>
      <c r="AB107" s="152"/>
      <c r="AC107" s="152"/>
      <c r="AD107" s="570" t="s">
        <v>1382</v>
      </c>
      <c r="AE107" s="596"/>
      <c r="AF107" s="19" t="s">
        <v>1258</v>
      </c>
      <c r="AG107" s="44">
        <v>0.14000000000000001</v>
      </c>
      <c r="AH107" s="44">
        <v>2.72</v>
      </c>
      <c r="AI107" s="44"/>
    </row>
    <row r="108" spans="1:35" s="107" customFormat="1" ht="29.1">
      <c r="A108" s="516" t="s">
        <v>1383</v>
      </c>
      <c r="B108" s="516" t="s">
        <v>1365</v>
      </c>
      <c r="C108" s="108">
        <v>46225</v>
      </c>
      <c r="D108" s="108" t="s">
        <v>1368</v>
      </c>
      <c r="E108" s="594" t="s">
        <v>1376</v>
      </c>
      <c r="F108" s="176">
        <v>60</v>
      </c>
      <c r="G108" s="176">
        <v>850</v>
      </c>
      <c r="H108" s="176" t="s">
        <v>1318</v>
      </c>
      <c r="I108" s="176">
        <v>70</v>
      </c>
      <c r="J108" s="146">
        <v>10</v>
      </c>
      <c r="K108" s="145">
        <v>140</v>
      </c>
      <c r="L108" s="145">
        <v>50</v>
      </c>
      <c r="M108" s="147" t="s">
        <v>1350</v>
      </c>
      <c r="N108" s="339">
        <v>300</v>
      </c>
      <c r="O108" s="148" t="s">
        <v>1237</v>
      </c>
      <c r="P108" s="354">
        <v>3</v>
      </c>
      <c r="Q108" s="469">
        <v>0.2</v>
      </c>
      <c r="R108" s="150" t="s">
        <v>1238</v>
      </c>
      <c r="S108" s="162">
        <v>0</v>
      </c>
      <c r="T108" s="144">
        <v>10</v>
      </c>
      <c r="U108" s="172" t="s">
        <v>1377</v>
      </c>
      <c r="V108" s="176">
        <v>15</v>
      </c>
      <c r="W108" s="176" t="s">
        <v>1351</v>
      </c>
      <c r="X108" s="335"/>
      <c r="Y108" s="144" t="s">
        <v>1324</v>
      </c>
      <c r="Z108" s="144" t="s">
        <v>272</v>
      </c>
      <c r="AA108" s="144" t="s">
        <v>1227</v>
      </c>
      <c r="AB108" s="152"/>
      <c r="AC108" s="152"/>
      <c r="AD108" s="471" t="s">
        <v>1352</v>
      </c>
      <c r="AE108" s="596"/>
      <c r="AF108" s="44"/>
      <c r="AG108" s="44"/>
      <c r="AH108" s="44"/>
      <c r="AI108" s="44"/>
    </row>
    <row r="109" spans="1:35" s="107" customFormat="1" ht="29.1">
      <c r="A109" s="516" t="s">
        <v>1384</v>
      </c>
      <c r="B109" s="516" t="s">
        <v>1365</v>
      </c>
      <c r="C109" s="108">
        <v>46225</v>
      </c>
      <c r="D109" s="108" t="s">
        <v>1368</v>
      </c>
      <c r="E109" s="594" t="s">
        <v>1385</v>
      </c>
      <c r="F109" s="176">
        <v>60</v>
      </c>
      <c r="G109" s="176">
        <v>850</v>
      </c>
      <c r="H109" s="176" t="s">
        <v>1318</v>
      </c>
      <c r="I109" s="176">
        <v>70</v>
      </c>
      <c r="J109" s="146">
        <v>10</v>
      </c>
      <c r="K109" s="145">
        <v>140</v>
      </c>
      <c r="L109" s="145">
        <v>50</v>
      </c>
      <c r="M109" s="147" t="s">
        <v>1350</v>
      </c>
      <c r="N109" s="339">
        <v>300</v>
      </c>
      <c r="O109" s="148" t="s">
        <v>1237</v>
      </c>
      <c r="P109" s="354">
        <v>3</v>
      </c>
      <c r="Q109" s="469">
        <v>0.2</v>
      </c>
      <c r="R109" s="150" t="s">
        <v>1238</v>
      </c>
      <c r="S109" s="162">
        <v>0</v>
      </c>
      <c r="T109" s="144">
        <v>10</v>
      </c>
      <c r="U109" s="172">
        <v>3</v>
      </c>
      <c r="V109" s="176">
        <v>15</v>
      </c>
      <c r="W109" s="176" t="s">
        <v>1351</v>
      </c>
      <c r="X109" s="335"/>
      <c r="Y109" s="144" t="s">
        <v>1324</v>
      </c>
      <c r="Z109" s="144" t="s">
        <v>272</v>
      </c>
      <c r="AA109" s="144" t="s">
        <v>1227</v>
      </c>
      <c r="AB109" s="152"/>
      <c r="AC109" s="152"/>
      <c r="AD109" s="471" t="s">
        <v>1352</v>
      </c>
      <c r="AE109" s="596"/>
      <c r="AF109" s="44" t="s">
        <v>1258</v>
      </c>
      <c r="AG109" s="44"/>
      <c r="AH109" s="44"/>
      <c r="AI109" s="44"/>
    </row>
    <row r="110" spans="1:35" s="107" customFormat="1" ht="27.75" customHeight="1">
      <c r="A110" s="516" t="s">
        <v>1386</v>
      </c>
      <c r="B110" s="516" t="s">
        <v>1365</v>
      </c>
      <c r="C110" s="108">
        <v>46225</v>
      </c>
      <c r="D110" s="108" t="s">
        <v>1368</v>
      </c>
      <c r="E110" s="594" t="s">
        <v>1387</v>
      </c>
      <c r="F110" s="176">
        <v>60</v>
      </c>
      <c r="G110" s="176">
        <v>850</v>
      </c>
      <c r="H110" s="176" t="s">
        <v>1318</v>
      </c>
      <c r="I110" s="176">
        <v>70</v>
      </c>
      <c r="J110" s="146">
        <v>10</v>
      </c>
      <c r="K110" s="145">
        <v>140</v>
      </c>
      <c r="L110" s="145">
        <v>50</v>
      </c>
      <c r="M110" s="147" t="s">
        <v>1350</v>
      </c>
      <c r="N110" s="339">
        <v>300</v>
      </c>
      <c r="O110" s="148" t="s">
        <v>1237</v>
      </c>
      <c r="P110" s="354">
        <v>3</v>
      </c>
      <c r="Q110" s="469">
        <v>0.2</v>
      </c>
      <c r="R110" s="150" t="s">
        <v>1238</v>
      </c>
      <c r="S110" s="162">
        <v>0</v>
      </c>
      <c r="T110" s="144">
        <v>10</v>
      </c>
      <c r="U110" s="144">
        <v>3</v>
      </c>
      <c r="V110" s="176">
        <v>15</v>
      </c>
      <c r="W110" s="176" t="s">
        <v>1351</v>
      </c>
      <c r="X110" s="335"/>
      <c r="Y110" s="144" t="s">
        <v>1324</v>
      </c>
      <c r="Z110" s="144" t="s">
        <v>272</v>
      </c>
      <c r="AA110" s="144" t="s">
        <v>1227</v>
      </c>
      <c r="AB110" s="152"/>
      <c r="AC110" s="152"/>
      <c r="AD110" s="471" t="s">
        <v>1388</v>
      </c>
      <c r="AE110" s="596"/>
      <c r="AF110" s="44" t="s">
        <v>1258</v>
      </c>
      <c r="AG110" s="44"/>
      <c r="AH110" s="44"/>
      <c r="AI110" s="44"/>
    </row>
    <row r="111" spans="1:35" s="107" customFormat="1" ht="43.5">
      <c r="A111" s="516" t="s">
        <v>1389</v>
      </c>
      <c r="B111" s="516" t="s">
        <v>1365</v>
      </c>
      <c r="C111" s="108">
        <v>46226</v>
      </c>
      <c r="D111" s="108" t="s">
        <v>1368</v>
      </c>
      <c r="E111" s="594" t="s">
        <v>1390</v>
      </c>
      <c r="F111" s="176">
        <v>60</v>
      </c>
      <c r="G111" s="176">
        <v>850</v>
      </c>
      <c r="H111" s="176" t="s">
        <v>1318</v>
      </c>
      <c r="I111" s="176">
        <v>70</v>
      </c>
      <c r="J111" s="146">
        <v>10</v>
      </c>
      <c r="K111" s="220">
        <v>130</v>
      </c>
      <c r="L111" s="145">
        <v>50</v>
      </c>
      <c r="M111" s="147" t="s">
        <v>1350</v>
      </c>
      <c r="N111" s="339">
        <v>300</v>
      </c>
      <c r="O111" s="148" t="s">
        <v>1237</v>
      </c>
      <c r="P111" s="354">
        <v>3</v>
      </c>
      <c r="Q111" s="469">
        <v>0.2</v>
      </c>
      <c r="R111" s="150" t="s">
        <v>1238</v>
      </c>
      <c r="S111" s="162">
        <v>0</v>
      </c>
      <c r="T111" s="144">
        <v>10</v>
      </c>
      <c r="U111" s="144">
        <v>3</v>
      </c>
      <c r="V111" s="176">
        <v>15</v>
      </c>
      <c r="W111" s="176" t="s">
        <v>1351</v>
      </c>
      <c r="X111" s="335"/>
      <c r="Y111" s="144" t="s">
        <v>1324</v>
      </c>
      <c r="Z111" s="144" t="s">
        <v>272</v>
      </c>
      <c r="AA111" s="144" t="s">
        <v>1227</v>
      </c>
      <c r="AB111" s="152"/>
      <c r="AC111" s="152"/>
      <c r="AD111" s="471" t="s">
        <v>1352</v>
      </c>
      <c r="AE111" s="596" t="s">
        <v>1391</v>
      </c>
      <c r="AF111" s="44" t="s">
        <v>1258</v>
      </c>
      <c r="AG111" s="44"/>
      <c r="AH111" s="44"/>
      <c r="AI111" s="44"/>
    </row>
    <row r="112" spans="1:35" s="107" customFormat="1" ht="29.1">
      <c r="A112" s="516" t="s">
        <v>1392</v>
      </c>
      <c r="B112" s="516" t="s">
        <v>1365</v>
      </c>
      <c r="C112" s="108">
        <v>46226</v>
      </c>
      <c r="D112" s="108" t="s">
        <v>1368</v>
      </c>
      <c r="E112" s="594" t="s">
        <v>1393</v>
      </c>
      <c r="F112" s="176">
        <v>60</v>
      </c>
      <c r="G112" s="176">
        <v>850</v>
      </c>
      <c r="H112" s="176" t="s">
        <v>1318</v>
      </c>
      <c r="I112" s="176">
        <v>70</v>
      </c>
      <c r="J112" s="146">
        <v>10</v>
      </c>
      <c r="K112" s="220">
        <v>150</v>
      </c>
      <c r="L112" s="145">
        <v>50</v>
      </c>
      <c r="M112" s="147" t="s">
        <v>1350</v>
      </c>
      <c r="N112" s="339">
        <v>300</v>
      </c>
      <c r="O112" s="148" t="s">
        <v>1237</v>
      </c>
      <c r="P112" s="354">
        <v>3</v>
      </c>
      <c r="Q112" s="469">
        <v>0.2</v>
      </c>
      <c r="R112" s="150" t="s">
        <v>1238</v>
      </c>
      <c r="S112" s="162">
        <v>0</v>
      </c>
      <c r="T112" s="144">
        <v>10</v>
      </c>
      <c r="U112" s="144">
        <v>3</v>
      </c>
      <c r="V112" s="176">
        <v>15</v>
      </c>
      <c r="W112" s="176" t="s">
        <v>1351</v>
      </c>
      <c r="X112" s="335"/>
      <c r="Y112" s="144" t="s">
        <v>1324</v>
      </c>
      <c r="Z112" s="144" t="s">
        <v>272</v>
      </c>
      <c r="AA112" s="144" t="s">
        <v>1227</v>
      </c>
      <c r="AB112" s="152"/>
      <c r="AC112" s="152"/>
      <c r="AD112" s="471" t="s">
        <v>1352</v>
      </c>
      <c r="AE112" s="596"/>
      <c r="AF112" s="44" t="s">
        <v>1258</v>
      </c>
      <c r="AG112" s="44"/>
      <c r="AH112" s="44"/>
      <c r="AI112" s="44"/>
    </row>
    <row r="113" spans="1:35" s="107" customFormat="1" ht="29.1">
      <c r="A113" s="516" t="s">
        <v>1394</v>
      </c>
      <c r="B113" s="516" t="s">
        <v>1365</v>
      </c>
      <c r="C113" s="108">
        <v>46226</v>
      </c>
      <c r="D113" s="108" t="s">
        <v>1368</v>
      </c>
      <c r="E113" s="594" t="s">
        <v>1395</v>
      </c>
      <c r="F113" s="176">
        <v>60</v>
      </c>
      <c r="G113" s="176">
        <v>850</v>
      </c>
      <c r="H113" s="176" t="s">
        <v>1318</v>
      </c>
      <c r="I113" s="176">
        <v>70</v>
      </c>
      <c r="J113" s="146">
        <v>10</v>
      </c>
      <c r="K113" s="145">
        <v>140</v>
      </c>
      <c r="L113" s="145">
        <v>50</v>
      </c>
      <c r="M113" s="147" t="s">
        <v>1350</v>
      </c>
      <c r="N113" s="339">
        <v>300</v>
      </c>
      <c r="O113" s="148" t="s">
        <v>1237</v>
      </c>
      <c r="P113" s="354">
        <v>3</v>
      </c>
      <c r="Q113" s="469">
        <v>0.2</v>
      </c>
      <c r="R113" s="150" t="s">
        <v>1238</v>
      </c>
      <c r="S113" s="162">
        <v>0</v>
      </c>
      <c r="T113" s="144">
        <v>10</v>
      </c>
      <c r="U113" s="144">
        <v>3</v>
      </c>
      <c r="V113" s="176">
        <v>15</v>
      </c>
      <c r="W113" s="176" t="s">
        <v>1351</v>
      </c>
      <c r="X113" s="335"/>
      <c r="Y113" s="144" t="s">
        <v>1324</v>
      </c>
      <c r="Z113" s="144" t="s">
        <v>272</v>
      </c>
      <c r="AA113" s="144" t="s">
        <v>1227</v>
      </c>
      <c r="AB113" s="152"/>
      <c r="AC113" s="152"/>
      <c r="AD113" s="471" t="s">
        <v>1352</v>
      </c>
      <c r="AE113" s="596"/>
      <c r="AF113" s="44" t="s">
        <v>1258</v>
      </c>
      <c r="AG113" s="44">
        <v>0.184</v>
      </c>
      <c r="AH113" s="44">
        <v>3.31</v>
      </c>
      <c r="AI113" s="44"/>
    </row>
    <row r="114" spans="1:35" s="107" customFormat="1" ht="29.1">
      <c r="A114" s="516" t="s">
        <v>1396</v>
      </c>
      <c r="B114" s="516" t="s">
        <v>1365</v>
      </c>
      <c r="C114" s="108">
        <v>46226</v>
      </c>
      <c r="D114" s="108" t="s">
        <v>209</v>
      </c>
      <c r="E114" s="594" t="s">
        <v>1397</v>
      </c>
      <c r="F114" s="176">
        <v>60</v>
      </c>
      <c r="G114" s="176">
        <v>850</v>
      </c>
      <c r="H114" s="176" t="s">
        <v>1318</v>
      </c>
      <c r="I114" s="172">
        <v>100</v>
      </c>
      <c r="J114" s="146">
        <v>10</v>
      </c>
      <c r="K114" s="145">
        <v>140</v>
      </c>
      <c r="L114" s="145">
        <v>50</v>
      </c>
      <c r="M114" s="147" t="s">
        <v>1350</v>
      </c>
      <c r="N114" s="339">
        <v>300</v>
      </c>
      <c r="O114" s="148" t="s">
        <v>1237</v>
      </c>
      <c r="P114" s="354">
        <v>3</v>
      </c>
      <c r="Q114" s="469">
        <v>0.2</v>
      </c>
      <c r="R114" s="150" t="s">
        <v>1238</v>
      </c>
      <c r="S114" s="162">
        <v>0</v>
      </c>
      <c r="T114" s="144">
        <v>10</v>
      </c>
      <c r="U114" s="144">
        <v>3</v>
      </c>
      <c r="V114" s="176">
        <v>15</v>
      </c>
      <c r="W114" s="176" t="s">
        <v>1351</v>
      </c>
      <c r="X114" s="335"/>
      <c r="Y114" s="144" t="s">
        <v>1324</v>
      </c>
      <c r="Z114" s="144" t="s">
        <v>272</v>
      </c>
      <c r="AA114" s="144" t="s">
        <v>1227</v>
      </c>
      <c r="AB114" s="152"/>
      <c r="AC114" s="152"/>
      <c r="AD114" s="471" t="s">
        <v>1352</v>
      </c>
      <c r="AE114" s="596"/>
      <c r="AF114" s="44" t="s">
        <v>1258</v>
      </c>
      <c r="AG114" s="44">
        <v>0.29599999999999999</v>
      </c>
      <c r="AH114" s="44">
        <v>3.08</v>
      </c>
      <c r="AI114" s="44"/>
    </row>
    <row r="115" spans="1:35" s="107" customFormat="1" ht="29.1">
      <c r="A115" s="516" t="s">
        <v>1398</v>
      </c>
      <c r="B115" s="516" t="s">
        <v>1365</v>
      </c>
      <c r="C115" s="108">
        <v>46227</v>
      </c>
      <c r="D115" s="108" t="s">
        <v>209</v>
      </c>
      <c r="E115" s="594" t="s">
        <v>1399</v>
      </c>
      <c r="F115" s="176">
        <v>60</v>
      </c>
      <c r="G115" s="176">
        <v>850</v>
      </c>
      <c r="H115" s="176" t="s">
        <v>1318</v>
      </c>
      <c r="I115" s="176">
        <v>70</v>
      </c>
      <c r="J115" s="146">
        <v>10</v>
      </c>
      <c r="K115" s="145">
        <v>140</v>
      </c>
      <c r="L115" s="220" t="s">
        <v>1400</v>
      </c>
      <c r="M115" s="147" t="s">
        <v>1350</v>
      </c>
      <c r="N115" s="339">
        <v>300</v>
      </c>
      <c r="O115" s="148" t="s">
        <v>1237</v>
      </c>
      <c r="P115" s="354">
        <v>3</v>
      </c>
      <c r="Q115" s="469">
        <v>0.2</v>
      </c>
      <c r="R115" s="150" t="s">
        <v>1238</v>
      </c>
      <c r="S115" s="162">
        <v>0</v>
      </c>
      <c r="T115" s="144">
        <v>10</v>
      </c>
      <c r="U115" s="144">
        <v>3</v>
      </c>
      <c r="V115" s="176">
        <v>15</v>
      </c>
      <c r="W115" s="176" t="s">
        <v>1351</v>
      </c>
      <c r="X115" s="335"/>
      <c r="Y115" s="144" t="s">
        <v>1324</v>
      </c>
      <c r="Z115" s="144" t="s">
        <v>272</v>
      </c>
      <c r="AA115" s="144" t="s">
        <v>1227</v>
      </c>
      <c r="AB115" s="152"/>
      <c r="AC115" s="152"/>
      <c r="AD115" s="471" t="s">
        <v>1352</v>
      </c>
      <c r="AE115" s="596" t="s">
        <v>1401</v>
      </c>
      <c r="AF115" s="44" t="s">
        <v>1263</v>
      </c>
      <c r="AG115" s="44">
        <v>0.35</v>
      </c>
      <c r="AH115" s="44">
        <v>3.78</v>
      </c>
      <c r="AI115" s="44"/>
    </row>
    <row r="116" spans="1:35" s="107" customFormat="1" ht="29.1">
      <c r="A116" s="516" t="s">
        <v>1402</v>
      </c>
      <c r="B116" s="516" t="s">
        <v>1365</v>
      </c>
      <c r="C116" s="108">
        <v>46227</v>
      </c>
      <c r="D116" s="108" t="s">
        <v>209</v>
      </c>
      <c r="E116" s="594" t="s">
        <v>1399</v>
      </c>
      <c r="F116" s="176">
        <v>60</v>
      </c>
      <c r="G116" s="176">
        <v>850</v>
      </c>
      <c r="H116" s="176" t="s">
        <v>1318</v>
      </c>
      <c r="I116" s="176">
        <v>70</v>
      </c>
      <c r="J116" s="146">
        <v>10</v>
      </c>
      <c r="K116" s="145">
        <v>140</v>
      </c>
      <c r="L116" s="145">
        <v>50</v>
      </c>
      <c r="M116" s="147" t="s">
        <v>1350</v>
      </c>
      <c r="N116" s="339">
        <v>300</v>
      </c>
      <c r="O116" s="148" t="s">
        <v>1237</v>
      </c>
      <c r="P116" s="354">
        <v>3</v>
      </c>
      <c r="Q116" s="469">
        <v>0.2</v>
      </c>
      <c r="R116" s="150" t="s">
        <v>1238</v>
      </c>
      <c r="S116" s="162">
        <v>0</v>
      </c>
      <c r="T116" s="144">
        <v>10</v>
      </c>
      <c r="U116" s="144">
        <v>3</v>
      </c>
      <c r="V116" s="176">
        <v>15</v>
      </c>
      <c r="W116" s="176" t="s">
        <v>1351</v>
      </c>
      <c r="X116" s="335"/>
      <c r="Y116" s="144" t="s">
        <v>1324</v>
      </c>
      <c r="Z116" s="144" t="s">
        <v>272</v>
      </c>
      <c r="AA116" s="144" t="s">
        <v>1227</v>
      </c>
      <c r="AB116" s="152"/>
      <c r="AC116" s="152"/>
      <c r="AD116" s="471" t="s">
        <v>1352</v>
      </c>
      <c r="AE116" s="596" t="s">
        <v>1401</v>
      </c>
      <c r="AF116" s="44" t="s">
        <v>1403</v>
      </c>
      <c r="AG116" s="44">
        <v>0.33300000000000002</v>
      </c>
      <c r="AH116" s="44">
        <v>1.85</v>
      </c>
      <c r="AI116" s="44"/>
    </row>
    <row r="117" spans="1:35" s="107" customFormat="1" ht="29.1">
      <c r="A117" s="516" t="s">
        <v>1404</v>
      </c>
      <c r="B117" s="516" t="s">
        <v>1365</v>
      </c>
      <c r="C117" s="108">
        <v>46228</v>
      </c>
      <c r="D117" s="108" t="s">
        <v>209</v>
      </c>
      <c r="E117" s="594" t="s">
        <v>1405</v>
      </c>
      <c r="F117" s="172">
        <v>70</v>
      </c>
      <c r="G117" s="176">
        <v>850</v>
      </c>
      <c r="H117" s="176" t="s">
        <v>1318</v>
      </c>
      <c r="I117" s="176">
        <v>70</v>
      </c>
      <c r="J117" s="146">
        <v>10</v>
      </c>
      <c r="K117" s="145">
        <v>140</v>
      </c>
      <c r="L117" s="145">
        <v>50</v>
      </c>
      <c r="M117" s="147" t="s">
        <v>1350</v>
      </c>
      <c r="N117" s="339">
        <v>300</v>
      </c>
      <c r="O117" s="148" t="s">
        <v>1237</v>
      </c>
      <c r="P117" s="354">
        <v>3</v>
      </c>
      <c r="Q117" s="469">
        <v>0.2</v>
      </c>
      <c r="R117" s="150" t="s">
        <v>1238</v>
      </c>
      <c r="S117" s="162">
        <v>0</v>
      </c>
      <c r="T117" s="144">
        <v>10</v>
      </c>
      <c r="U117" s="144">
        <v>3</v>
      </c>
      <c r="V117" s="176">
        <v>15</v>
      </c>
      <c r="W117" s="176" t="s">
        <v>1351</v>
      </c>
      <c r="X117" s="335"/>
      <c r="Y117" s="144" t="s">
        <v>1324</v>
      </c>
      <c r="Z117" s="144" t="s">
        <v>272</v>
      </c>
      <c r="AA117" s="144" t="s">
        <v>1227</v>
      </c>
      <c r="AB117" s="152"/>
      <c r="AC117" s="152"/>
      <c r="AD117" s="471" t="s">
        <v>1352</v>
      </c>
      <c r="AE117" s="596" t="s">
        <v>1401</v>
      </c>
      <c r="AF117" s="44" t="s">
        <v>1258</v>
      </c>
      <c r="AG117" s="44">
        <v>1.2230000000000001</v>
      </c>
      <c r="AH117" s="44">
        <v>4.59</v>
      </c>
      <c r="AI117" s="44"/>
    </row>
    <row r="118" spans="1:35" s="107" customFormat="1" ht="29.1">
      <c r="A118" s="516" t="s">
        <v>1406</v>
      </c>
      <c r="B118" s="516" t="s">
        <v>1365</v>
      </c>
      <c r="C118" s="108">
        <v>46228</v>
      </c>
      <c r="D118" s="108" t="s">
        <v>209</v>
      </c>
      <c r="E118" s="594" t="s">
        <v>1407</v>
      </c>
      <c r="F118" s="176">
        <v>60</v>
      </c>
      <c r="G118" s="176">
        <v>850</v>
      </c>
      <c r="H118" s="176" t="s">
        <v>1318</v>
      </c>
      <c r="I118" s="176">
        <v>70</v>
      </c>
      <c r="J118" s="146">
        <v>10</v>
      </c>
      <c r="K118" s="145">
        <v>140</v>
      </c>
      <c r="L118" s="145">
        <v>50</v>
      </c>
      <c r="M118" s="147" t="s">
        <v>1350</v>
      </c>
      <c r="N118" s="339">
        <v>300</v>
      </c>
      <c r="O118" s="148" t="s">
        <v>1237</v>
      </c>
      <c r="P118" s="354">
        <v>3</v>
      </c>
      <c r="Q118" s="219">
        <v>0.1</v>
      </c>
      <c r="R118" s="150" t="s">
        <v>1238</v>
      </c>
      <c r="S118" s="162">
        <v>0</v>
      </c>
      <c r="T118" s="144">
        <v>10</v>
      </c>
      <c r="U118" s="144">
        <v>3</v>
      </c>
      <c r="V118" s="176">
        <v>15</v>
      </c>
      <c r="W118" s="176" t="s">
        <v>1351</v>
      </c>
      <c r="X118" s="335"/>
      <c r="Y118" s="144" t="s">
        <v>1324</v>
      </c>
      <c r="Z118" s="144" t="s">
        <v>272</v>
      </c>
      <c r="AA118" s="144" t="s">
        <v>1227</v>
      </c>
      <c r="AB118" s="152"/>
      <c r="AC118" s="152"/>
      <c r="AD118" s="471" t="s">
        <v>1352</v>
      </c>
      <c r="AE118" s="596" t="s">
        <v>1401</v>
      </c>
      <c r="AF118" s="44" t="s">
        <v>1258</v>
      </c>
      <c r="AG118" s="44">
        <v>0.17100000000000001</v>
      </c>
      <c r="AH118" s="44">
        <v>4.26</v>
      </c>
      <c r="AI118" s="44"/>
    </row>
    <row r="119" spans="1:35" s="107" customFormat="1" ht="29.1">
      <c r="A119" s="516" t="s">
        <v>1408</v>
      </c>
      <c r="B119" s="516" t="s">
        <v>1365</v>
      </c>
      <c r="C119" s="108">
        <v>46228</v>
      </c>
      <c r="D119" s="108" t="s">
        <v>209</v>
      </c>
      <c r="E119" s="594" t="s">
        <v>1409</v>
      </c>
      <c r="F119" s="176">
        <v>60</v>
      </c>
      <c r="G119" s="176">
        <v>850</v>
      </c>
      <c r="H119" s="176" t="s">
        <v>1318</v>
      </c>
      <c r="I119" s="176">
        <v>70</v>
      </c>
      <c r="J119" s="146">
        <v>10</v>
      </c>
      <c r="K119" s="145">
        <v>140</v>
      </c>
      <c r="L119" s="145">
        <v>50</v>
      </c>
      <c r="M119" s="147" t="s">
        <v>1350</v>
      </c>
      <c r="N119" s="339">
        <v>300</v>
      </c>
      <c r="O119" s="148" t="s">
        <v>1237</v>
      </c>
      <c r="P119" s="354">
        <v>3</v>
      </c>
      <c r="Q119" s="219">
        <v>0</v>
      </c>
      <c r="R119" s="150" t="s">
        <v>1238</v>
      </c>
      <c r="S119" s="162">
        <v>0</v>
      </c>
      <c r="T119" s="144">
        <v>10</v>
      </c>
      <c r="U119" s="144">
        <v>3</v>
      </c>
      <c r="V119" s="176">
        <v>15</v>
      </c>
      <c r="W119" s="176" t="s">
        <v>1351</v>
      </c>
      <c r="X119" s="335"/>
      <c r="Y119" s="144" t="s">
        <v>1324</v>
      </c>
      <c r="Z119" s="144" t="s">
        <v>272</v>
      </c>
      <c r="AA119" s="144" t="s">
        <v>1227</v>
      </c>
      <c r="AB119" s="152"/>
      <c r="AC119" s="152"/>
      <c r="AD119" s="471" t="s">
        <v>1352</v>
      </c>
      <c r="AE119" s="596" t="s">
        <v>1401</v>
      </c>
      <c r="AF119" s="44" t="s">
        <v>1258</v>
      </c>
      <c r="AG119" s="44">
        <v>0.217</v>
      </c>
      <c r="AH119" s="44">
        <v>4.83</v>
      </c>
      <c r="AI119" s="44"/>
    </row>
    <row r="120" spans="1:35" s="107" customFormat="1" ht="57.95">
      <c r="A120" s="516" t="s">
        <v>1410</v>
      </c>
      <c r="B120" s="516" t="s">
        <v>1365</v>
      </c>
      <c r="C120" s="108">
        <v>46229</v>
      </c>
      <c r="D120" s="108" t="s">
        <v>209</v>
      </c>
      <c r="E120" s="594" t="s">
        <v>1411</v>
      </c>
      <c r="F120" s="176">
        <v>60</v>
      </c>
      <c r="G120" s="176">
        <v>850</v>
      </c>
      <c r="H120" s="176" t="s">
        <v>1318</v>
      </c>
      <c r="I120" s="176">
        <v>70</v>
      </c>
      <c r="J120" s="146">
        <v>10</v>
      </c>
      <c r="K120" s="145">
        <v>140</v>
      </c>
      <c r="L120" s="145">
        <v>50</v>
      </c>
      <c r="M120" s="147" t="s">
        <v>1350</v>
      </c>
      <c r="N120" s="339">
        <v>300</v>
      </c>
      <c r="O120" s="148" t="s">
        <v>1237</v>
      </c>
      <c r="P120" s="354">
        <v>3</v>
      </c>
      <c r="Q120" s="219">
        <v>0.15</v>
      </c>
      <c r="R120" s="150" t="s">
        <v>1238</v>
      </c>
      <c r="S120" s="162">
        <v>0</v>
      </c>
      <c r="T120" s="144">
        <v>10</v>
      </c>
      <c r="U120" s="144">
        <v>3</v>
      </c>
      <c r="V120" s="176">
        <v>15</v>
      </c>
      <c r="W120" s="176" t="s">
        <v>1351</v>
      </c>
      <c r="X120" s="335"/>
      <c r="Y120" s="144" t="s">
        <v>1324</v>
      </c>
      <c r="Z120" s="144" t="s">
        <v>272</v>
      </c>
      <c r="AA120" s="144" t="s">
        <v>1227</v>
      </c>
      <c r="AB120" s="152"/>
      <c r="AC120" s="152"/>
      <c r="AD120" s="471" t="s">
        <v>1352</v>
      </c>
      <c r="AE120" s="596" t="s">
        <v>1412</v>
      </c>
      <c r="AF120" s="44" t="s">
        <v>1258</v>
      </c>
      <c r="AG120" s="44">
        <v>0.14299999999999999</v>
      </c>
      <c r="AH120" s="44">
        <v>3.11</v>
      </c>
      <c r="AI120" s="44"/>
    </row>
    <row r="121" spans="1:35" s="107" customFormat="1" ht="57.95">
      <c r="A121" s="516" t="s">
        <v>1413</v>
      </c>
      <c r="B121" s="516" t="s">
        <v>1365</v>
      </c>
      <c r="C121" s="108">
        <v>46229</v>
      </c>
      <c r="D121" s="108" t="s">
        <v>209</v>
      </c>
      <c r="E121" s="594" t="s">
        <v>1414</v>
      </c>
      <c r="F121" s="176">
        <v>60</v>
      </c>
      <c r="G121" s="176">
        <v>850</v>
      </c>
      <c r="H121" s="176" t="s">
        <v>1318</v>
      </c>
      <c r="I121" s="176">
        <v>70</v>
      </c>
      <c r="J121" s="146">
        <v>10</v>
      </c>
      <c r="K121" s="145">
        <v>140</v>
      </c>
      <c r="L121" s="145">
        <v>50</v>
      </c>
      <c r="M121" s="147" t="s">
        <v>1350</v>
      </c>
      <c r="N121" s="339">
        <v>300</v>
      </c>
      <c r="O121" s="148" t="s">
        <v>1237</v>
      </c>
      <c r="P121" s="354">
        <v>3</v>
      </c>
      <c r="Q121" s="469">
        <v>0.2</v>
      </c>
      <c r="R121" s="150" t="s">
        <v>1238</v>
      </c>
      <c r="S121" s="162">
        <v>0</v>
      </c>
      <c r="T121" s="144">
        <v>10</v>
      </c>
      <c r="U121" s="144">
        <v>3</v>
      </c>
      <c r="V121" s="176">
        <v>15</v>
      </c>
      <c r="W121" s="176" t="s">
        <v>1351</v>
      </c>
      <c r="X121" s="335"/>
      <c r="Y121" s="144" t="s">
        <v>1324</v>
      </c>
      <c r="Z121" s="144" t="s">
        <v>272</v>
      </c>
      <c r="AA121" s="144" t="s">
        <v>1227</v>
      </c>
      <c r="AB121" s="152"/>
      <c r="AC121" s="152"/>
      <c r="AD121" s="471" t="s">
        <v>1352</v>
      </c>
      <c r="AE121" s="596" t="s">
        <v>1415</v>
      </c>
      <c r="AF121" s="44" t="s">
        <v>1263</v>
      </c>
      <c r="AG121" s="44"/>
      <c r="AH121" s="44"/>
      <c r="AI121" s="44"/>
    </row>
    <row r="122" spans="1:35" s="107" customFormat="1" ht="57.95">
      <c r="A122" s="516" t="s">
        <v>1416</v>
      </c>
      <c r="B122" s="516" t="s">
        <v>1365</v>
      </c>
      <c r="C122" s="108">
        <v>46230</v>
      </c>
      <c r="D122" s="108" t="s">
        <v>208</v>
      </c>
      <c r="E122" s="594" t="s">
        <v>1417</v>
      </c>
      <c r="F122" s="176">
        <v>60</v>
      </c>
      <c r="G122" s="176">
        <v>850</v>
      </c>
      <c r="H122" s="176" t="s">
        <v>1318</v>
      </c>
      <c r="I122" s="176">
        <v>70</v>
      </c>
      <c r="J122" s="146">
        <v>10</v>
      </c>
      <c r="K122" s="145">
        <v>140</v>
      </c>
      <c r="L122" s="145">
        <v>50</v>
      </c>
      <c r="M122" s="147" t="s">
        <v>1350</v>
      </c>
      <c r="N122" s="339">
        <v>300</v>
      </c>
      <c r="O122" s="148" t="s">
        <v>1237</v>
      </c>
      <c r="P122" s="354">
        <v>3</v>
      </c>
      <c r="Q122" s="219">
        <v>0.1</v>
      </c>
      <c r="R122" s="150" t="s">
        <v>1238</v>
      </c>
      <c r="S122" s="162">
        <v>0</v>
      </c>
      <c r="T122" s="144">
        <v>10</v>
      </c>
      <c r="U122" s="144">
        <v>3</v>
      </c>
      <c r="V122" s="176">
        <v>15</v>
      </c>
      <c r="W122" s="176" t="s">
        <v>1351</v>
      </c>
      <c r="X122" s="335"/>
      <c r="Y122" s="144" t="s">
        <v>1324</v>
      </c>
      <c r="Z122" s="144" t="s">
        <v>272</v>
      </c>
      <c r="AA122" s="144" t="s">
        <v>1227</v>
      </c>
      <c r="AB122" s="152"/>
      <c r="AC122" s="152"/>
      <c r="AD122" s="471" t="s">
        <v>1352</v>
      </c>
      <c r="AE122" s="596" t="s">
        <v>1418</v>
      </c>
      <c r="AF122" s="44"/>
      <c r="AG122" s="44"/>
      <c r="AH122" s="44"/>
      <c r="AI122" s="44"/>
    </row>
    <row r="123" spans="1:35" s="107" customFormat="1" ht="29.1">
      <c r="A123" s="516" t="s">
        <v>1419</v>
      </c>
      <c r="B123" s="516" t="s">
        <v>1365</v>
      </c>
      <c r="C123" s="108">
        <v>46230</v>
      </c>
      <c r="D123" s="108" t="s">
        <v>1368</v>
      </c>
      <c r="E123" s="594" t="s">
        <v>1420</v>
      </c>
      <c r="F123" s="176">
        <v>60</v>
      </c>
      <c r="G123" s="176">
        <v>850</v>
      </c>
      <c r="H123" s="176" t="s">
        <v>1318</v>
      </c>
      <c r="I123" s="176">
        <v>70</v>
      </c>
      <c r="J123" s="146">
        <v>10</v>
      </c>
      <c r="K123" s="145">
        <v>140</v>
      </c>
      <c r="L123" s="145">
        <v>50</v>
      </c>
      <c r="M123" s="147" t="s">
        <v>1350</v>
      </c>
      <c r="N123" s="339">
        <v>300</v>
      </c>
      <c r="O123" s="148" t="s">
        <v>1237</v>
      </c>
      <c r="P123" s="354">
        <v>3</v>
      </c>
      <c r="Q123" s="469">
        <v>0.2</v>
      </c>
      <c r="R123" s="150" t="s">
        <v>1238</v>
      </c>
      <c r="S123" s="162">
        <v>0</v>
      </c>
      <c r="T123" s="144">
        <v>10</v>
      </c>
      <c r="U123" s="144">
        <v>3</v>
      </c>
      <c r="V123" s="176">
        <v>15</v>
      </c>
      <c r="W123" s="176" t="s">
        <v>1351</v>
      </c>
      <c r="X123" s="335"/>
      <c r="Y123" s="144" t="s">
        <v>1324</v>
      </c>
      <c r="Z123" s="144" t="s">
        <v>272</v>
      </c>
      <c r="AA123" s="144" t="s">
        <v>1227</v>
      </c>
      <c r="AB123" s="152"/>
      <c r="AC123" s="152"/>
      <c r="AD123" s="471" t="s">
        <v>1352</v>
      </c>
      <c r="AE123" s="596" t="s">
        <v>1421</v>
      </c>
      <c r="AF123" s="44"/>
      <c r="AG123" s="44"/>
      <c r="AH123" s="44"/>
      <c r="AI123" s="44"/>
    </row>
    <row r="124" spans="1:35" s="107" customFormat="1" ht="29.1">
      <c r="A124" s="516" t="s">
        <v>1422</v>
      </c>
      <c r="B124" s="516" t="s">
        <v>1365</v>
      </c>
      <c r="C124" s="108">
        <v>46230</v>
      </c>
      <c r="D124" s="108" t="s">
        <v>1368</v>
      </c>
      <c r="E124" s="634"/>
      <c r="F124" s="176">
        <v>60</v>
      </c>
      <c r="G124" s="176">
        <v>850</v>
      </c>
      <c r="H124" s="176" t="s">
        <v>1318</v>
      </c>
      <c r="I124" s="176">
        <v>70</v>
      </c>
      <c r="J124" s="146">
        <v>10</v>
      </c>
      <c r="K124" s="145">
        <v>140</v>
      </c>
      <c r="L124" s="145">
        <v>50</v>
      </c>
      <c r="M124" s="147" t="s">
        <v>1350</v>
      </c>
      <c r="N124" s="339">
        <v>300</v>
      </c>
      <c r="O124" s="148" t="s">
        <v>1237</v>
      </c>
      <c r="P124" s="354">
        <v>3</v>
      </c>
      <c r="Q124" s="219">
        <v>0.1</v>
      </c>
      <c r="R124" s="150" t="s">
        <v>1238</v>
      </c>
      <c r="S124" s="162">
        <v>0</v>
      </c>
      <c r="T124" s="144">
        <v>10</v>
      </c>
      <c r="U124" s="172">
        <v>2.5</v>
      </c>
      <c r="V124" s="176">
        <v>15</v>
      </c>
      <c r="W124" s="176" t="s">
        <v>1351</v>
      </c>
      <c r="X124" s="335"/>
      <c r="Y124" s="144" t="s">
        <v>1324</v>
      </c>
      <c r="Z124" s="144" t="s">
        <v>272</v>
      </c>
      <c r="AA124" s="144" t="s">
        <v>1227</v>
      </c>
      <c r="AB124" s="152"/>
      <c r="AC124" s="152"/>
      <c r="AD124" s="471" t="s">
        <v>1352</v>
      </c>
      <c r="AE124" s="596" t="s">
        <v>1423</v>
      </c>
      <c r="AF124" s="44"/>
      <c r="AG124" s="44"/>
      <c r="AH124" s="44"/>
      <c r="AI124" s="44"/>
    </row>
    <row r="125" spans="1:35" s="107" customFormat="1" ht="43.5">
      <c r="A125" s="516" t="s">
        <v>1424</v>
      </c>
      <c r="B125" s="516" t="s">
        <v>1365</v>
      </c>
      <c r="C125" s="108">
        <v>46230</v>
      </c>
      <c r="D125" s="108" t="s">
        <v>1368</v>
      </c>
      <c r="E125" s="634"/>
      <c r="F125" s="176">
        <v>60</v>
      </c>
      <c r="G125" s="176">
        <v>850</v>
      </c>
      <c r="H125" s="176" t="s">
        <v>1318</v>
      </c>
      <c r="I125" s="176">
        <v>70</v>
      </c>
      <c r="J125" s="146">
        <v>10</v>
      </c>
      <c r="K125" s="145">
        <v>140</v>
      </c>
      <c r="L125" s="145">
        <v>50</v>
      </c>
      <c r="M125" s="147" t="s">
        <v>1350</v>
      </c>
      <c r="N125" s="339">
        <v>300</v>
      </c>
      <c r="O125" s="148" t="s">
        <v>1237</v>
      </c>
      <c r="P125" s="354">
        <v>3</v>
      </c>
      <c r="Q125" s="150">
        <v>0.1</v>
      </c>
      <c r="R125" s="150" t="s">
        <v>1238</v>
      </c>
      <c r="S125" s="162">
        <v>0</v>
      </c>
      <c r="T125" s="144">
        <v>10</v>
      </c>
      <c r="U125" s="144">
        <v>2</v>
      </c>
      <c r="V125" s="176">
        <v>15</v>
      </c>
      <c r="W125" s="176" t="s">
        <v>1351</v>
      </c>
      <c r="X125" s="335"/>
      <c r="Y125" s="144" t="s">
        <v>1324</v>
      </c>
      <c r="Z125" s="144" t="s">
        <v>272</v>
      </c>
      <c r="AA125" s="144" t="s">
        <v>1227</v>
      </c>
      <c r="AB125" s="152"/>
      <c r="AC125" s="152"/>
      <c r="AD125" s="471" t="s">
        <v>1352</v>
      </c>
      <c r="AE125" s="596" t="s">
        <v>1425</v>
      </c>
      <c r="AF125" s="44" t="s">
        <v>1258</v>
      </c>
      <c r="AG125" s="44"/>
      <c r="AH125" s="44"/>
      <c r="AI125" s="44"/>
    </row>
    <row r="126" spans="1:35" s="107" customFormat="1" ht="57.95">
      <c r="A126" s="516" t="s">
        <v>1426</v>
      </c>
      <c r="B126" s="516" t="s">
        <v>1365</v>
      </c>
      <c r="C126" s="108">
        <v>46230</v>
      </c>
      <c r="D126" s="108" t="s">
        <v>1368</v>
      </c>
      <c r="E126" s="521" t="s">
        <v>1427</v>
      </c>
      <c r="F126" s="176">
        <v>60</v>
      </c>
      <c r="G126" s="176">
        <v>850</v>
      </c>
      <c r="H126" s="176" t="s">
        <v>1318</v>
      </c>
      <c r="I126" s="176">
        <v>70</v>
      </c>
      <c r="J126" s="146">
        <v>10</v>
      </c>
      <c r="K126" s="145">
        <v>140</v>
      </c>
      <c r="L126" s="145">
        <v>50</v>
      </c>
      <c r="M126" s="147" t="s">
        <v>1350</v>
      </c>
      <c r="N126" s="339">
        <v>300</v>
      </c>
      <c r="O126" s="148" t="s">
        <v>1237</v>
      </c>
      <c r="P126" s="354">
        <v>3</v>
      </c>
      <c r="Q126" s="150">
        <v>0.1</v>
      </c>
      <c r="R126" s="150" t="s">
        <v>1238</v>
      </c>
      <c r="S126" s="162">
        <v>0</v>
      </c>
      <c r="T126" s="144">
        <v>10</v>
      </c>
      <c r="U126" s="172">
        <v>2.5</v>
      </c>
      <c r="V126" s="176">
        <v>15</v>
      </c>
      <c r="W126" s="176" t="s">
        <v>1351</v>
      </c>
      <c r="X126" s="335"/>
      <c r="Y126" s="144" t="s">
        <v>1324</v>
      </c>
      <c r="Z126" s="144" t="s">
        <v>272</v>
      </c>
      <c r="AA126" s="144" t="s">
        <v>1227</v>
      </c>
      <c r="AB126" s="152"/>
      <c r="AC126" s="152"/>
      <c r="AD126" s="471" t="s">
        <v>1352</v>
      </c>
      <c r="AE126" s="596" t="s">
        <v>1428</v>
      </c>
      <c r="AF126" s="44" t="s">
        <v>1258</v>
      </c>
      <c r="AG126" s="44"/>
      <c r="AH126" s="44"/>
      <c r="AI126" s="44"/>
    </row>
    <row r="127" spans="1:35" s="107" customFormat="1" ht="57.95">
      <c r="A127" s="516" t="s">
        <v>1429</v>
      </c>
      <c r="B127" s="516" t="s">
        <v>1365</v>
      </c>
      <c r="C127" s="108">
        <v>46230</v>
      </c>
      <c r="D127" s="108" t="s">
        <v>1368</v>
      </c>
      <c r="E127" s="521" t="s">
        <v>1427</v>
      </c>
      <c r="F127" s="176">
        <v>60</v>
      </c>
      <c r="G127" s="176">
        <v>850</v>
      </c>
      <c r="H127" s="176" t="s">
        <v>1318</v>
      </c>
      <c r="I127" s="176">
        <v>70</v>
      </c>
      <c r="J127" s="146">
        <v>10</v>
      </c>
      <c r="K127" s="145">
        <v>140</v>
      </c>
      <c r="L127" s="145">
        <v>50</v>
      </c>
      <c r="M127" s="147" t="s">
        <v>1350</v>
      </c>
      <c r="N127" s="339">
        <v>300</v>
      </c>
      <c r="O127" s="148" t="s">
        <v>1237</v>
      </c>
      <c r="P127" s="354">
        <v>3</v>
      </c>
      <c r="Q127" s="150">
        <v>0.1</v>
      </c>
      <c r="R127" s="150" t="s">
        <v>1238</v>
      </c>
      <c r="S127" s="162">
        <v>0</v>
      </c>
      <c r="T127" s="144">
        <v>10</v>
      </c>
      <c r="U127" s="172">
        <v>2</v>
      </c>
      <c r="V127" s="176">
        <v>15</v>
      </c>
      <c r="W127" s="176" t="s">
        <v>1351</v>
      </c>
      <c r="X127" s="335"/>
      <c r="Y127" s="144" t="s">
        <v>1324</v>
      </c>
      <c r="Z127" s="144" t="s">
        <v>272</v>
      </c>
      <c r="AA127" s="144" t="s">
        <v>1227</v>
      </c>
      <c r="AB127" s="152"/>
      <c r="AC127" s="152"/>
      <c r="AD127" s="471" t="s">
        <v>1352</v>
      </c>
      <c r="AE127" s="596" t="s">
        <v>1428</v>
      </c>
      <c r="AF127" s="44" t="s">
        <v>1258</v>
      </c>
      <c r="AG127" s="44"/>
      <c r="AH127" s="44"/>
      <c r="AI127" s="44"/>
    </row>
    <row r="128" spans="1:35" s="107" customFormat="1" ht="29.1">
      <c r="A128" s="516" t="s">
        <v>1430</v>
      </c>
      <c r="B128" s="516" t="s">
        <v>1365</v>
      </c>
      <c r="C128" s="108"/>
      <c r="D128" s="108" t="s">
        <v>1368</v>
      </c>
      <c r="E128" s="594" t="s">
        <v>1431</v>
      </c>
      <c r="F128" s="176">
        <v>60</v>
      </c>
      <c r="G128" s="176">
        <v>850</v>
      </c>
      <c r="H128" s="176" t="s">
        <v>1432</v>
      </c>
      <c r="I128" s="176">
        <v>70</v>
      </c>
      <c r="J128" s="146">
        <v>10</v>
      </c>
      <c r="K128" s="145">
        <v>140</v>
      </c>
      <c r="L128" s="145">
        <v>50</v>
      </c>
      <c r="M128" s="147" t="s">
        <v>1433</v>
      </c>
      <c r="N128" s="339">
        <v>300</v>
      </c>
      <c r="O128" s="148" t="s">
        <v>1237</v>
      </c>
      <c r="P128" s="249">
        <v>3.5</v>
      </c>
      <c r="Q128" s="150">
        <v>0.1</v>
      </c>
      <c r="R128" s="150" t="s">
        <v>1238</v>
      </c>
      <c r="S128" s="162">
        <v>0</v>
      </c>
      <c r="T128" s="144">
        <v>10</v>
      </c>
      <c r="U128" s="172">
        <v>2.5</v>
      </c>
      <c r="V128" s="107" t="s">
        <v>1434</v>
      </c>
      <c r="W128" s="176" t="s">
        <v>1351</v>
      </c>
      <c r="X128" s="335"/>
      <c r="Y128" s="144" t="s">
        <v>1324</v>
      </c>
      <c r="Z128" s="144" t="s">
        <v>272</v>
      </c>
      <c r="AA128" s="144"/>
      <c r="AB128" s="152"/>
      <c r="AC128" s="152"/>
      <c r="AD128" s="471" t="s">
        <v>1352</v>
      </c>
      <c r="AE128" s="104"/>
      <c r="AF128" s="44" t="s">
        <v>1258</v>
      </c>
      <c r="AG128" s="44"/>
      <c r="AH128" s="44"/>
      <c r="AI128" s="44"/>
    </row>
    <row r="129" spans="1:35" s="107" customFormat="1" ht="29.1">
      <c r="A129" s="516" t="s">
        <v>1435</v>
      </c>
      <c r="B129" s="516" t="s">
        <v>1365</v>
      </c>
      <c r="C129" s="108"/>
      <c r="D129" s="108" t="s">
        <v>1368</v>
      </c>
      <c r="E129" s="594" t="s">
        <v>1436</v>
      </c>
      <c r="F129" s="176">
        <v>60</v>
      </c>
      <c r="G129" s="176">
        <v>850</v>
      </c>
      <c r="H129" s="176" t="s">
        <v>1437</v>
      </c>
      <c r="I129" s="176">
        <v>70</v>
      </c>
      <c r="J129" s="146">
        <v>10</v>
      </c>
      <c r="K129" s="145">
        <v>140</v>
      </c>
      <c r="L129" s="145">
        <v>50</v>
      </c>
      <c r="M129" s="147" t="s">
        <v>1438</v>
      </c>
      <c r="N129" s="339">
        <v>300</v>
      </c>
      <c r="O129" s="148" t="s">
        <v>1237</v>
      </c>
      <c r="P129" s="354">
        <v>3.5</v>
      </c>
      <c r="Q129" s="219">
        <v>0.2</v>
      </c>
      <c r="R129" s="150" t="s">
        <v>1238</v>
      </c>
      <c r="S129" s="162">
        <v>0</v>
      </c>
      <c r="T129" s="144">
        <v>10</v>
      </c>
      <c r="U129" s="144">
        <v>2.5</v>
      </c>
      <c r="V129" s="176">
        <v>15</v>
      </c>
      <c r="W129" s="176" t="s">
        <v>1351</v>
      </c>
      <c r="X129" s="335"/>
      <c r="Y129" s="144" t="s">
        <v>1324</v>
      </c>
      <c r="Z129" s="144" t="s">
        <v>272</v>
      </c>
      <c r="AA129" s="144"/>
      <c r="AB129" s="152"/>
      <c r="AC129" s="152"/>
      <c r="AD129" s="471" t="s">
        <v>1352</v>
      </c>
      <c r="AE129" s="104"/>
      <c r="AF129" s="44" t="s">
        <v>1263</v>
      </c>
      <c r="AG129" s="44"/>
      <c r="AH129" s="44"/>
      <c r="AI129" s="44"/>
    </row>
    <row r="130" spans="1:35" s="107" customFormat="1" ht="29.1">
      <c r="A130" s="516" t="s">
        <v>1439</v>
      </c>
      <c r="B130" s="516" t="s">
        <v>1365</v>
      </c>
      <c r="C130" s="108"/>
      <c r="D130" s="108" t="s">
        <v>1368</v>
      </c>
      <c r="E130" s="300" t="s">
        <v>1440</v>
      </c>
      <c r="F130" s="176">
        <v>60</v>
      </c>
      <c r="G130" s="176">
        <v>850</v>
      </c>
      <c r="H130" s="176" t="s">
        <v>1441</v>
      </c>
      <c r="I130" s="176">
        <v>70</v>
      </c>
      <c r="J130" s="146">
        <v>10</v>
      </c>
      <c r="K130" s="145">
        <v>140</v>
      </c>
      <c r="L130" s="145">
        <v>50</v>
      </c>
      <c r="M130" s="147" t="s">
        <v>1442</v>
      </c>
      <c r="N130" s="336">
        <v>250</v>
      </c>
      <c r="O130" s="148" t="s">
        <v>1237</v>
      </c>
      <c r="P130" s="354">
        <v>3.5</v>
      </c>
      <c r="Q130" s="150">
        <v>0.1</v>
      </c>
      <c r="R130" s="150" t="s">
        <v>1238</v>
      </c>
      <c r="S130" s="162">
        <v>0</v>
      </c>
      <c r="T130" s="144">
        <v>10</v>
      </c>
      <c r="U130" s="144">
        <v>2.5</v>
      </c>
      <c r="V130" s="176">
        <v>15</v>
      </c>
      <c r="W130" s="176" t="s">
        <v>1351</v>
      </c>
      <c r="X130" s="335"/>
      <c r="Y130" s="144" t="s">
        <v>1324</v>
      </c>
      <c r="Z130" s="144" t="s">
        <v>272</v>
      </c>
      <c r="AA130" s="109"/>
      <c r="AB130" s="114"/>
      <c r="AC130" s="114"/>
      <c r="AD130" s="471" t="s">
        <v>1352</v>
      </c>
      <c r="AE130" s="101"/>
      <c r="AF130" s="109" t="s">
        <v>1263</v>
      </c>
      <c r="AG130" s="101"/>
      <c r="AH130" s="101"/>
      <c r="AI130" s="101"/>
    </row>
    <row r="131" spans="1:35" s="107" customFormat="1" ht="29.1">
      <c r="A131" s="516" t="s">
        <v>1443</v>
      </c>
      <c r="B131" s="516" t="s">
        <v>1365</v>
      </c>
      <c r="C131" s="108">
        <v>46234</v>
      </c>
      <c r="D131" s="108" t="s">
        <v>1368</v>
      </c>
      <c r="E131" s="594" t="s">
        <v>1444</v>
      </c>
      <c r="F131" s="176">
        <v>60</v>
      </c>
      <c r="G131" s="176">
        <v>850</v>
      </c>
      <c r="H131" s="176" t="s">
        <v>1445</v>
      </c>
      <c r="I131" s="176">
        <v>70</v>
      </c>
      <c r="J131" s="146">
        <v>10</v>
      </c>
      <c r="K131" s="145">
        <v>140</v>
      </c>
      <c r="L131" s="145">
        <v>50</v>
      </c>
      <c r="M131" s="147" t="s">
        <v>1446</v>
      </c>
      <c r="N131" s="339">
        <v>300</v>
      </c>
      <c r="O131" s="148" t="s">
        <v>1237</v>
      </c>
      <c r="P131" s="354">
        <v>3.5</v>
      </c>
      <c r="Q131" s="150">
        <v>0.1</v>
      </c>
      <c r="R131" s="150" t="s">
        <v>1238</v>
      </c>
      <c r="S131" s="162">
        <v>0</v>
      </c>
      <c r="T131" s="144">
        <v>10</v>
      </c>
      <c r="U131" s="144">
        <v>2.5</v>
      </c>
      <c r="V131" s="176">
        <v>15</v>
      </c>
      <c r="W131" s="176" t="s">
        <v>1351</v>
      </c>
      <c r="X131" s="335" t="s">
        <v>1447</v>
      </c>
      <c r="Y131" s="144" t="s">
        <v>1324</v>
      </c>
      <c r="Z131" s="144" t="s">
        <v>272</v>
      </c>
      <c r="AA131" s="144"/>
      <c r="AB131" s="152"/>
      <c r="AC131" s="152"/>
      <c r="AD131" s="471" t="s">
        <v>1352</v>
      </c>
      <c r="AE131" s="471"/>
      <c r="AF131" s="44" t="s">
        <v>1258</v>
      </c>
      <c r="AG131" s="44"/>
      <c r="AH131" s="44"/>
      <c r="AI131" s="44"/>
    </row>
    <row r="132" spans="1:35" s="107" customFormat="1" ht="29.1">
      <c r="A132" s="516" t="s">
        <v>1448</v>
      </c>
      <c r="B132" s="516" t="s">
        <v>1365</v>
      </c>
      <c r="C132" s="108">
        <v>46234</v>
      </c>
      <c r="D132" s="108" t="s">
        <v>1368</v>
      </c>
      <c r="E132" s="300" t="s">
        <v>1449</v>
      </c>
      <c r="F132" s="176">
        <v>60</v>
      </c>
      <c r="G132" s="176">
        <v>850</v>
      </c>
      <c r="H132" s="176" t="s">
        <v>1450</v>
      </c>
      <c r="I132" s="176">
        <v>70</v>
      </c>
      <c r="J132" s="146">
        <v>10</v>
      </c>
      <c r="K132" s="145">
        <v>140</v>
      </c>
      <c r="L132" s="145">
        <v>50</v>
      </c>
      <c r="M132" s="147" t="s">
        <v>1451</v>
      </c>
      <c r="N132" s="336">
        <v>350</v>
      </c>
      <c r="O132" s="148" t="s">
        <v>1237</v>
      </c>
      <c r="P132" s="354">
        <v>3.5</v>
      </c>
      <c r="Q132" s="150">
        <v>0.1</v>
      </c>
      <c r="R132" s="150" t="s">
        <v>1238</v>
      </c>
      <c r="S132" s="162">
        <v>0</v>
      </c>
      <c r="T132" s="144">
        <v>10</v>
      </c>
      <c r="U132" s="144">
        <v>2.5</v>
      </c>
      <c r="V132" s="176">
        <v>15</v>
      </c>
      <c r="W132" s="176" t="s">
        <v>1351</v>
      </c>
      <c r="X132" s="335" t="s">
        <v>1447</v>
      </c>
      <c r="Y132" s="144" t="s">
        <v>1324</v>
      </c>
      <c r="Z132" s="144" t="s">
        <v>272</v>
      </c>
      <c r="AA132" s="109"/>
      <c r="AB132" s="114"/>
      <c r="AC132" s="114"/>
      <c r="AD132" s="471" t="s">
        <v>1352</v>
      </c>
      <c r="AE132" s="101"/>
      <c r="AF132" s="44" t="s">
        <v>1258</v>
      </c>
      <c r="AG132" s="101"/>
      <c r="AH132" s="101"/>
      <c r="AI132" s="101"/>
    </row>
    <row r="133" spans="1:35" s="107" customFormat="1" ht="29.1">
      <c r="A133" s="516" t="s">
        <v>1452</v>
      </c>
      <c r="B133" s="516" t="s">
        <v>1448</v>
      </c>
      <c r="C133" s="108">
        <v>46234</v>
      </c>
      <c r="D133" s="108" t="s">
        <v>209</v>
      </c>
      <c r="E133" s="634" t="s">
        <v>1453</v>
      </c>
      <c r="F133" s="176">
        <v>60</v>
      </c>
      <c r="G133" s="176">
        <v>850</v>
      </c>
      <c r="H133" s="176" t="s">
        <v>1318</v>
      </c>
      <c r="I133" s="176">
        <v>70</v>
      </c>
      <c r="J133" s="146">
        <v>10</v>
      </c>
      <c r="K133" s="145">
        <v>140</v>
      </c>
      <c r="L133" s="145">
        <v>50</v>
      </c>
      <c r="M133" s="147" t="s">
        <v>1350</v>
      </c>
      <c r="N133" s="339">
        <v>350</v>
      </c>
      <c r="O133" s="148" t="s">
        <v>1237</v>
      </c>
      <c r="P133" s="249">
        <v>3</v>
      </c>
      <c r="Q133" s="150">
        <v>0.1</v>
      </c>
      <c r="R133" s="150" t="s">
        <v>1238</v>
      </c>
      <c r="S133" s="151">
        <v>5</v>
      </c>
      <c r="T133" s="144">
        <v>10</v>
      </c>
      <c r="U133" s="144">
        <v>2.5</v>
      </c>
      <c r="V133" s="176">
        <v>15</v>
      </c>
      <c r="W133" s="176" t="s">
        <v>1351</v>
      </c>
      <c r="X133" s="335" t="s">
        <v>1447</v>
      </c>
      <c r="Y133" s="144" t="s">
        <v>1324</v>
      </c>
      <c r="Z133" s="144" t="s">
        <v>272</v>
      </c>
      <c r="AA133" s="144" t="s">
        <v>1227</v>
      </c>
      <c r="AB133" s="152"/>
      <c r="AC133" s="152"/>
      <c r="AD133" s="471" t="s">
        <v>1454</v>
      </c>
      <c r="AE133" s="596" t="s">
        <v>1455</v>
      </c>
      <c r="AF133" s="44" t="s">
        <v>1258</v>
      </c>
      <c r="AG133" s="44">
        <v>0.10299999999999999</v>
      </c>
      <c r="AH133" s="44">
        <v>1.29</v>
      </c>
      <c r="AI133" s="44"/>
    </row>
    <row r="134" spans="1:35" s="107" customFormat="1" ht="29.1">
      <c r="A134" s="516" t="s">
        <v>1456</v>
      </c>
      <c r="B134" s="516" t="s">
        <v>1448</v>
      </c>
      <c r="C134" s="108">
        <v>46234</v>
      </c>
      <c r="D134" s="108" t="s">
        <v>209</v>
      </c>
      <c r="E134" s="634" t="s">
        <v>1457</v>
      </c>
      <c r="F134" s="176">
        <v>60</v>
      </c>
      <c r="G134" s="176">
        <v>850</v>
      </c>
      <c r="H134" s="176" t="s">
        <v>1318</v>
      </c>
      <c r="I134" s="176">
        <v>70</v>
      </c>
      <c r="J134" s="146">
        <v>10</v>
      </c>
      <c r="K134" s="145">
        <v>140</v>
      </c>
      <c r="L134" s="145">
        <v>50</v>
      </c>
      <c r="M134" s="147" t="s">
        <v>1350</v>
      </c>
      <c r="N134" s="339">
        <v>350</v>
      </c>
      <c r="O134" s="148" t="s">
        <v>1237</v>
      </c>
      <c r="P134" s="249">
        <v>3</v>
      </c>
      <c r="Q134" s="150">
        <v>0.1</v>
      </c>
      <c r="R134" s="150" t="s">
        <v>1238</v>
      </c>
      <c r="S134" s="162">
        <v>0</v>
      </c>
      <c r="T134" s="144">
        <v>10</v>
      </c>
      <c r="U134" s="144">
        <v>2.5</v>
      </c>
      <c r="V134" s="176">
        <v>15</v>
      </c>
      <c r="W134" s="176" t="s">
        <v>1351</v>
      </c>
      <c r="X134" s="335" t="s">
        <v>1447</v>
      </c>
      <c r="Y134" s="144" t="s">
        <v>1324</v>
      </c>
      <c r="Z134" s="144" t="s">
        <v>272</v>
      </c>
      <c r="AA134" s="144" t="s">
        <v>1227</v>
      </c>
      <c r="AB134" s="152"/>
      <c r="AC134" s="152"/>
      <c r="AD134" s="471" t="s">
        <v>1454</v>
      </c>
      <c r="AE134" s="596" t="s">
        <v>1455</v>
      </c>
      <c r="AF134" s="44" t="s">
        <v>1258</v>
      </c>
      <c r="AG134" s="44">
        <v>8.2000000000000003E-2</v>
      </c>
      <c r="AH134" s="44">
        <v>1.91</v>
      </c>
      <c r="AI134" s="44"/>
    </row>
    <row r="135" spans="1:35" s="107" customFormat="1" ht="29.1">
      <c r="A135" s="516" t="s">
        <v>1458</v>
      </c>
      <c r="B135" s="516" t="s">
        <v>1448</v>
      </c>
      <c r="C135" s="108">
        <v>46235</v>
      </c>
      <c r="D135" s="108" t="s">
        <v>209</v>
      </c>
      <c r="E135" s="634" t="s">
        <v>1459</v>
      </c>
      <c r="F135" s="176">
        <v>60</v>
      </c>
      <c r="G135" s="176">
        <v>850</v>
      </c>
      <c r="H135" s="176" t="s">
        <v>1318</v>
      </c>
      <c r="I135" s="176">
        <v>70</v>
      </c>
      <c r="J135" s="220">
        <v>8</v>
      </c>
      <c r="K135" s="145">
        <v>140</v>
      </c>
      <c r="L135" s="145">
        <v>50</v>
      </c>
      <c r="M135" s="147" t="s">
        <v>1350</v>
      </c>
      <c r="N135" s="339">
        <v>350</v>
      </c>
      <c r="O135" s="148" t="s">
        <v>1237</v>
      </c>
      <c r="P135" s="354">
        <v>3.5</v>
      </c>
      <c r="Q135" s="150">
        <v>0.1</v>
      </c>
      <c r="R135" s="150" t="s">
        <v>1238</v>
      </c>
      <c r="S135" s="162">
        <v>0</v>
      </c>
      <c r="T135" s="144">
        <v>10</v>
      </c>
      <c r="U135" s="144">
        <v>2.5</v>
      </c>
      <c r="V135" s="176">
        <v>15</v>
      </c>
      <c r="W135" s="176" t="s">
        <v>1351</v>
      </c>
      <c r="X135" s="335" t="s">
        <v>1447</v>
      </c>
      <c r="Y135" s="144" t="s">
        <v>1324</v>
      </c>
      <c r="Z135" s="144" t="s">
        <v>272</v>
      </c>
      <c r="AA135" s="144" t="s">
        <v>1227</v>
      </c>
      <c r="AB135" s="152"/>
      <c r="AC135" s="152"/>
      <c r="AD135" s="471" t="s">
        <v>1460</v>
      </c>
      <c r="AE135" s="596" t="s">
        <v>1455</v>
      </c>
      <c r="AF135" s="44" t="s">
        <v>1258</v>
      </c>
      <c r="AG135" s="44">
        <v>0.1</v>
      </c>
      <c r="AH135" s="44">
        <v>1.64</v>
      </c>
      <c r="AI135" s="44"/>
    </row>
    <row r="136" spans="1:35" s="107" customFormat="1" ht="29.1">
      <c r="A136" s="516" t="s">
        <v>1461</v>
      </c>
      <c r="B136" s="516" t="s">
        <v>1448</v>
      </c>
      <c r="C136" s="108">
        <v>46235</v>
      </c>
      <c r="D136" s="108" t="s">
        <v>209</v>
      </c>
      <c r="E136" s="634" t="s">
        <v>1462</v>
      </c>
      <c r="F136" s="176">
        <v>60</v>
      </c>
      <c r="G136" s="176">
        <v>850</v>
      </c>
      <c r="H136" s="176" t="s">
        <v>1318</v>
      </c>
      <c r="I136" s="176">
        <v>70</v>
      </c>
      <c r="J136" s="146">
        <v>10</v>
      </c>
      <c r="K136" s="145">
        <v>140</v>
      </c>
      <c r="L136" s="145">
        <v>50</v>
      </c>
      <c r="M136" s="147" t="s">
        <v>1350</v>
      </c>
      <c r="N136" s="339">
        <v>350</v>
      </c>
      <c r="O136" s="148" t="s">
        <v>1237</v>
      </c>
      <c r="P136" s="354">
        <v>3.5</v>
      </c>
      <c r="Q136" s="150">
        <v>0.1</v>
      </c>
      <c r="R136" s="150" t="s">
        <v>1238</v>
      </c>
      <c r="S136" s="162">
        <v>0</v>
      </c>
      <c r="T136" s="144">
        <v>10</v>
      </c>
      <c r="U136" s="144">
        <v>2.5</v>
      </c>
      <c r="V136" s="176">
        <v>15</v>
      </c>
      <c r="W136" s="176" t="s">
        <v>1351</v>
      </c>
      <c r="X136" s="335" t="s">
        <v>1447</v>
      </c>
      <c r="Y136" s="144" t="s">
        <v>1324</v>
      </c>
      <c r="Z136" s="144" t="s">
        <v>272</v>
      </c>
      <c r="AA136" s="144" t="s">
        <v>1227</v>
      </c>
      <c r="AB136" s="152"/>
      <c r="AC136" s="152"/>
      <c r="AD136" s="471" t="s">
        <v>1460</v>
      </c>
      <c r="AE136" s="596" t="s">
        <v>1455</v>
      </c>
      <c r="AF136" s="44" t="s">
        <v>1258</v>
      </c>
      <c r="AG136" s="44">
        <v>8.6999999999999994E-2</v>
      </c>
      <c r="AH136" s="44">
        <v>1.41</v>
      </c>
      <c r="AI136" s="44"/>
    </row>
    <row r="137" spans="1:35" s="107" customFormat="1" ht="29.1">
      <c r="A137" s="516" t="s">
        <v>1463</v>
      </c>
      <c r="B137" s="516" t="s">
        <v>1448</v>
      </c>
      <c r="C137" s="108">
        <v>46235</v>
      </c>
      <c r="D137" s="108" t="s">
        <v>209</v>
      </c>
      <c r="E137" s="634" t="s">
        <v>1464</v>
      </c>
      <c r="F137" s="176">
        <v>60</v>
      </c>
      <c r="G137" s="176">
        <v>850</v>
      </c>
      <c r="H137" s="176" t="s">
        <v>1318</v>
      </c>
      <c r="I137" s="176">
        <v>70</v>
      </c>
      <c r="J137" s="146">
        <v>10</v>
      </c>
      <c r="K137" s="145">
        <v>140</v>
      </c>
      <c r="L137" s="145">
        <v>50</v>
      </c>
      <c r="M137" s="147" t="s">
        <v>1350</v>
      </c>
      <c r="N137" s="339">
        <v>350</v>
      </c>
      <c r="O137" s="148" t="s">
        <v>1237</v>
      </c>
      <c r="P137" s="354">
        <v>3.5</v>
      </c>
      <c r="Q137" s="150">
        <v>0.1</v>
      </c>
      <c r="R137" s="150" t="s">
        <v>1238</v>
      </c>
      <c r="S137" s="162">
        <v>0</v>
      </c>
      <c r="T137" s="144">
        <v>10</v>
      </c>
      <c r="U137" s="144">
        <v>2.5</v>
      </c>
      <c r="V137" s="176">
        <v>15</v>
      </c>
      <c r="W137" s="176" t="s">
        <v>1351</v>
      </c>
      <c r="X137" s="335" t="s">
        <v>1447</v>
      </c>
      <c r="Y137" s="144" t="s">
        <v>1324</v>
      </c>
      <c r="Z137" s="144" t="s">
        <v>272</v>
      </c>
      <c r="AA137" s="144" t="s">
        <v>1227</v>
      </c>
      <c r="AB137" s="152"/>
      <c r="AC137" s="152"/>
      <c r="AD137" s="471" t="s">
        <v>1352</v>
      </c>
      <c r="AE137" s="596" t="s">
        <v>1455</v>
      </c>
      <c r="AF137" s="44" t="s">
        <v>1258</v>
      </c>
      <c r="AG137" s="44">
        <v>9.6000000000000002E-2</v>
      </c>
      <c r="AH137" s="44">
        <v>1.76</v>
      </c>
      <c r="AI137" s="44"/>
    </row>
    <row r="138" spans="1:35" s="107" customFormat="1" ht="29.1">
      <c r="A138" s="516" t="s">
        <v>1465</v>
      </c>
      <c r="B138" s="516" t="s">
        <v>1448</v>
      </c>
      <c r="C138" s="108">
        <v>46235</v>
      </c>
      <c r="D138" s="108" t="s">
        <v>209</v>
      </c>
      <c r="E138" s="634" t="s">
        <v>1466</v>
      </c>
      <c r="F138" s="176">
        <v>60</v>
      </c>
      <c r="G138" s="176">
        <v>850</v>
      </c>
      <c r="H138" s="176" t="s">
        <v>1318</v>
      </c>
      <c r="I138" s="176">
        <v>70</v>
      </c>
      <c r="J138" s="146">
        <v>10</v>
      </c>
      <c r="K138" s="145">
        <v>140</v>
      </c>
      <c r="L138" s="145">
        <v>50</v>
      </c>
      <c r="M138" s="147" t="s">
        <v>1350</v>
      </c>
      <c r="N138" s="339">
        <v>350</v>
      </c>
      <c r="O138" s="148" t="s">
        <v>1237</v>
      </c>
      <c r="P138" s="354">
        <v>3.5</v>
      </c>
      <c r="Q138" s="150">
        <v>0.1</v>
      </c>
      <c r="R138" s="150" t="s">
        <v>1238</v>
      </c>
      <c r="S138" s="162">
        <v>0</v>
      </c>
      <c r="T138" s="144">
        <v>10</v>
      </c>
      <c r="U138" s="144">
        <v>2.5</v>
      </c>
      <c r="V138" s="176">
        <v>15</v>
      </c>
      <c r="W138" s="176" t="s">
        <v>1351</v>
      </c>
      <c r="X138" s="274" t="s">
        <v>1467</v>
      </c>
      <c r="Y138" s="144" t="s">
        <v>1324</v>
      </c>
      <c r="Z138" s="144" t="s">
        <v>272</v>
      </c>
      <c r="AA138" s="144" t="s">
        <v>1227</v>
      </c>
      <c r="AB138" s="152"/>
      <c r="AC138" s="152"/>
      <c r="AD138" s="471" t="s">
        <v>1460</v>
      </c>
      <c r="AE138" s="596" t="s">
        <v>1455</v>
      </c>
      <c r="AF138" s="44" t="s">
        <v>1258</v>
      </c>
      <c r="AG138" s="44">
        <v>9.5000000000000001E-2</v>
      </c>
      <c r="AH138" s="44">
        <v>1.83</v>
      </c>
      <c r="AI138" s="44"/>
    </row>
    <row r="139" spans="1:35" s="107" customFormat="1" ht="29.1">
      <c r="A139" s="516" t="s">
        <v>1468</v>
      </c>
      <c r="B139" s="516" t="s">
        <v>1321</v>
      </c>
      <c r="C139" s="108">
        <v>46236</v>
      </c>
      <c r="D139" s="108" t="s">
        <v>209</v>
      </c>
      <c r="E139" s="634" t="s">
        <v>1469</v>
      </c>
      <c r="F139" s="172">
        <v>50</v>
      </c>
      <c r="G139" s="176">
        <v>850</v>
      </c>
      <c r="H139" s="176" t="s">
        <v>1318</v>
      </c>
      <c r="I139" s="176">
        <v>70</v>
      </c>
      <c r="J139" s="146">
        <v>10</v>
      </c>
      <c r="K139" s="145">
        <v>140</v>
      </c>
      <c r="L139" s="145"/>
      <c r="M139" s="147" t="s">
        <v>1470</v>
      </c>
      <c r="N139" s="339">
        <v>200</v>
      </c>
      <c r="O139" s="336" t="s">
        <v>1471</v>
      </c>
      <c r="P139" s="354">
        <v>2.5</v>
      </c>
      <c r="Q139" s="150">
        <v>0.1</v>
      </c>
      <c r="R139" s="150" t="s">
        <v>1238</v>
      </c>
      <c r="S139" s="162">
        <v>0</v>
      </c>
      <c r="T139" s="144">
        <v>10</v>
      </c>
      <c r="U139" s="144">
        <v>2.5</v>
      </c>
      <c r="V139" s="176">
        <v>15</v>
      </c>
      <c r="W139" s="176" t="s">
        <v>1351</v>
      </c>
      <c r="X139" s="335"/>
      <c r="Y139" s="144" t="s">
        <v>1324</v>
      </c>
      <c r="Z139" s="144" t="s">
        <v>272</v>
      </c>
      <c r="AA139" s="144" t="s">
        <v>1227</v>
      </c>
      <c r="AB139" s="152"/>
      <c r="AC139" s="152"/>
      <c r="AD139" s="471"/>
      <c r="AE139" s="596" t="s">
        <v>1455</v>
      </c>
      <c r="AF139" s="44" t="s">
        <v>1263</v>
      </c>
      <c r="AG139" s="44"/>
      <c r="AH139" s="44"/>
      <c r="AI139" s="44"/>
    </row>
    <row r="140" spans="1:35" s="107" customFormat="1" ht="43.5">
      <c r="A140" s="516" t="s">
        <v>1472</v>
      </c>
      <c r="B140" s="516" t="s">
        <v>1365</v>
      </c>
      <c r="C140" s="108">
        <v>46236</v>
      </c>
      <c r="D140" s="108" t="s">
        <v>209</v>
      </c>
      <c r="E140" s="634" t="s">
        <v>1473</v>
      </c>
      <c r="F140" s="176">
        <v>60</v>
      </c>
      <c r="G140" s="176">
        <v>850</v>
      </c>
      <c r="H140" s="176" t="s">
        <v>1318</v>
      </c>
      <c r="I140" s="176">
        <v>70</v>
      </c>
      <c r="J140" s="146">
        <v>10</v>
      </c>
      <c r="K140" s="145">
        <v>140</v>
      </c>
      <c r="L140" s="145">
        <v>50</v>
      </c>
      <c r="M140" s="147" t="s">
        <v>1350</v>
      </c>
      <c r="N140" s="339">
        <v>300</v>
      </c>
      <c r="O140" s="336" t="s">
        <v>1474</v>
      </c>
      <c r="P140" s="249">
        <v>3</v>
      </c>
      <c r="Q140" s="219">
        <v>0.2</v>
      </c>
      <c r="R140" s="150" t="s">
        <v>1238</v>
      </c>
      <c r="S140" s="162">
        <v>0</v>
      </c>
      <c r="T140" s="144">
        <v>10</v>
      </c>
      <c r="U140" s="176">
        <v>2.5</v>
      </c>
      <c r="V140" s="176">
        <v>15</v>
      </c>
      <c r="W140" s="176" t="s">
        <v>1351</v>
      </c>
      <c r="X140" s="335"/>
      <c r="Y140" s="144" t="s">
        <v>1324</v>
      </c>
      <c r="Z140" s="144" t="s">
        <v>272</v>
      </c>
      <c r="AA140" s="144" t="s">
        <v>1227</v>
      </c>
      <c r="AB140" s="152"/>
      <c r="AC140" s="152"/>
      <c r="AD140" s="471" t="s">
        <v>1352</v>
      </c>
      <c r="AE140" s="104"/>
      <c r="AF140" s="44" t="s">
        <v>1258</v>
      </c>
      <c r="AG140" s="44"/>
      <c r="AH140" s="44"/>
      <c r="AI140" s="44"/>
    </row>
    <row r="141" spans="1:35" s="107" customFormat="1" ht="43.5">
      <c r="A141" s="516" t="s">
        <v>1475</v>
      </c>
      <c r="B141" s="516" t="s">
        <v>1448</v>
      </c>
      <c r="C141" s="108">
        <v>46236</v>
      </c>
      <c r="D141" s="108" t="s">
        <v>209</v>
      </c>
      <c r="E141" s="634" t="s">
        <v>1476</v>
      </c>
      <c r="F141" s="176">
        <v>60</v>
      </c>
      <c r="G141" s="176">
        <v>850</v>
      </c>
      <c r="H141" s="176" t="s">
        <v>1318</v>
      </c>
      <c r="I141" s="176">
        <v>70</v>
      </c>
      <c r="J141" s="146">
        <v>10</v>
      </c>
      <c r="K141" s="145">
        <v>140</v>
      </c>
      <c r="L141" s="145">
        <v>50</v>
      </c>
      <c r="M141" s="147" t="s">
        <v>1350</v>
      </c>
      <c r="N141" s="339">
        <v>300</v>
      </c>
      <c r="O141" s="336" t="s">
        <v>1474</v>
      </c>
      <c r="P141" s="354">
        <v>3.5</v>
      </c>
      <c r="Q141" s="150">
        <v>0.1</v>
      </c>
      <c r="R141" s="150" t="s">
        <v>1238</v>
      </c>
      <c r="S141" s="162">
        <v>0</v>
      </c>
      <c r="T141" s="144">
        <v>10</v>
      </c>
      <c r="U141" s="144">
        <v>2.5</v>
      </c>
      <c r="V141" s="176">
        <v>15</v>
      </c>
      <c r="W141" s="176" t="s">
        <v>1351</v>
      </c>
      <c r="X141" s="335" t="s">
        <v>1447</v>
      </c>
      <c r="Y141" s="144" t="s">
        <v>1324</v>
      </c>
      <c r="Z141" s="144" t="s">
        <v>272</v>
      </c>
      <c r="AA141" s="144" t="s">
        <v>1227</v>
      </c>
      <c r="AB141" s="152"/>
      <c r="AC141" s="152"/>
      <c r="AD141" s="471" t="s">
        <v>1352</v>
      </c>
      <c r="AE141" s="596"/>
      <c r="AF141" s="44" t="s">
        <v>1258</v>
      </c>
      <c r="AG141" s="44"/>
      <c r="AH141" s="44"/>
      <c r="AI141" s="44"/>
    </row>
    <row r="142" spans="1:35" s="107" customFormat="1" ht="57.95">
      <c r="A142" s="516" t="s">
        <v>1477</v>
      </c>
      <c r="B142" s="516" t="s">
        <v>1448</v>
      </c>
      <c r="C142" s="108">
        <v>46236</v>
      </c>
      <c r="D142" s="108" t="s">
        <v>208</v>
      </c>
      <c r="E142" s="634" t="s">
        <v>1478</v>
      </c>
      <c r="F142" s="176">
        <v>60</v>
      </c>
      <c r="G142" s="176">
        <v>850</v>
      </c>
      <c r="H142" s="176" t="s">
        <v>1318</v>
      </c>
      <c r="I142" s="176">
        <v>70</v>
      </c>
      <c r="J142" s="146">
        <v>10</v>
      </c>
      <c r="K142" s="145">
        <v>140</v>
      </c>
      <c r="L142" s="145">
        <v>50</v>
      </c>
      <c r="M142" s="147" t="s">
        <v>1350</v>
      </c>
      <c r="N142" s="339">
        <v>300</v>
      </c>
      <c r="O142" s="336" t="s">
        <v>1474</v>
      </c>
      <c r="P142" s="354">
        <v>3.5</v>
      </c>
      <c r="Q142" s="150">
        <v>0.1</v>
      </c>
      <c r="R142" s="150" t="s">
        <v>1238</v>
      </c>
      <c r="S142" s="162">
        <v>0</v>
      </c>
      <c r="T142" s="144">
        <v>10</v>
      </c>
      <c r="U142" s="144">
        <v>2.5</v>
      </c>
      <c r="V142" s="176">
        <v>15</v>
      </c>
      <c r="W142" s="176" t="s">
        <v>1351</v>
      </c>
      <c r="X142" s="274" t="s">
        <v>1467</v>
      </c>
      <c r="Y142" s="144" t="s">
        <v>1324</v>
      </c>
      <c r="Z142" s="144" t="s">
        <v>272</v>
      </c>
      <c r="AA142" s="144" t="s">
        <v>1227</v>
      </c>
      <c r="AB142" s="152"/>
      <c r="AC142" s="152"/>
      <c r="AD142" s="471" t="s">
        <v>1352</v>
      </c>
      <c r="AE142" s="596"/>
      <c r="AF142" s="44"/>
      <c r="AG142" s="44"/>
      <c r="AH142" s="44"/>
      <c r="AI142" s="44"/>
    </row>
    <row r="143" spans="1:35" s="107" customFormat="1" ht="29.1">
      <c r="A143" s="516" t="s">
        <v>1479</v>
      </c>
      <c r="B143" s="516" t="s">
        <v>1448</v>
      </c>
      <c r="C143" s="108">
        <v>46236</v>
      </c>
      <c r="D143" s="108" t="s">
        <v>208</v>
      </c>
      <c r="E143" s="634" t="s">
        <v>1480</v>
      </c>
      <c r="F143" s="176">
        <v>60</v>
      </c>
      <c r="G143" s="176">
        <v>850</v>
      </c>
      <c r="H143" s="176" t="s">
        <v>1318</v>
      </c>
      <c r="I143" s="176">
        <v>70</v>
      </c>
      <c r="J143" s="146">
        <v>10</v>
      </c>
      <c r="K143" s="145">
        <v>140</v>
      </c>
      <c r="L143" s="145">
        <v>50</v>
      </c>
      <c r="M143" s="147" t="s">
        <v>1350</v>
      </c>
      <c r="N143" s="339">
        <v>300</v>
      </c>
      <c r="O143" s="336" t="s">
        <v>1474</v>
      </c>
      <c r="P143" s="354">
        <v>3.5</v>
      </c>
      <c r="Q143" s="150">
        <v>0.1</v>
      </c>
      <c r="R143" s="150" t="s">
        <v>1238</v>
      </c>
      <c r="S143" s="162">
        <v>0</v>
      </c>
      <c r="T143" s="144">
        <v>10</v>
      </c>
      <c r="U143" s="144">
        <v>2.5</v>
      </c>
      <c r="V143" s="176">
        <v>15</v>
      </c>
      <c r="W143" s="176" t="s">
        <v>1351</v>
      </c>
      <c r="X143" s="274" t="s">
        <v>1481</v>
      </c>
      <c r="Y143" s="144" t="s">
        <v>1324</v>
      </c>
      <c r="Z143" s="144" t="s">
        <v>272</v>
      </c>
      <c r="AA143" s="144" t="s">
        <v>1227</v>
      </c>
      <c r="AB143" s="152"/>
      <c r="AC143" s="152"/>
      <c r="AD143" s="471" t="s">
        <v>1352</v>
      </c>
      <c r="AE143" s="596"/>
      <c r="AF143" s="44"/>
      <c r="AG143" s="44"/>
      <c r="AH143" s="44"/>
      <c r="AI143" s="44"/>
    </row>
    <row r="144" spans="1:35" s="107" customFormat="1" ht="29.1">
      <c r="A144" s="636" t="s">
        <v>1482</v>
      </c>
      <c r="B144" s="636" t="s">
        <v>1448</v>
      </c>
      <c r="C144" s="108">
        <v>46237</v>
      </c>
      <c r="D144" s="108" t="s">
        <v>1368</v>
      </c>
      <c r="E144" s="300" t="s">
        <v>1483</v>
      </c>
      <c r="F144" s="176">
        <v>60</v>
      </c>
      <c r="G144" s="176">
        <v>850</v>
      </c>
      <c r="H144" s="637" t="s">
        <v>1450</v>
      </c>
      <c r="I144" s="176">
        <v>70</v>
      </c>
      <c r="J144" s="146">
        <v>10</v>
      </c>
      <c r="K144" s="145">
        <v>140</v>
      </c>
      <c r="L144" s="638">
        <v>50</v>
      </c>
      <c r="M144" s="147" t="s">
        <v>1451</v>
      </c>
      <c r="N144" s="645">
        <v>350</v>
      </c>
      <c r="O144" s="339" t="s">
        <v>1474</v>
      </c>
      <c r="P144" s="640">
        <v>3.5</v>
      </c>
      <c r="Q144" s="641">
        <v>0.1</v>
      </c>
      <c r="R144" s="150" t="s">
        <v>1238</v>
      </c>
      <c r="S144" s="162">
        <v>0</v>
      </c>
      <c r="T144" s="144">
        <v>10</v>
      </c>
      <c r="U144" s="642">
        <v>2.5</v>
      </c>
      <c r="V144" s="176">
        <v>15</v>
      </c>
      <c r="W144" s="176" t="s">
        <v>1351</v>
      </c>
      <c r="X144" s="648" t="s">
        <v>1447</v>
      </c>
      <c r="Y144" s="642" t="s">
        <v>1324</v>
      </c>
      <c r="Z144" s="642" t="s">
        <v>272</v>
      </c>
      <c r="AA144" s="109"/>
      <c r="AB144" s="114"/>
      <c r="AC144" s="114"/>
      <c r="AD144" s="644" t="s">
        <v>1352</v>
      </c>
      <c r="AE144" s="101"/>
      <c r="AF144" s="643" t="s">
        <v>1484</v>
      </c>
      <c r="AG144" s="101"/>
      <c r="AH144" s="101"/>
      <c r="AI144" s="101"/>
    </row>
    <row r="145" spans="1:35" s="107" customFormat="1" ht="29.1">
      <c r="A145" s="516" t="s">
        <v>1485</v>
      </c>
      <c r="B145" s="516" t="s">
        <v>1448</v>
      </c>
      <c r="C145" s="108">
        <v>46238</v>
      </c>
      <c r="D145" s="646" t="s">
        <v>1368</v>
      </c>
      <c r="E145" s="647" t="s">
        <v>1486</v>
      </c>
      <c r="F145" s="176">
        <v>60</v>
      </c>
      <c r="G145" s="176">
        <v>850</v>
      </c>
      <c r="H145" s="176" t="s">
        <v>1450</v>
      </c>
      <c r="I145" s="176">
        <v>70</v>
      </c>
      <c r="J145" s="146">
        <v>10</v>
      </c>
      <c r="K145" s="220">
        <v>160</v>
      </c>
      <c r="L145" s="638">
        <v>50</v>
      </c>
      <c r="M145" s="147" t="s">
        <v>1451</v>
      </c>
      <c r="N145" s="645">
        <v>350</v>
      </c>
      <c r="O145" s="339" t="s">
        <v>1474</v>
      </c>
      <c r="P145" s="640">
        <v>3.5</v>
      </c>
      <c r="Q145" s="641">
        <v>0.1</v>
      </c>
      <c r="R145" s="150" t="s">
        <v>1238</v>
      </c>
      <c r="S145" s="162">
        <v>0</v>
      </c>
      <c r="T145" s="144">
        <v>10</v>
      </c>
      <c r="U145" s="642">
        <v>2.5</v>
      </c>
      <c r="V145" s="176">
        <v>15</v>
      </c>
      <c r="W145" s="176" t="s">
        <v>1351</v>
      </c>
      <c r="X145" s="652" t="s">
        <v>1467</v>
      </c>
      <c r="Y145" s="144" t="s">
        <v>1324</v>
      </c>
      <c r="Z145" s="144" t="s">
        <v>272</v>
      </c>
      <c r="AA145" s="649"/>
      <c r="AB145" s="650"/>
      <c r="AC145" s="650"/>
      <c r="AD145" s="471" t="s">
        <v>1352</v>
      </c>
      <c r="AE145" s="651"/>
      <c r="AF145" s="44" t="s">
        <v>1263</v>
      </c>
      <c r="AG145" s="651"/>
      <c r="AH145" s="651"/>
      <c r="AI145" s="651"/>
    </row>
    <row r="146" spans="1:35" s="107" customFormat="1" ht="29.1">
      <c r="A146" s="636" t="s">
        <v>1487</v>
      </c>
      <c r="B146" s="636" t="s">
        <v>1448</v>
      </c>
      <c r="C146" s="108">
        <v>46238</v>
      </c>
      <c r="D146" s="108" t="s">
        <v>1368</v>
      </c>
      <c r="E146" s="300" t="s">
        <v>1488</v>
      </c>
      <c r="F146" s="176">
        <v>60</v>
      </c>
      <c r="G146" s="176">
        <v>850</v>
      </c>
      <c r="H146" s="637" t="s">
        <v>1450</v>
      </c>
      <c r="I146" s="176">
        <v>70</v>
      </c>
      <c r="J146" s="146">
        <v>10</v>
      </c>
      <c r="K146" s="145">
        <v>140</v>
      </c>
      <c r="L146" s="638">
        <v>50</v>
      </c>
      <c r="M146" s="147" t="s">
        <v>1451</v>
      </c>
      <c r="N146" s="639">
        <v>400</v>
      </c>
      <c r="O146" s="339" t="s">
        <v>1474</v>
      </c>
      <c r="P146" s="640">
        <v>3.5</v>
      </c>
      <c r="Q146" s="641">
        <v>0.1</v>
      </c>
      <c r="R146" s="150" t="s">
        <v>1238</v>
      </c>
      <c r="S146" s="162">
        <v>0</v>
      </c>
      <c r="T146" s="144">
        <v>10</v>
      </c>
      <c r="U146" s="642">
        <v>2.5</v>
      </c>
      <c r="V146" s="176">
        <v>15</v>
      </c>
      <c r="W146" s="176" t="s">
        <v>1351</v>
      </c>
      <c r="X146" s="652" t="s">
        <v>1467</v>
      </c>
      <c r="Y146" s="642" t="s">
        <v>1324</v>
      </c>
      <c r="Z146" s="642" t="s">
        <v>272</v>
      </c>
      <c r="AA146" s="109"/>
      <c r="AB146" s="114"/>
      <c r="AC146" s="114"/>
      <c r="AD146" s="644" t="s">
        <v>1352</v>
      </c>
      <c r="AE146" s="101"/>
      <c r="AF146" s="643" t="s">
        <v>1263</v>
      </c>
      <c r="AG146" s="101"/>
      <c r="AH146" s="101"/>
      <c r="AI146" s="101"/>
    </row>
    <row r="147" spans="1:35" s="107" customFormat="1" ht="29.1">
      <c r="A147" s="516" t="s">
        <v>1489</v>
      </c>
      <c r="B147" s="516" t="s">
        <v>1448</v>
      </c>
      <c r="C147" s="108">
        <v>46238</v>
      </c>
      <c r="D147" s="108" t="s">
        <v>1368</v>
      </c>
      <c r="E147" s="647" t="s">
        <v>1490</v>
      </c>
      <c r="F147" s="176">
        <v>60</v>
      </c>
      <c r="G147" s="172">
        <v>860</v>
      </c>
      <c r="H147" s="176" t="s">
        <v>1450</v>
      </c>
      <c r="I147" s="176">
        <v>70</v>
      </c>
      <c r="J147" s="146">
        <v>10</v>
      </c>
      <c r="K147" s="145">
        <v>140</v>
      </c>
      <c r="L147" s="638">
        <v>50</v>
      </c>
      <c r="M147" s="147" t="s">
        <v>1451</v>
      </c>
      <c r="N147" s="645">
        <v>350</v>
      </c>
      <c r="O147" s="339" t="s">
        <v>1474</v>
      </c>
      <c r="P147" s="640">
        <v>3.5</v>
      </c>
      <c r="Q147" s="641">
        <v>0.1</v>
      </c>
      <c r="R147" s="150" t="s">
        <v>1238</v>
      </c>
      <c r="S147" s="162">
        <v>0</v>
      </c>
      <c r="T147" s="144">
        <v>10</v>
      </c>
      <c r="U147" s="642">
        <v>2.5</v>
      </c>
      <c r="V147" s="176">
        <v>15</v>
      </c>
      <c r="W147" s="176" t="s">
        <v>1351</v>
      </c>
      <c r="X147" s="652" t="s">
        <v>1467</v>
      </c>
      <c r="Y147" s="144" t="s">
        <v>1324</v>
      </c>
      <c r="Z147" s="144" t="s">
        <v>272</v>
      </c>
      <c r="AA147" s="649"/>
      <c r="AB147" s="650"/>
      <c r="AC147" s="650"/>
      <c r="AD147" s="471" t="s">
        <v>1352</v>
      </c>
      <c r="AE147" s="651"/>
      <c r="AF147" s="44" t="s">
        <v>1258</v>
      </c>
      <c r="AG147" s="651"/>
      <c r="AH147" s="651"/>
      <c r="AI147" s="651"/>
    </row>
    <row r="148" spans="1:35" s="107" customFormat="1" ht="29.1">
      <c r="A148" s="636" t="s">
        <v>1491</v>
      </c>
      <c r="B148" s="636" t="s">
        <v>1448</v>
      </c>
      <c r="C148" s="108">
        <v>46238</v>
      </c>
      <c r="D148" s="108" t="s">
        <v>1368</v>
      </c>
      <c r="E148" s="300" t="s">
        <v>1490</v>
      </c>
      <c r="F148" s="176">
        <v>60</v>
      </c>
      <c r="G148" s="172">
        <v>870</v>
      </c>
      <c r="H148" s="637" t="s">
        <v>1450</v>
      </c>
      <c r="I148" s="176">
        <v>70</v>
      </c>
      <c r="J148" s="146">
        <v>10</v>
      </c>
      <c r="K148" s="145">
        <v>140</v>
      </c>
      <c r="L148" s="638">
        <v>50</v>
      </c>
      <c r="M148" s="147" t="s">
        <v>1451</v>
      </c>
      <c r="N148" s="645">
        <v>350</v>
      </c>
      <c r="O148" s="339" t="s">
        <v>1474</v>
      </c>
      <c r="P148" s="640">
        <v>3.5</v>
      </c>
      <c r="Q148" s="641">
        <v>0.1</v>
      </c>
      <c r="R148" s="150" t="s">
        <v>1238</v>
      </c>
      <c r="S148" s="162">
        <v>0</v>
      </c>
      <c r="T148" s="144">
        <v>10</v>
      </c>
      <c r="U148" s="642">
        <v>2.5</v>
      </c>
      <c r="V148" s="176">
        <v>15</v>
      </c>
      <c r="W148" s="176" t="s">
        <v>1351</v>
      </c>
      <c r="X148" s="652" t="s">
        <v>1467</v>
      </c>
      <c r="Y148" s="642" t="s">
        <v>1324</v>
      </c>
      <c r="Z148" s="642" t="s">
        <v>272</v>
      </c>
      <c r="AA148" s="109"/>
      <c r="AB148" s="114"/>
      <c r="AC148" s="114"/>
      <c r="AD148" s="644" t="s">
        <v>1352</v>
      </c>
      <c r="AE148" s="101"/>
      <c r="AF148" s="643" t="s">
        <v>1258</v>
      </c>
      <c r="AG148" s="101"/>
      <c r="AH148" s="101"/>
      <c r="AI148" s="101"/>
    </row>
    <row r="149" spans="1:35" s="107" customFormat="1" ht="29.1">
      <c r="A149" s="516" t="s">
        <v>1492</v>
      </c>
      <c r="B149" s="516" t="s">
        <v>1448</v>
      </c>
      <c r="C149" s="108">
        <v>46238</v>
      </c>
      <c r="D149" s="108" t="s">
        <v>209</v>
      </c>
      <c r="E149" s="634" t="s">
        <v>1493</v>
      </c>
      <c r="F149" s="176">
        <v>60</v>
      </c>
      <c r="G149" s="176">
        <v>850</v>
      </c>
      <c r="H149" s="176" t="s">
        <v>1318</v>
      </c>
      <c r="I149" s="176">
        <v>70</v>
      </c>
      <c r="J149" s="146">
        <v>10</v>
      </c>
      <c r="K149" s="145">
        <v>140</v>
      </c>
      <c r="L149" s="145">
        <v>50</v>
      </c>
      <c r="M149" s="147" t="s">
        <v>1350</v>
      </c>
      <c r="N149" s="339">
        <v>300</v>
      </c>
      <c r="O149" s="339" t="s">
        <v>1474</v>
      </c>
      <c r="P149" s="354">
        <v>3.5</v>
      </c>
      <c r="Q149" s="219">
        <v>0.15</v>
      </c>
      <c r="R149" s="150" t="s">
        <v>1238</v>
      </c>
      <c r="S149" s="162">
        <v>0</v>
      </c>
      <c r="T149" s="144">
        <v>10</v>
      </c>
      <c r="U149" s="144">
        <v>2.5</v>
      </c>
      <c r="V149" s="176">
        <v>15</v>
      </c>
      <c r="W149" s="176" t="s">
        <v>1351</v>
      </c>
      <c r="X149" s="335" t="s">
        <v>1447</v>
      </c>
      <c r="Y149" s="144" t="s">
        <v>1324</v>
      </c>
      <c r="Z149" s="144" t="s">
        <v>272</v>
      </c>
      <c r="AA149" s="144" t="s">
        <v>1227</v>
      </c>
      <c r="AB149" s="152"/>
      <c r="AC149" s="152"/>
      <c r="AD149" s="471" t="s">
        <v>1352</v>
      </c>
      <c r="AE149" s="596"/>
      <c r="AF149" s="44" t="s">
        <v>1258</v>
      </c>
      <c r="AG149" s="44">
        <v>7.6999999999999999E-2</v>
      </c>
      <c r="AH149" s="44">
        <v>1.91</v>
      </c>
      <c r="AI149" s="44"/>
    </row>
    <row r="150" spans="1:35" s="107" customFormat="1" ht="29.1">
      <c r="A150" s="516" t="s">
        <v>1494</v>
      </c>
      <c r="B150" s="516" t="s">
        <v>1448</v>
      </c>
      <c r="C150" s="108">
        <v>46238</v>
      </c>
      <c r="D150" s="108" t="s">
        <v>209</v>
      </c>
      <c r="E150" s="634" t="s">
        <v>1495</v>
      </c>
      <c r="F150" s="176">
        <v>60</v>
      </c>
      <c r="G150" s="176">
        <v>850</v>
      </c>
      <c r="H150" s="176" t="s">
        <v>1318</v>
      </c>
      <c r="I150" s="176">
        <v>70</v>
      </c>
      <c r="J150" s="146">
        <v>10</v>
      </c>
      <c r="K150" s="145">
        <v>140</v>
      </c>
      <c r="L150" s="145">
        <v>50</v>
      </c>
      <c r="M150" s="147" t="s">
        <v>1350</v>
      </c>
      <c r="N150" s="339">
        <v>300</v>
      </c>
      <c r="O150" s="339" t="s">
        <v>1474</v>
      </c>
      <c r="P150" s="354">
        <v>3.5</v>
      </c>
      <c r="Q150" s="219">
        <v>0.2</v>
      </c>
      <c r="R150" s="150" t="s">
        <v>1238</v>
      </c>
      <c r="S150" s="162">
        <v>0</v>
      </c>
      <c r="T150" s="144">
        <v>10</v>
      </c>
      <c r="U150" s="144">
        <v>2.5</v>
      </c>
      <c r="V150" s="176">
        <v>15</v>
      </c>
      <c r="W150" s="176" t="s">
        <v>1351</v>
      </c>
      <c r="X150" s="335" t="s">
        <v>1447</v>
      </c>
      <c r="Y150" s="144" t="s">
        <v>1324</v>
      </c>
      <c r="Z150" s="144" t="s">
        <v>272</v>
      </c>
      <c r="AA150" s="144" t="s">
        <v>1227</v>
      </c>
      <c r="AB150" s="152"/>
      <c r="AC150" s="152"/>
      <c r="AD150" s="471" t="s">
        <v>1352</v>
      </c>
      <c r="AE150" s="596"/>
      <c r="AF150" s="44" t="s">
        <v>1258</v>
      </c>
      <c r="AG150" s="44">
        <v>8.7999999999999995E-2</v>
      </c>
      <c r="AH150" s="44">
        <v>2.0699999999999998</v>
      </c>
      <c r="AI150" s="44"/>
    </row>
    <row r="151" spans="1:35" s="107" customFormat="1" ht="29.1">
      <c r="A151" s="516" t="s">
        <v>1496</v>
      </c>
      <c r="B151" s="516" t="s">
        <v>1448</v>
      </c>
      <c r="C151" s="108">
        <v>46239</v>
      </c>
      <c r="D151" s="108" t="s">
        <v>208</v>
      </c>
      <c r="E151" s="634" t="s">
        <v>1497</v>
      </c>
      <c r="F151" s="176">
        <v>60</v>
      </c>
      <c r="G151" s="176">
        <v>850</v>
      </c>
      <c r="H151" s="176" t="s">
        <v>1318</v>
      </c>
      <c r="I151" s="176">
        <v>70</v>
      </c>
      <c r="J151" s="146">
        <v>10</v>
      </c>
      <c r="K151" s="145">
        <v>140</v>
      </c>
      <c r="L151" s="145">
        <v>50</v>
      </c>
      <c r="M151" s="147" t="s">
        <v>1350</v>
      </c>
      <c r="N151" s="339">
        <v>300</v>
      </c>
      <c r="O151" s="339" t="s">
        <v>1474</v>
      </c>
      <c r="P151" s="354">
        <v>3.5</v>
      </c>
      <c r="Q151" s="219">
        <v>0.3</v>
      </c>
      <c r="R151" s="150" t="s">
        <v>1238</v>
      </c>
      <c r="S151" s="162">
        <v>0</v>
      </c>
      <c r="T151" s="144">
        <v>10</v>
      </c>
      <c r="U151" s="144">
        <v>2.5</v>
      </c>
      <c r="V151" s="176">
        <v>15</v>
      </c>
      <c r="W151" s="176" t="s">
        <v>1351</v>
      </c>
      <c r="X151" s="335" t="s">
        <v>1447</v>
      </c>
      <c r="Y151" s="144" t="s">
        <v>1324</v>
      </c>
      <c r="Z151" s="144" t="s">
        <v>272</v>
      </c>
      <c r="AA151" s="144" t="s">
        <v>1227</v>
      </c>
      <c r="AB151" s="152"/>
      <c r="AC151" s="152"/>
      <c r="AD151" s="471" t="s">
        <v>1352</v>
      </c>
      <c r="AE151" s="596"/>
      <c r="AF151" s="44" t="s">
        <v>1484</v>
      </c>
      <c r="AG151" s="44"/>
      <c r="AH151" s="44"/>
      <c r="AI151" s="44"/>
    </row>
    <row r="152" spans="1:35" s="107" customFormat="1" ht="29.1">
      <c r="A152" s="516" t="s">
        <v>1498</v>
      </c>
      <c r="B152" s="516" t="s">
        <v>1448</v>
      </c>
      <c r="C152" s="108">
        <v>46239</v>
      </c>
      <c r="D152" s="108" t="s">
        <v>1368</v>
      </c>
      <c r="E152" s="521" t="s">
        <v>1499</v>
      </c>
      <c r="F152" s="176">
        <v>60</v>
      </c>
      <c r="G152" s="172">
        <v>860</v>
      </c>
      <c r="H152" s="176" t="s">
        <v>1318</v>
      </c>
      <c r="I152" s="176">
        <v>70</v>
      </c>
      <c r="J152" s="146">
        <v>10</v>
      </c>
      <c r="K152" s="145">
        <v>140</v>
      </c>
      <c r="L152" s="145">
        <v>50</v>
      </c>
      <c r="M152" s="147" t="s">
        <v>1350</v>
      </c>
      <c r="N152" s="339">
        <v>300</v>
      </c>
      <c r="O152" s="339" t="s">
        <v>1474</v>
      </c>
      <c r="P152" s="249">
        <v>3.8</v>
      </c>
      <c r="Q152" s="641">
        <v>0.1</v>
      </c>
      <c r="R152" s="150" t="s">
        <v>1238</v>
      </c>
      <c r="S152" s="162">
        <v>0</v>
      </c>
      <c r="T152" s="144">
        <v>10</v>
      </c>
      <c r="U152" s="144">
        <v>2.5</v>
      </c>
      <c r="V152" s="176">
        <v>15</v>
      </c>
      <c r="W152" s="176" t="s">
        <v>1351</v>
      </c>
      <c r="X152" s="335" t="s">
        <v>1447</v>
      </c>
      <c r="Y152" s="144" t="s">
        <v>1324</v>
      </c>
      <c r="Z152" s="144" t="s">
        <v>272</v>
      </c>
      <c r="AA152" s="144" t="s">
        <v>1227</v>
      </c>
      <c r="AB152" s="152"/>
      <c r="AC152" s="152"/>
      <c r="AD152" s="471" t="s">
        <v>1352</v>
      </c>
      <c r="AE152" s="596"/>
      <c r="AF152" s="44" t="s">
        <v>1258</v>
      </c>
      <c r="AG152" s="44"/>
      <c r="AH152" s="44"/>
      <c r="AI152" s="44"/>
    </row>
    <row r="153" spans="1:35" s="107" customFormat="1" ht="29.1">
      <c r="A153" s="516" t="s">
        <v>1500</v>
      </c>
      <c r="B153" s="516" t="s">
        <v>1448</v>
      </c>
      <c r="C153" s="108">
        <v>46239</v>
      </c>
      <c r="D153" s="108" t="s">
        <v>1368</v>
      </c>
      <c r="E153" s="521" t="s">
        <v>1501</v>
      </c>
      <c r="F153" s="176">
        <v>60</v>
      </c>
      <c r="G153" s="176">
        <v>850</v>
      </c>
      <c r="H153" s="176" t="s">
        <v>1318</v>
      </c>
      <c r="I153" s="176">
        <v>70</v>
      </c>
      <c r="J153" s="146">
        <v>10</v>
      </c>
      <c r="K153" s="145">
        <v>140</v>
      </c>
      <c r="L153" s="145">
        <v>50</v>
      </c>
      <c r="M153" s="147" t="s">
        <v>1350</v>
      </c>
      <c r="N153" s="339">
        <v>300</v>
      </c>
      <c r="O153" s="339" t="s">
        <v>1474</v>
      </c>
      <c r="P153" s="354">
        <v>3.5</v>
      </c>
      <c r="Q153" s="641">
        <v>0.1</v>
      </c>
      <c r="R153" s="150" t="s">
        <v>1238</v>
      </c>
      <c r="S153" s="162">
        <v>0</v>
      </c>
      <c r="T153" s="144">
        <v>10</v>
      </c>
      <c r="U153" s="144">
        <v>2.5</v>
      </c>
      <c r="V153" s="176">
        <v>15</v>
      </c>
      <c r="W153" s="176" t="s">
        <v>1351</v>
      </c>
      <c r="X153" s="335" t="s">
        <v>1447</v>
      </c>
      <c r="Y153" s="144" t="s">
        <v>1324</v>
      </c>
      <c r="Z153" s="144" t="s">
        <v>272</v>
      </c>
      <c r="AA153" s="144" t="s">
        <v>1227</v>
      </c>
      <c r="AB153" s="152"/>
      <c r="AC153" s="152"/>
      <c r="AD153" s="471" t="s">
        <v>1352</v>
      </c>
      <c r="AE153" s="596"/>
      <c r="AF153" s="44" t="s">
        <v>1258</v>
      </c>
      <c r="AG153" s="44"/>
      <c r="AH153" s="44"/>
      <c r="AI153" s="44"/>
    </row>
    <row r="154" spans="1:35" s="107" customFormat="1" ht="29.1">
      <c r="A154" s="516" t="s">
        <v>1502</v>
      </c>
      <c r="B154" s="516" t="s">
        <v>1448</v>
      </c>
      <c r="C154" s="108">
        <v>46239</v>
      </c>
      <c r="D154" s="108" t="s">
        <v>1368</v>
      </c>
      <c r="E154" s="521" t="s">
        <v>1503</v>
      </c>
      <c r="F154" s="176">
        <v>60</v>
      </c>
      <c r="G154" s="172">
        <v>840</v>
      </c>
      <c r="H154" s="176" t="s">
        <v>1318</v>
      </c>
      <c r="I154" s="176">
        <v>70</v>
      </c>
      <c r="J154" s="146">
        <v>10</v>
      </c>
      <c r="K154" s="145">
        <v>140</v>
      </c>
      <c r="L154" s="145">
        <v>50</v>
      </c>
      <c r="M154" s="147" t="s">
        <v>1350</v>
      </c>
      <c r="N154" s="339">
        <v>300</v>
      </c>
      <c r="O154" s="339" t="s">
        <v>1474</v>
      </c>
      <c r="P154" s="354">
        <v>3.5</v>
      </c>
      <c r="Q154" s="219">
        <v>0.15</v>
      </c>
      <c r="R154" s="150" t="s">
        <v>1238</v>
      </c>
      <c r="S154" s="162">
        <v>0</v>
      </c>
      <c r="T154" s="144">
        <v>10</v>
      </c>
      <c r="U154" s="144">
        <v>2.5</v>
      </c>
      <c r="V154" s="176">
        <v>15</v>
      </c>
      <c r="W154" s="176" t="s">
        <v>1351</v>
      </c>
      <c r="X154" s="335" t="s">
        <v>1447</v>
      </c>
      <c r="Y154" s="144" t="s">
        <v>1324</v>
      </c>
      <c r="Z154" s="144" t="s">
        <v>272</v>
      </c>
      <c r="AA154" s="144" t="s">
        <v>1227</v>
      </c>
      <c r="AB154" s="152"/>
      <c r="AC154" s="152"/>
      <c r="AD154" s="471" t="s">
        <v>1352</v>
      </c>
      <c r="AE154" s="596"/>
      <c r="AF154" s="44"/>
      <c r="AG154" s="44"/>
      <c r="AH154" s="44"/>
      <c r="AI154" s="44"/>
    </row>
    <row r="155" spans="1:35" s="107" customFormat="1" ht="29.1">
      <c r="A155" s="516" t="s">
        <v>1504</v>
      </c>
      <c r="B155" s="516" t="s">
        <v>1448</v>
      </c>
      <c r="C155" s="108">
        <v>46240</v>
      </c>
      <c r="D155" s="108" t="s">
        <v>1368</v>
      </c>
      <c r="E155" s="665" t="s">
        <v>1503</v>
      </c>
      <c r="F155" s="176">
        <v>60</v>
      </c>
      <c r="G155" s="637">
        <v>850</v>
      </c>
      <c r="H155" s="176" t="s">
        <v>1318</v>
      </c>
      <c r="I155" s="176">
        <v>70</v>
      </c>
      <c r="J155" s="146">
        <v>10</v>
      </c>
      <c r="K155" s="145">
        <v>140</v>
      </c>
      <c r="L155" s="638">
        <v>50</v>
      </c>
      <c r="M155" s="147" t="s">
        <v>1350</v>
      </c>
      <c r="N155" s="339">
        <v>300</v>
      </c>
      <c r="O155" s="666" t="s">
        <v>1474</v>
      </c>
      <c r="P155" s="640">
        <v>3.5</v>
      </c>
      <c r="Q155" s="641">
        <v>0.1</v>
      </c>
      <c r="R155" s="150" t="s">
        <v>1238</v>
      </c>
      <c r="S155" s="162">
        <v>0</v>
      </c>
      <c r="T155" s="144">
        <v>10</v>
      </c>
      <c r="U155" s="642">
        <v>2.5</v>
      </c>
      <c r="V155" s="176">
        <v>15</v>
      </c>
      <c r="W155" s="176" t="s">
        <v>1351</v>
      </c>
      <c r="X155" s="648" t="s">
        <v>1505</v>
      </c>
      <c r="Y155" s="144" t="s">
        <v>1324</v>
      </c>
      <c r="Z155" s="144" t="s">
        <v>272</v>
      </c>
      <c r="AA155" s="144" t="s">
        <v>1227</v>
      </c>
      <c r="AB155" s="152"/>
      <c r="AC155" s="152"/>
      <c r="AD155" s="471" t="s">
        <v>1352</v>
      </c>
      <c r="AE155" s="668"/>
      <c r="AF155" s="44"/>
      <c r="AG155" s="44"/>
      <c r="AH155" s="643"/>
      <c r="AI155" s="44"/>
    </row>
    <row r="156" spans="1:35" s="107" customFormat="1" ht="29.1">
      <c r="A156" s="669" t="s">
        <v>1245</v>
      </c>
      <c r="B156" s="669" t="s">
        <v>1246</v>
      </c>
      <c r="C156" s="108">
        <v>46240</v>
      </c>
      <c r="D156" s="108" t="s">
        <v>1368</v>
      </c>
      <c r="E156" s="647"/>
      <c r="F156" s="176">
        <v>60</v>
      </c>
      <c r="G156" s="176">
        <v>910</v>
      </c>
      <c r="H156" s="642">
        <v>150</v>
      </c>
      <c r="I156" s="176">
        <v>50</v>
      </c>
      <c r="J156" s="146" t="s">
        <v>272</v>
      </c>
      <c r="K156" s="145" t="s">
        <v>272</v>
      </c>
      <c r="L156" s="146"/>
      <c r="M156" s="147" t="s">
        <v>1236</v>
      </c>
      <c r="N156" s="339">
        <v>150</v>
      </c>
      <c r="O156" s="666" t="s">
        <v>1474</v>
      </c>
      <c r="P156" s="149">
        <v>1</v>
      </c>
      <c r="Q156" s="469">
        <v>5</v>
      </c>
      <c r="R156" s="150" t="s">
        <v>1238</v>
      </c>
      <c r="S156" s="162">
        <v>0</v>
      </c>
      <c r="T156" s="144">
        <v>1</v>
      </c>
      <c r="U156" s="176">
        <v>5</v>
      </c>
      <c r="V156" s="176">
        <v>16</v>
      </c>
      <c r="W156" s="176" t="s">
        <v>1506</v>
      </c>
      <c r="X156" s="667" t="s">
        <v>1250</v>
      </c>
      <c r="Y156" s="649" t="s">
        <v>272</v>
      </c>
      <c r="Z156" s="649" t="s">
        <v>272</v>
      </c>
      <c r="AA156" s="649"/>
      <c r="AB156" s="650"/>
      <c r="AC156" s="650"/>
      <c r="AD156" s="670"/>
      <c r="AE156" s="651" t="s">
        <v>1507</v>
      </c>
      <c r="AF156" s="649"/>
      <c r="AG156" s="651"/>
      <c r="AH156" s="651"/>
      <c r="AI156" s="651"/>
    </row>
    <row r="157" spans="1:35" s="107" customFormat="1" ht="72.599999999999994">
      <c r="A157" s="516" t="s">
        <v>1508</v>
      </c>
      <c r="B157" s="516" t="s">
        <v>1448</v>
      </c>
      <c r="C157" s="108">
        <v>46240</v>
      </c>
      <c r="D157" s="108" t="s">
        <v>1368</v>
      </c>
      <c r="E157" s="665" t="s">
        <v>1464</v>
      </c>
      <c r="F157" s="176">
        <v>60</v>
      </c>
      <c r="G157" s="637">
        <v>850</v>
      </c>
      <c r="H157" s="176" t="s">
        <v>1318</v>
      </c>
      <c r="I157" s="176">
        <v>70</v>
      </c>
      <c r="J157" s="146">
        <v>10</v>
      </c>
      <c r="K157" s="145">
        <v>140</v>
      </c>
      <c r="L157" s="638">
        <v>50</v>
      </c>
      <c r="M157" s="147" t="s">
        <v>1350</v>
      </c>
      <c r="N157" s="339">
        <v>350</v>
      </c>
      <c r="O157" s="666" t="s">
        <v>1474</v>
      </c>
      <c r="P157" s="640">
        <v>3.5</v>
      </c>
      <c r="Q157" s="641">
        <v>0.1</v>
      </c>
      <c r="R157" s="150" t="s">
        <v>1238</v>
      </c>
      <c r="S157" s="162">
        <v>0</v>
      </c>
      <c r="T157" s="144">
        <v>10</v>
      </c>
      <c r="U157" s="642">
        <v>2.5</v>
      </c>
      <c r="V157" s="176">
        <v>15</v>
      </c>
      <c r="W157" s="176" t="s">
        <v>1506</v>
      </c>
      <c r="X157" s="335" t="s">
        <v>1447</v>
      </c>
      <c r="Y157" s="144" t="s">
        <v>1324</v>
      </c>
      <c r="Z157" s="144" t="s">
        <v>272</v>
      </c>
      <c r="AA157" s="144" t="s">
        <v>1227</v>
      </c>
      <c r="AB157" s="152"/>
      <c r="AC157" s="152"/>
      <c r="AD157" s="471" t="s">
        <v>1352</v>
      </c>
      <c r="AE157" s="668" t="s">
        <v>1509</v>
      </c>
      <c r="AF157" s="718" t="s">
        <v>1510</v>
      </c>
      <c r="AG157" s="44"/>
      <c r="AH157" s="643"/>
      <c r="AI157" s="44"/>
    </row>
    <row r="158" spans="1:35" s="107" customFormat="1" ht="43.5">
      <c r="A158" s="516" t="s">
        <v>1511</v>
      </c>
      <c r="B158" s="516" t="s">
        <v>1365</v>
      </c>
      <c r="C158" s="108">
        <v>46240</v>
      </c>
      <c r="D158" s="108" t="s">
        <v>209</v>
      </c>
      <c r="E158" s="594" t="s">
        <v>1512</v>
      </c>
      <c r="F158" s="176">
        <v>60</v>
      </c>
      <c r="G158" s="176">
        <v>850</v>
      </c>
      <c r="H158" s="176" t="s">
        <v>1318</v>
      </c>
      <c r="I158" s="176">
        <v>70</v>
      </c>
      <c r="J158" s="146">
        <v>10</v>
      </c>
      <c r="K158" s="145">
        <v>140</v>
      </c>
      <c r="L158" s="145">
        <v>50</v>
      </c>
      <c r="M158" s="147" t="s">
        <v>1350</v>
      </c>
      <c r="N158" s="339">
        <v>300</v>
      </c>
      <c r="O158" s="148" t="s">
        <v>1237</v>
      </c>
      <c r="P158" s="249">
        <v>3</v>
      </c>
      <c r="Q158" s="469">
        <v>0.2</v>
      </c>
      <c r="R158" s="150" t="s">
        <v>1238</v>
      </c>
      <c r="S158" s="162">
        <v>0</v>
      </c>
      <c r="T158" s="144">
        <v>10</v>
      </c>
      <c r="U158" s="176">
        <v>2.5</v>
      </c>
      <c r="V158" s="176">
        <v>15</v>
      </c>
      <c r="W158" s="176" t="s">
        <v>1506</v>
      </c>
      <c r="X158" s="335" t="s">
        <v>1447</v>
      </c>
      <c r="Y158" s="144" t="s">
        <v>1324</v>
      </c>
      <c r="Z158" s="144" t="s">
        <v>272</v>
      </c>
      <c r="AA158" s="144" t="s">
        <v>1227</v>
      </c>
      <c r="AB158" s="152"/>
      <c r="AC158" s="152"/>
      <c r="AD158" s="471" t="s">
        <v>1352</v>
      </c>
      <c r="AE158" s="104"/>
      <c r="AF158" s="718" t="s">
        <v>1513</v>
      </c>
      <c r="AG158" s="44"/>
      <c r="AH158" s="44"/>
      <c r="AI158" s="44"/>
    </row>
    <row r="159" spans="1:35" s="107" customFormat="1" ht="29.1">
      <c r="A159" s="516" t="s">
        <v>1514</v>
      </c>
      <c r="B159" s="516" t="s">
        <v>1448</v>
      </c>
      <c r="C159" s="108">
        <v>46241</v>
      </c>
      <c r="D159" s="108" t="s">
        <v>1368</v>
      </c>
      <c r="E159" s="300" t="s">
        <v>1515</v>
      </c>
      <c r="F159" s="176">
        <v>60</v>
      </c>
      <c r="G159" s="176">
        <v>850</v>
      </c>
      <c r="H159" s="176" t="s">
        <v>1432</v>
      </c>
      <c r="I159" s="176">
        <v>70</v>
      </c>
      <c r="J159" s="146">
        <v>10</v>
      </c>
      <c r="K159" s="145">
        <v>140</v>
      </c>
      <c r="L159" s="145">
        <v>50</v>
      </c>
      <c r="M159" s="147" t="s">
        <v>1516</v>
      </c>
      <c r="N159" s="336">
        <v>130</v>
      </c>
      <c r="O159" s="148" t="s">
        <v>1237</v>
      </c>
      <c r="P159" s="249">
        <v>2.5</v>
      </c>
      <c r="Q159" s="469">
        <v>0.2</v>
      </c>
      <c r="R159" s="150" t="s">
        <v>1238</v>
      </c>
      <c r="S159" s="162">
        <v>0</v>
      </c>
      <c r="T159" s="144">
        <v>10</v>
      </c>
      <c r="U159" s="176">
        <v>2.5</v>
      </c>
      <c r="V159" s="176">
        <v>15</v>
      </c>
      <c r="W159" s="176" t="s">
        <v>1506</v>
      </c>
      <c r="X159" s="144" t="s">
        <v>272</v>
      </c>
      <c r="Y159" s="144" t="s">
        <v>272</v>
      </c>
      <c r="Z159" s="144" t="s">
        <v>272</v>
      </c>
      <c r="AA159" s="144" t="s">
        <v>1227</v>
      </c>
      <c r="AB159" s="152"/>
      <c r="AC159" s="152"/>
      <c r="AD159" s="471" t="s">
        <v>1352</v>
      </c>
      <c r="AE159" s="104"/>
      <c r="AF159" s="72" t="s">
        <v>1517</v>
      </c>
      <c r="AG159" s="44"/>
      <c r="AH159" s="101"/>
      <c r="AI159" s="101"/>
    </row>
    <row r="160" spans="1:35" s="107" customFormat="1" ht="43.5">
      <c r="A160" s="516" t="s">
        <v>1518</v>
      </c>
      <c r="B160" s="516" t="s">
        <v>1448</v>
      </c>
      <c r="C160" s="108">
        <v>46241</v>
      </c>
      <c r="D160" s="108" t="s">
        <v>1368</v>
      </c>
      <c r="E160" s="300" t="s">
        <v>1519</v>
      </c>
      <c r="F160" s="176">
        <v>60</v>
      </c>
      <c r="G160" s="176">
        <v>850</v>
      </c>
      <c r="H160" s="176" t="s">
        <v>1318</v>
      </c>
      <c r="I160" s="176">
        <v>70</v>
      </c>
      <c r="J160" s="146">
        <v>10</v>
      </c>
      <c r="K160" s="145">
        <v>140</v>
      </c>
      <c r="L160" s="145">
        <v>50</v>
      </c>
      <c r="M160" s="147" t="s">
        <v>1350</v>
      </c>
      <c r="N160" s="339">
        <v>350</v>
      </c>
      <c r="O160" s="339" t="s">
        <v>1474</v>
      </c>
      <c r="P160" s="249">
        <v>2.5</v>
      </c>
      <c r="Q160" s="150">
        <v>0.1</v>
      </c>
      <c r="R160" s="150" t="s">
        <v>1238</v>
      </c>
      <c r="S160" s="162">
        <v>0</v>
      </c>
      <c r="T160" s="144">
        <v>10</v>
      </c>
      <c r="U160" s="144">
        <v>2.5</v>
      </c>
      <c r="V160" s="176">
        <v>15</v>
      </c>
      <c r="W160" s="176" t="s">
        <v>1506</v>
      </c>
      <c r="X160" s="335" t="s">
        <v>1447</v>
      </c>
      <c r="Y160" s="144" t="s">
        <v>1324</v>
      </c>
      <c r="Z160" s="144" t="s">
        <v>272</v>
      </c>
      <c r="AA160" s="144" t="s">
        <v>1227</v>
      </c>
      <c r="AB160" s="152"/>
      <c r="AC160" s="152"/>
      <c r="AD160" s="471" t="s">
        <v>1352</v>
      </c>
      <c r="AE160" s="596"/>
      <c r="AF160" s="718" t="s">
        <v>1520</v>
      </c>
      <c r="AG160" s="44"/>
      <c r="AH160" s="44"/>
      <c r="AI160" s="44"/>
    </row>
    <row r="161" spans="1:35" s="107" customFormat="1" ht="72.599999999999994">
      <c r="A161" s="516" t="s">
        <v>1521</v>
      </c>
      <c r="B161" s="516" t="s">
        <v>1448</v>
      </c>
      <c r="C161" s="108">
        <v>46241</v>
      </c>
      <c r="D161" s="108" t="s">
        <v>1368</v>
      </c>
      <c r="E161" s="300" t="s">
        <v>1522</v>
      </c>
      <c r="F161" s="176">
        <v>60</v>
      </c>
      <c r="G161" s="176">
        <v>850</v>
      </c>
      <c r="H161" s="176" t="s">
        <v>1318</v>
      </c>
      <c r="I161" s="176">
        <v>70</v>
      </c>
      <c r="J161" s="146">
        <v>10</v>
      </c>
      <c r="K161" s="145">
        <v>140</v>
      </c>
      <c r="L161" s="145">
        <v>50</v>
      </c>
      <c r="M161" s="147" t="s">
        <v>1350</v>
      </c>
      <c r="N161" s="339">
        <v>350</v>
      </c>
      <c r="O161" s="339" t="s">
        <v>1474</v>
      </c>
      <c r="P161" s="249">
        <v>2</v>
      </c>
      <c r="Q161" s="150">
        <v>0.1</v>
      </c>
      <c r="R161" s="150" t="s">
        <v>1238</v>
      </c>
      <c r="S161" s="162">
        <v>0</v>
      </c>
      <c r="T161" s="144">
        <v>10</v>
      </c>
      <c r="U161" s="144">
        <v>2.5</v>
      </c>
      <c r="V161" s="176">
        <v>15</v>
      </c>
      <c r="W161" s="176" t="s">
        <v>1506</v>
      </c>
      <c r="X161" s="335" t="s">
        <v>1447</v>
      </c>
      <c r="Y161" s="144" t="s">
        <v>1324</v>
      </c>
      <c r="Z161" s="144" t="s">
        <v>272</v>
      </c>
      <c r="AA161" s="144" t="s">
        <v>1227</v>
      </c>
      <c r="AB161" s="152"/>
      <c r="AC161" s="152"/>
      <c r="AD161" s="471" t="s">
        <v>1352</v>
      </c>
      <c r="AE161" s="101"/>
      <c r="AF161" s="718" t="s">
        <v>1523</v>
      </c>
      <c r="AG161" s="101"/>
      <c r="AH161" s="101"/>
      <c r="AI161" s="101"/>
    </row>
    <row r="162" spans="1:35" s="107" customFormat="1" ht="29.1">
      <c r="A162" s="516" t="s">
        <v>1524</v>
      </c>
      <c r="B162" s="516" t="s">
        <v>1448</v>
      </c>
      <c r="C162" s="108">
        <v>46241</v>
      </c>
      <c r="D162" s="108" t="s">
        <v>209</v>
      </c>
      <c r="E162" s="521" t="s">
        <v>1525</v>
      </c>
      <c r="F162" s="176">
        <v>60</v>
      </c>
      <c r="G162" s="637">
        <v>850</v>
      </c>
      <c r="H162" s="176" t="s">
        <v>1318</v>
      </c>
      <c r="I162" s="176">
        <v>70</v>
      </c>
      <c r="J162" s="146">
        <v>10</v>
      </c>
      <c r="K162" s="145">
        <v>140</v>
      </c>
      <c r="L162" s="638">
        <v>50</v>
      </c>
      <c r="M162" s="147" t="s">
        <v>1350</v>
      </c>
      <c r="N162" s="339">
        <v>350</v>
      </c>
      <c r="O162" s="666" t="s">
        <v>1474</v>
      </c>
      <c r="P162" s="249">
        <v>2</v>
      </c>
      <c r="Q162" s="641">
        <v>0.2</v>
      </c>
      <c r="R162" s="150" t="s">
        <v>1238</v>
      </c>
      <c r="S162" s="162">
        <v>0</v>
      </c>
      <c r="T162" s="144">
        <v>10</v>
      </c>
      <c r="U162" s="642">
        <v>2.5</v>
      </c>
      <c r="V162" s="176">
        <v>15</v>
      </c>
      <c r="W162" s="176" t="s">
        <v>1506</v>
      </c>
      <c r="X162" s="335" t="s">
        <v>1447</v>
      </c>
      <c r="Y162" s="144" t="s">
        <v>1324</v>
      </c>
      <c r="Z162" s="144" t="s">
        <v>272</v>
      </c>
      <c r="AA162" s="144" t="s">
        <v>1227</v>
      </c>
      <c r="AB162" s="152"/>
      <c r="AC162" s="152"/>
      <c r="AD162" s="471" t="s">
        <v>1352</v>
      </c>
      <c r="AE162" s="668"/>
      <c r="AF162" s="718" t="s">
        <v>1526</v>
      </c>
      <c r="AG162" s="44"/>
      <c r="AH162" s="643"/>
      <c r="AI162" s="44"/>
    </row>
    <row r="163" spans="1:35" s="107" customFormat="1" ht="43.5">
      <c r="A163" s="516" t="s">
        <v>1527</v>
      </c>
      <c r="B163" s="516" t="s">
        <v>1448</v>
      </c>
      <c r="C163" s="108" t="s">
        <v>1528</v>
      </c>
      <c r="D163" s="108" t="s">
        <v>209</v>
      </c>
      <c r="E163" s="521" t="s">
        <v>1529</v>
      </c>
      <c r="F163" s="176">
        <v>60</v>
      </c>
      <c r="G163" s="637">
        <v>850</v>
      </c>
      <c r="H163" s="176" t="s">
        <v>1318</v>
      </c>
      <c r="I163" s="176">
        <v>70</v>
      </c>
      <c r="J163" s="146">
        <v>10</v>
      </c>
      <c r="K163" s="145">
        <v>140</v>
      </c>
      <c r="L163" s="220">
        <v>40</v>
      </c>
      <c r="M163" s="147" t="s">
        <v>1350</v>
      </c>
      <c r="N163" s="339">
        <v>350</v>
      </c>
      <c r="O163" s="666" t="s">
        <v>1474</v>
      </c>
      <c r="P163" s="640">
        <v>2</v>
      </c>
      <c r="Q163" s="641">
        <v>0.2</v>
      </c>
      <c r="R163" s="150" t="s">
        <v>1238</v>
      </c>
      <c r="S163" s="162">
        <v>0</v>
      </c>
      <c r="T163" s="144">
        <v>10</v>
      </c>
      <c r="U163" s="642">
        <v>2.5</v>
      </c>
      <c r="V163" s="176">
        <v>15</v>
      </c>
      <c r="W163" s="176" t="s">
        <v>1506</v>
      </c>
      <c r="X163" s="335" t="s">
        <v>1447</v>
      </c>
      <c r="Y163" s="144" t="s">
        <v>1324</v>
      </c>
      <c r="Z163" s="144" t="s">
        <v>272</v>
      </c>
      <c r="AA163" s="144" t="s">
        <v>1227</v>
      </c>
      <c r="AB163" s="152"/>
      <c r="AC163" s="152"/>
      <c r="AD163" s="471" t="s">
        <v>1352</v>
      </c>
      <c r="AE163" s="668"/>
      <c r="AF163" s="718" t="s">
        <v>1530</v>
      </c>
      <c r="AG163" s="44"/>
      <c r="AH163" s="643"/>
      <c r="AI163" s="44"/>
    </row>
    <row r="164" spans="1:35" s="107" customFormat="1" ht="29.1">
      <c r="A164" s="516" t="s">
        <v>1531</v>
      </c>
      <c r="B164" s="516" t="s">
        <v>1448</v>
      </c>
      <c r="C164" s="108">
        <v>46242</v>
      </c>
      <c r="D164" s="108" t="s">
        <v>209</v>
      </c>
      <c r="E164" s="521" t="s">
        <v>1532</v>
      </c>
      <c r="F164" s="172">
        <v>70</v>
      </c>
      <c r="G164" s="637">
        <v>850</v>
      </c>
      <c r="H164" s="176" t="s">
        <v>1318</v>
      </c>
      <c r="I164" s="176">
        <v>70</v>
      </c>
      <c r="J164" s="146">
        <v>10</v>
      </c>
      <c r="K164" s="145">
        <v>140</v>
      </c>
      <c r="L164" s="638">
        <v>50</v>
      </c>
      <c r="M164" s="147" t="s">
        <v>1350</v>
      </c>
      <c r="N164" s="339">
        <v>350</v>
      </c>
      <c r="O164" s="666" t="s">
        <v>1474</v>
      </c>
      <c r="P164" s="640">
        <v>2</v>
      </c>
      <c r="Q164" s="641">
        <v>0.2</v>
      </c>
      <c r="R164" s="150" t="s">
        <v>1238</v>
      </c>
      <c r="S164" s="162">
        <v>0</v>
      </c>
      <c r="T164" s="144">
        <v>10</v>
      </c>
      <c r="U164" s="642">
        <v>2.5</v>
      </c>
      <c r="V164" s="176">
        <v>15</v>
      </c>
      <c r="W164" s="176" t="s">
        <v>1506</v>
      </c>
      <c r="X164" s="335" t="s">
        <v>1447</v>
      </c>
      <c r="Y164" s="144" t="s">
        <v>1324</v>
      </c>
      <c r="Z164" s="144" t="s">
        <v>272</v>
      </c>
      <c r="AA164" s="144" t="s">
        <v>1227</v>
      </c>
      <c r="AB164" s="152"/>
      <c r="AC164" s="152"/>
      <c r="AD164" s="471" t="s">
        <v>1352</v>
      </c>
      <c r="AE164" s="668"/>
      <c r="AF164" s="718" t="s">
        <v>1533</v>
      </c>
      <c r="AG164" s="44"/>
      <c r="AH164" s="643"/>
      <c r="AI164" s="44"/>
    </row>
    <row r="165" spans="1:35" s="107" customFormat="1" ht="29.1">
      <c r="A165" s="516" t="s">
        <v>1534</v>
      </c>
      <c r="B165" s="516" t="s">
        <v>1448</v>
      </c>
      <c r="C165" s="108">
        <v>46242</v>
      </c>
      <c r="D165" s="108" t="s">
        <v>209</v>
      </c>
      <c r="E165" s="521" t="s">
        <v>1529</v>
      </c>
      <c r="F165" s="176">
        <v>60</v>
      </c>
      <c r="G165" s="637">
        <v>850</v>
      </c>
      <c r="H165" s="176" t="s">
        <v>1318</v>
      </c>
      <c r="I165" s="176">
        <v>70</v>
      </c>
      <c r="J165" s="220">
        <v>5</v>
      </c>
      <c r="K165" s="145">
        <v>140</v>
      </c>
      <c r="L165" s="638">
        <v>50</v>
      </c>
      <c r="M165" s="147" t="s">
        <v>1350</v>
      </c>
      <c r="N165" s="339">
        <v>350</v>
      </c>
      <c r="O165" s="666" t="s">
        <v>1474</v>
      </c>
      <c r="P165" s="640">
        <v>2</v>
      </c>
      <c r="Q165" s="641">
        <v>0.2</v>
      </c>
      <c r="R165" s="150" t="s">
        <v>1238</v>
      </c>
      <c r="S165" s="162">
        <v>0</v>
      </c>
      <c r="T165" s="144">
        <v>10</v>
      </c>
      <c r="U165" s="642">
        <v>2.5</v>
      </c>
      <c r="V165" s="176">
        <v>15</v>
      </c>
      <c r="W165" s="176" t="s">
        <v>1506</v>
      </c>
      <c r="X165" s="335" t="s">
        <v>1447</v>
      </c>
      <c r="Y165" s="144" t="s">
        <v>1324</v>
      </c>
      <c r="Z165" s="144" t="s">
        <v>272</v>
      </c>
      <c r="AA165" s="144" t="s">
        <v>1227</v>
      </c>
      <c r="AB165" s="152"/>
      <c r="AC165" s="152"/>
      <c r="AD165" s="471" t="s">
        <v>1352</v>
      </c>
      <c r="AE165" s="668"/>
      <c r="AF165" s="44" t="s">
        <v>1535</v>
      </c>
      <c r="AG165" s="44"/>
      <c r="AH165" s="643"/>
      <c r="AI165" s="44"/>
    </row>
    <row r="166" spans="1:35" s="107" customFormat="1" ht="29.1">
      <c r="A166" s="516" t="s">
        <v>1536</v>
      </c>
      <c r="B166" s="516" t="s">
        <v>1448</v>
      </c>
      <c r="C166" s="108">
        <v>46243</v>
      </c>
      <c r="D166" s="108" t="s">
        <v>209</v>
      </c>
      <c r="E166" s="521" t="s">
        <v>1537</v>
      </c>
      <c r="F166" s="176">
        <v>60</v>
      </c>
      <c r="G166" s="637">
        <v>850</v>
      </c>
      <c r="H166" s="176" t="s">
        <v>1318</v>
      </c>
      <c r="I166" s="176">
        <v>70</v>
      </c>
      <c r="J166" s="146">
        <v>10</v>
      </c>
      <c r="K166" s="145">
        <v>140</v>
      </c>
      <c r="L166" s="638">
        <v>50</v>
      </c>
      <c r="M166" s="147" t="s">
        <v>1350</v>
      </c>
      <c r="N166" s="339">
        <v>350</v>
      </c>
      <c r="O166" s="666" t="s">
        <v>1474</v>
      </c>
      <c r="P166" s="640">
        <v>2</v>
      </c>
      <c r="Q166" s="641">
        <v>0.2</v>
      </c>
      <c r="R166" s="150" t="s">
        <v>1238</v>
      </c>
      <c r="S166" s="162">
        <v>0</v>
      </c>
      <c r="T166" s="144">
        <v>10</v>
      </c>
      <c r="U166" s="642">
        <v>2.5</v>
      </c>
      <c r="V166" s="176">
        <v>15</v>
      </c>
      <c r="W166" s="176" t="s">
        <v>1506</v>
      </c>
      <c r="X166" s="274" t="s">
        <v>1538</v>
      </c>
      <c r="Y166" s="144" t="s">
        <v>1324</v>
      </c>
      <c r="Z166" s="144" t="s">
        <v>272</v>
      </c>
      <c r="AA166" s="144" t="s">
        <v>1227</v>
      </c>
      <c r="AB166" s="152"/>
      <c r="AC166" s="152"/>
      <c r="AD166" s="471" t="s">
        <v>1352</v>
      </c>
      <c r="AE166" s="668"/>
      <c r="AF166" s="72" t="s">
        <v>1539</v>
      </c>
      <c r="AG166" s="44"/>
      <c r="AH166" s="643"/>
      <c r="AI166" s="44"/>
    </row>
    <row r="167" spans="1:35" s="107" customFormat="1" ht="29.1">
      <c r="A167" s="516" t="s">
        <v>1540</v>
      </c>
      <c r="B167" s="516" t="s">
        <v>1448</v>
      </c>
      <c r="C167" s="108">
        <v>46243</v>
      </c>
      <c r="D167" s="108" t="s">
        <v>209</v>
      </c>
      <c r="E167" s="521" t="s">
        <v>1541</v>
      </c>
      <c r="F167" s="176">
        <v>60</v>
      </c>
      <c r="G167" s="637">
        <v>850</v>
      </c>
      <c r="H167" s="176" t="s">
        <v>1318</v>
      </c>
      <c r="I167" s="172">
        <v>30</v>
      </c>
      <c r="J167" s="146">
        <v>10</v>
      </c>
      <c r="K167" s="145">
        <v>140</v>
      </c>
      <c r="L167" s="638">
        <v>50</v>
      </c>
      <c r="M167" s="147" t="s">
        <v>1350</v>
      </c>
      <c r="N167" s="339">
        <v>350</v>
      </c>
      <c r="O167" s="666" t="s">
        <v>1474</v>
      </c>
      <c r="P167" s="640">
        <v>2</v>
      </c>
      <c r="Q167" s="641">
        <v>0.2</v>
      </c>
      <c r="R167" s="150" t="s">
        <v>1238</v>
      </c>
      <c r="S167" s="162">
        <v>0</v>
      </c>
      <c r="T167" s="144">
        <v>10</v>
      </c>
      <c r="U167" s="642">
        <v>2.5</v>
      </c>
      <c r="V167" s="176">
        <v>15</v>
      </c>
      <c r="W167" s="176" t="s">
        <v>1506</v>
      </c>
      <c r="X167" s="335" t="s">
        <v>1447</v>
      </c>
      <c r="Y167" s="144" t="s">
        <v>1324</v>
      </c>
      <c r="Z167" s="144" t="s">
        <v>272</v>
      </c>
      <c r="AA167" s="144" t="s">
        <v>1227</v>
      </c>
      <c r="AB167" s="152"/>
      <c r="AC167" s="152"/>
      <c r="AD167" s="471" t="s">
        <v>1352</v>
      </c>
      <c r="AE167" s="668"/>
      <c r="AF167" s="44" t="s">
        <v>1542</v>
      </c>
      <c r="AG167" s="44"/>
      <c r="AH167" s="643"/>
      <c r="AI167" s="44"/>
    </row>
    <row r="168" spans="1:35" s="107" customFormat="1" ht="29.1">
      <c r="A168" s="516" t="s">
        <v>1543</v>
      </c>
      <c r="B168" s="516" t="s">
        <v>1448</v>
      </c>
      <c r="C168" s="108">
        <v>46243</v>
      </c>
      <c r="D168" s="108" t="s">
        <v>209</v>
      </c>
      <c r="E168" s="521" t="s">
        <v>1544</v>
      </c>
      <c r="F168" s="176">
        <v>60</v>
      </c>
      <c r="G168" s="637">
        <v>850</v>
      </c>
      <c r="H168" s="176" t="s">
        <v>1318</v>
      </c>
      <c r="I168" s="176">
        <v>70</v>
      </c>
      <c r="J168" s="146">
        <v>10</v>
      </c>
      <c r="K168" s="145">
        <v>140</v>
      </c>
      <c r="L168" s="638">
        <v>50</v>
      </c>
      <c r="M168" s="147" t="s">
        <v>1350</v>
      </c>
      <c r="N168" s="336">
        <v>250</v>
      </c>
      <c r="O168" s="666" t="s">
        <v>1474</v>
      </c>
      <c r="P168" s="640">
        <v>2</v>
      </c>
      <c r="Q168" s="641">
        <v>0.2</v>
      </c>
      <c r="R168" s="150" t="s">
        <v>1238</v>
      </c>
      <c r="S168" s="162">
        <v>0</v>
      </c>
      <c r="T168" s="144">
        <v>10</v>
      </c>
      <c r="U168" s="642">
        <v>2.5</v>
      </c>
      <c r="V168" s="176">
        <v>15</v>
      </c>
      <c r="W168" s="176" t="s">
        <v>1506</v>
      </c>
      <c r="X168" s="335" t="s">
        <v>1447</v>
      </c>
      <c r="Y168" s="144" t="s">
        <v>1324</v>
      </c>
      <c r="Z168" s="144" t="s">
        <v>272</v>
      </c>
      <c r="AA168" s="144" t="s">
        <v>1227</v>
      </c>
      <c r="AB168" s="152"/>
      <c r="AC168" s="152"/>
      <c r="AD168" s="471" t="s">
        <v>1352</v>
      </c>
      <c r="AE168" s="668"/>
      <c r="AF168" s="44" t="s">
        <v>1258</v>
      </c>
      <c r="AG168" s="44"/>
      <c r="AH168" s="643"/>
      <c r="AI168" s="44"/>
    </row>
    <row r="169" spans="1:35" s="107" customFormat="1" ht="29.1">
      <c r="A169" s="516" t="s">
        <v>1545</v>
      </c>
      <c r="B169" s="516" t="s">
        <v>1448</v>
      </c>
      <c r="C169" s="108">
        <v>46243</v>
      </c>
      <c r="D169" s="108" t="s">
        <v>209</v>
      </c>
      <c r="E169" s="521" t="s">
        <v>1546</v>
      </c>
      <c r="F169" s="176">
        <v>60</v>
      </c>
      <c r="G169" s="176">
        <v>850</v>
      </c>
      <c r="H169" s="176" t="s">
        <v>1318</v>
      </c>
      <c r="I169" s="176">
        <v>70</v>
      </c>
      <c r="J169" s="146">
        <v>10</v>
      </c>
      <c r="K169" s="145">
        <v>140</v>
      </c>
      <c r="L169" s="145">
        <v>50</v>
      </c>
      <c r="M169" s="147" t="s">
        <v>1350</v>
      </c>
      <c r="N169" s="336">
        <v>250</v>
      </c>
      <c r="O169" s="339" t="s">
        <v>1474</v>
      </c>
      <c r="P169" s="354">
        <v>2</v>
      </c>
      <c r="Q169" s="150">
        <v>0.2</v>
      </c>
      <c r="R169" s="150" t="s">
        <v>1238</v>
      </c>
      <c r="S169" s="162">
        <v>0</v>
      </c>
      <c r="T169" s="144">
        <v>10</v>
      </c>
      <c r="U169" s="144">
        <v>2.5</v>
      </c>
      <c r="V169" s="176">
        <v>15</v>
      </c>
      <c r="W169" s="176" t="s">
        <v>1506</v>
      </c>
      <c r="X169" s="335" t="s">
        <v>1447</v>
      </c>
      <c r="Y169" s="144" t="s">
        <v>1324</v>
      </c>
      <c r="Z169" s="144" t="s">
        <v>272</v>
      </c>
      <c r="AA169" s="144" t="s">
        <v>1227</v>
      </c>
      <c r="AB169" s="152"/>
      <c r="AC169" s="152"/>
      <c r="AD169" s="471" t="s">
        <v>1352</v>
      </c>
      <c r="AE169" s="596"/>
      <c r="AF169" s="44" t="s">
        <v>1263</v>
      </c>
      <c r="AG169" s="44"/>
      <c r="AH169" s="44"/>
      <c r="AI169" s="44"/>
    </row>
    <row r="170" spans="1:35" s="107" customFormat="1" ht="29.1">
      <c r="A170" s="516" t="s">
        <v>1547</v>
      </c>
      <c r="B170" s="516" t="s">
        <v>1448</v>
      </c>
      <c r="C170" s="108">
        <v>46243</v>
      </c>
      <c r="D170" s="108" t="s">
        <v>209</v>
      </c>
      <c r="E170" s="521" t="s">
        <v>1548</v>
      </c>
      <c r="F170" s="176">
        <v>60</v>
      </c>
      <c r="G170" s="176">
        <v>850</v>
      </c>
      <c r="H170" s="176" t="s">
        <v>1318</v>
      </c>
      <c r="I170" s="176">
        <v>70</v>
      </c>
      <c r="J170" s="146">
        <v>10</v>
      </c>
      <c r="K170" s="145">
        <v>140</v>
      </c>
      <c r="L170" s="145">
        <v>50</v>
      </c>
      <c r="M170" s="147" t="s">
        <v>1350</v>
      </c>
      <c r="N170" s="336">
        <v>250</v>
      </c>
      <c r="O170" s="339" t="s">
        <v>1474</v>
      </c>
      <c r="P170" s="354">
        <v>2</v>
      </c>
      <c r="Q170" s="219">
        <v>0.15</v>
      </c>
      <c r="R170" s="150" t="s">
        <v>1238</v>
      </c>
      <c r="S170" s="162">
        <v>0</v>
      </c>
      <c r="T170" s="144">
        <v>10</v>
      </c>
      <c r="U170" s="144">
        <v>2.5</v>
      </c>
      <c r="V170" s="176">
        <v>15</v>
      </c>
      <c r="W170" s="176" t="s">
        <v>1506</v>
      </c>
      <c r="X170" s="335" t="s">
        <v>1447</v>
      </c>
      <c r="Y170" s="144" t="s">
        <v>1324</v>
      </c>
      <c r="Z170" s="144" t="s">
        <v>272</v>
      </c>
      <c r="AA170" s="144" t="s">
        <v>1227</v>
      </c>
      <c r="AB170" s="152"/>
      <c r="AC170" s="152"/>
      <c r="AD170" s="471" t="s">
        <v>1352</v>
      </c>
      <c r="AE170" s="596"/>
      <c r="AF170" s="72" t="s">
        <v>1549</v>
      </c>
      <c r="AG170" s="44"/>
      <c r="AH170" s="44"/>
      <c r="AI170" s="44"/>
    </row>
    <row r="171" spans="1:35" s="107" customFormat="1" ht="29.1">
      <c r="A171" s="516" t="s">
        <v>1550</v>
      </c>
      <c r="B171" s="516" t="s">
        <v>1448</v>
      </c>
      <c r="C171" s="108">
        <v>46243</v>
      </c>
      <c r="D171" s="108" t="s">
        <v>209</v>
      </c>
      <c r="E171" s="521" t="s">
        <v>1551</v>
      </c>
      <c r="F171" s="176">
        <v>60</v>
      </c>
      <c r="G171" s="176">
        <v>850</v>
      </c>
      <c r="H171" s="176" t="s">
        <v>1318</v>
      </c>
      <c r="I171" s="176">
        <v>70</v>
      </c>
      <c r="J171" s="146">
        <v>10</v>
      </c>
      <c r="K171" s="145">
        <v>140</v>
      </c>
      <c r="L171" s="145">
        <v>50</v>
      </c>
      <c r="M171" s="147" t="s">
        <v>1350</v>
      </c>
      <c r="N171" s="339">
        <v>350</v>
      </c>
      <c r="O171" s="339" t="s">
        <v>1474</v>
      </c>
      <c r="P171" s="354">
        <v>2</v>
      </c>
      <c r="Q171" s="219">
        <v>0.15</v>
      </c>
      <c r="R171" s="150" t="s">
        <v>1238</v>
      </c>
      <c r="S171" s="162">
        <v>0</v>
      </c>
      <c r="T171" s="144">
        <v>10</v>
      </c>
      <c r="U171" s="144">
        <v>2.5</v>
      </c>
      <c r="V171" s="176">
        <v>15</v>
      </c>
      <c r="W171" s="176" t="s">
        <v>1506</v>
      </c>
      <c r="X171" s="274" t="s">
        <v>1538</v>
      </c>
      <c r="Y171" s="144" t="s">
        <v>1324</v>
      </c>
      <c r="Z171" s="144" t="s">
        <v>272</v>
      </c>
      <c r="AA171" s="144" t="s">
        <v>1227</v>
      </c>
      <c r="AB171" s="152"/>
      <c r="AC171" s="152"/>
      <c r="AD171" s="471" t="s">
        <v>1352</v>
      </c>
      <c r="AE171" s="596"/>
      <c r="AF171" s="44" t="s">
        <v>1258</v>
      </c>
      <c r="AG171" s="44"/>
      <c r="AH171" s="44"/>
      <c r="AI171" s="44"/>
    </row>
    <row r="172" spans="1:35" s="107" customFormat="1" ht="29.1">
      <c r="A172" s="516" t="s">
        <v>1552</v>
      </c>
      <c r="B172" s="516" t="s">
        <v>1365</v>
      </c>
      <c r="C172" s="108">
        <v>46245</v>
      </c>
      <c r="D172" s="108" t="s">
        <v>1368</v>
      </c>
      <c r="E172" s="300" t="s">
        <v>1553</v>
      </c>
      <c r="F172" s="176">
        <v>60</v>
      </c>
      <c r="G172" s="176">
        <v>850</v>
      </c>
      <c r="H172" s="176" t="s">
        <v>1450</v>
      </c>
      <c r="I172" s="176">
        <v>70</v>
      </c>
      <c r="J172" s="146">
        <v>10</v>
      </c>
      <c r="K172" s="145">
        <v>140</v>
      </c>
      <c r="L172" s="145">
        <v>50</v>
      </c>
      <c r="M172" s="147" t="s">
        <v>1451</v>
      </c>
      <c r="N172" s="339">
        <v>350</v>
      </c>
      <c r="O172" s="148" t="s">
        <v>1237</v>
      </c>
      <c r="P172" s="354">
        <v>3.5</v>
      </c>
      <c r="Q172" s="150">
        <v>0.1</v>
      </c>
      <c r="R172" s="150" t="s">
        <v>1238</v>
      </c>
      <c r="S172" s="162">
        <v>0</v>
      </c>
      <c r="T172" s="144">
        <v>10</v>
      </c>
      <c r="U172" s="723" t="s">
        <v>1554</v>
      </c>
      <c r="V172" s="176">
        <v>15</v>
      </c>
      <c r="W172" s="176" t="s">
        <v>1351</v>
      </c>
      <c r="X172" s="335" t="s">
        <v>1447</v>
      </c>
      <c r="Y172" s="144" t="s">
        <v>1324</v>
      </c>
      <c r="Z172" s="144" t="s">
        <v>272</v>
      </c>
      <c r="AA172" s="109"/>
      <c r="AB172" s="114"/>
      <c r="AC172" s="114"/>
      <c r="AD172" s="471" t="s">
        <v>1352</v>
      </c>
      <c r="AE172" s="101"/>
      <c r="AF172" s="44" t="s">
        <v>1258</v>
      </c>
      <c r="AG172" s="101"/>
      <c r="AH172" s="101"/>
      <c r="AI172" s="101"/>
    </row>
    <row r="173" spans="1:35" s="107" customFormat="1" ht="29.1">
      <c r="A173" s="107" t="s">
        <v>1245</v>
      </c>
      <c r="B173" s="107" t="s">
        <v>1246</v>
      </c>
      <c r="C173" s="108">
        <v>46245</v>
      </c>
      <c r="D173" s="108" t="s">
        <v>1368</v>
      </c>
      <c r="E173" s="300" t="s">
        <v>1555</v>
      </c>
      <c r="F173" s="176">
        <v>60</v>
      </c>
      <c r="G173" s="176">
        <v>910</v>
      </c>
      <c r="H173" s="144">
        <v>150</v>
      </c>
      <c r="I173" s="176">
        <v>50</v>
      </c>
      <c r="J173" s="146" t="s">
        <v>272</v>
      </c>
      <c r="K173" s="145" t="s">
        <v>272</v>
      </c>
      <c r="L173" s="146"/>
      <c r="M173" s="147" t="s">
        <v>1236</v>
      </c>
      <c r="N173" s="339">
        <v>150</v>
      </c>
      <c r="O173" s="339" t="s">
        <v>1474</v>
      </c>
      <c r="P173" s="149">
        <v>1</v>
      </c>
      <c r="Q173" s="469">
        <v>5</v>
      </c>
      <c r="R173" s="150" t="s">
        <v>1238</v>
      </c>
      <c r="S173" s="162">
        <v>0</v>
      </c>
      <c r="T173" s="144">
        <v>1</v>
      </c>
      <c r="U173" s="176">
        <v>5</v>
      </c>
      <c r="V173" s="176">
        <v>16</v>
      </c>
      <c r="W173" s="176" t="s">
        <v>1506</v>
      </c>
      <c r="X173" s="335" t="s">
        <v>1250</v>
      </c>
      <c r="Y173" s="109" t="s">
        <v>272</v>
      </c>
      <c r="Z173" s="109" t="s">
        <v>272</v>
      </c>
      <c r="AA173" s="109"/>
      <c r="AB173" s="114"/>
      <c r="AC173" s="114"/>
      <c r="AD173" s="109"/>
      <c r="AE173" s="724" t="s">
        <v>1556</v>
      </c>
      <c r="AF173" s="109"/>
      <c r="AG173" s="101"/>
      <c r="AH173" s="101"/>
      <c r="AI173" s="101"/>
    </row>
    <row r="174" spans="1:35" s="107" customFormat="1" ht="14.45">
      <c r="A174" s="516"/>
      <c r="B174" s="516"/>
      <c r="C174" s="108"/>
      <c r="D174" s="108"/>
      <c r="E174" s="594"/>
      <c r="F174" s="176"/>
      <c r="G174" s="172"/>
      <c r="H174" s="176"/>
      <c r="I174" s="176"/>
      <c r="J174" s="146"/>
      <c r="K174" s="145"/>
      <c r="L174" s="146"/>
      <c r="M174" s="147"/>
      <c r="N174" s="339"/>
      <c r="O174" s="148"/>
      <c r="P174" s="354"/>
      <c r="Q174" s="469"/>
      <c r="R174" s="150"/>
      <c r="S174" s="162"/>
      <c r="T174" s="144"/>
      <c r="U174" s="176"/>
      <c r="V174" s="176"/>
      <c r="W174" s="176"/>
      <c r="X174" s="335"/>
      <c r="Y174" s="144"/>
      <c r="Z174" s="144"/>
      <c r="AA174" s="144"/>
      <c r="AB174" s="152"/>
      <c r="AC174" s="152"/>
      <c r="AD174" s="471"/>
      <c r="AE174" s="104"/>
      <c r="AF174" s="44"/>
      <c r="AG174" s="44"/>
      <c r="AH174" s="44"/>
      <c r="AI174" s="44"/>
    </row>
    <row r="175" spans="1:35" s="107" customFormat="1" ht="14.45">
      <c r="C175" s="108"/>
      <c r="D175" s="108"/>
      <c r="E175" s="300"/>
      <c r="F175" s="176"/>
      <c r="G175" s="176"/>
      <c r="H175" s="144"/>
      <c r="I175" s="176"/>
      <c r="J175" s="146"/>
      <c r="K175" s="145"/>
      <c r="L175" s="146"/>
      <c r="M175" s="147"/>
      <c r="N175" s="339"/>
      <c r="O175" s="148"/>
      <c r="P175" s="149"/>
      <c r="Q175" s="469"/>
      <c r="R175" s="150"/>
      <c r="S175" s="162"/>
      <c r="T175" s="144"/>
      <c r="U175" s="176"/>
      <c r="V175" s="176"/>
      <c r="W175" s="176"/>
      <c r="X175" s="335"/>
      <c r="Y175" s="109"/>
      <c r="Z175" s="109"/>
      <c r="AA175" s="109"/>
      <c r="AB175" s="114"/>
      <c r="AC175" s="114"/>
      <c r="AD175" s="109"/>
      <c r="AE175" s="101"/>
      <c r="AF175" s="109"/>
      <c r="AG175" s="101"/>
      <c r="AH175" s="101"/>
      <c r="AI175" s="101"/>
    </row>
    <row r="176" spans="1:35" s="107" customFormat="1" ht="14.45">
      <c r="A176" s="516"/>
      <c r="B176" s="516"/>
      <c r="C176" s="108"/>
      <c r="D176" s="108"/>
      <c r="E176" s="594"/>
      <c r="F176" s="176"/>
      <c r="G176" s="176"/>
      <c r="H176" s="172"/>
      <c r="I176" s="172"/>
      <c r="J176" s="146"/>
      <c r="K176" s="145"/>
      <c r="L176" s="146"/>
      <c r="M176" s="147"/>
      <c r="N176" s="339"/>
      <c r="O176" s="148"/>
      <c r="P176" s="354"/>
      <c r="Q176" s="469"/>
      <c r="R176" s="150"/>
      <c r="S176" s="162"/>
      <c r="T176" s="144"/>
      <c r="U176" s="176"/>
      <c r="V176" s="176"/>
      <c r="W176" s="176"/>
      <c r="X176" s="335"/>
      <c r="Y176" s="144"/>
      <c r="Z176" s="144"/>
      <c r="AA176" s="144"/>
      <c r="AB176" s="152"/>
      <c r="AC176" s="152"/>
      <c r="AD176" s="471"/>
      <c r="AE176" s="104"/>
      <c r="AF176" s="44"/>
      <c r="AG176" s="44"/>
      <c r="AH176" s="44"/>
      <c r="AI176" s="44"/>
    </row>
    <row r="177" spans="1:35" s="107" customFormat="1" ht="14.45">
      <c r="C177" s="108"/>
      <c r="D177" s="108"/>
      <c r="E177" s="300"/>
      <c r="F177" s="176"/>
      <c r="G177" s="176"/>
      <c r="H177" s="144"/>
      <c r="I177" s="176"/>
      <c r="J177" s="146"/>
      <c r="K177" s="145"/>
      <c r="L177" s="146"/>
      <c r="M177" s="147"/>
      <c r="N177" s="339"/>
      <c r="O177" s="148"/>
      <c r="P177" s="149"/>
      <c r="Q177" s="469"/>
      <c r="R177" s="150"/>
      <c r="S177" s="162"/>
      <c r="T177" s="144"/>
      <c r="U177" s="176"/>
      <c r="V177" s="176"/>
      <c r="W177" s="176"/>
      <c r="X177" s="335"/>
      <c r="Y177" s="109"/>
      <c r="Z177" s="109"/>
      <c r="AA177" s="109"/>
      <c r="AB177" s="114"/>
      <c r="AC177" s="114"/>
      <c r="AD177" s="109"/>
      <c r="AE177" s="101"/>
      <c r="AF177" s="109"/>
      <c r="AG177" s="101"/>
      <c r="AH177" s="101"/>
      <c r="AI177" s="101"/>
    </row>
    <row r="178" spans="1:35" s="107" customFormat="1" ht="14.45">
      <c r="A178" s="516"/>
      <c r="B178" s="516"/>
      <c r="C178" s="108"/>
      <c r="D178" s="108"/>
      <c r="E178" s="594"/>
      <c r="F178" s="176"/>
      <c r="G178" s="176"/>
      <c r="H178" s="581"/>
      <c r="I178" s="176"/>
      <c r="J178" s="146"/>
      <c r="K178" s="145"/>
      <c r="L178" s="146"/>
      <c r="M178" s="147"/>
      <c r="N178" s="339"/>
      <c r="O178" s="148"/>
      <c r="P178" s="354"/>
      <c r="Q178" s="469"/>
      <c r="R178" s="150"/>
      <c r="S178" s="162"/>
      <c r="T178" s="144"/>
      <c r="U178" s="176"/>
      <c r="V178" s="176"/>
      <c r="W178" s="172"/>
      <c r="X178" s="335"/>
      <c r="Y178" s="144"/>
      <c r="Z178" s="144"/>
      <c r="AA178" s="144"/>
      <c r="AB178" s="152"/>
      <c r="AC178" s="152"/>
      <c r="AD178" s="471"/>
      <c r="AE178" s="104"/>
      <c r="AF178" s="44"/>
      <c r="AG178" s="44"/>
      <c r="AH178" s="44"/>
      <c r="AI178" s="44"/>
    </row>
    <row r="179" spans="1:35" s="107" customFormat="1" ht="14.45">
      <c r="C179" s="108"/>
      <c r="D179" s="108"/>
      <c r="E179" s="300"/>
      <c r="F179" s="176"/>
      <c r="G179" s="176"/>
      <c r="H179" s="144"/>
      <c r="I179" s="176"/>
      <c r="J179" s="146"/>
      <c r="K179" s="145"/>
      <c r="L179" s="146"/>
      <c r="M179" s="147"/>
      <c r="N179" s="339"/>
      <c r="O179" s="148"/>
      <c r="P179" s="149"/>
      <c r="Q179" s="469"/>
      <c r="R179" s="150"/>
      <c r="S179" s="162"/>
      <c r="T179" s="144"/>
      <c r="U179" s="176"/>
      <c r="V179" s="176"/>
      <c r="W179" s="176"/>
      <c r="X179" s="335"/>
      <c r="Y179" s="109"/>
      <c r="Z179" s="109"/>
      <c r="AA179" s="109"/>
      <c r="AB179" s="114"/>
      <c r="AC179" s="114"/>
      <c r="AD179" s="109"/>
      <c r="AE179" s="101"/>
      <c r="AF179" s="109"/>
      <c r="AG179" s="101"/>
      <c r="AH179" s="101"/>
      <c r="AI179" s="101"/>
    </row>
    <row r="180" spans="1:35" s="107" customFormat="1" ht="14.45">
      <c r="A180" s="516"/>
      <c r="B180" s="516"/>
      <c r="C180" s="108"/>
      <c r="D180" s="108"/>
      <c r="E180" s="594"/>
      <c r="F180" s="176"/>
      <c r="G180" s="176"/>
      <c r="H180" s="176"/>
      <c r="I180" s="176"/>
      <c r="J180" s="146"/>
      <c r="K180" s="145"/>
      <c r="L180" s="146"/>
      <c r="M180" s="147"/>
      <c r="N180" s="339"/>
      <c r="O180" s="148"/>
      <c r="P180" s="354"/>
      <c r="Q180" s="469"/>
      <c r="R180" s="150"/>
      <c r="S180" s="162"/>
      <c r="T180" s="144"/>
      <c r="U180" s="176"/>
      <c r="V180" s="176"/>
      <c r="W180" s="176"/>
      <c r="X180" s="335"/>
      <c r="Y180" s="144"/>
      <c r="Z180" s="144"/>
      <c r="AA180" s="144"/>
      <c r="AB180" s="152"/>
      <c r="AC180" s="152"/>
      <c r="AD180" s="471"/>
      <c r="AE180" s="104"/>
      <c r="AF180" s="44"/>
      <c r="AG180" s="44"/>
      <c r="AH180" s="44"/>
      <c r="AI180" s="44"/>
    </row>
    <row r="181" spans="1:35" s="107" customFormat="1" ht="14.45">
      <c r="C181" s="108"/>
      <c r="D181" s="108"/>
      <c r="E181" s="300"/>
      <c r="F181" s="176"/>
      <c r="G181" s="176"/>
      <c r="H181" s="144"/>
      <c r="I181" s="176"/>
      <c r="J181" s="146"/>
      <c r="K181" s="145"/>
      <c r="L181" s="146"/>
      <c r="M181" s="147"/>
      <c r="N181" s="339"/>
      <c r="O181" s="148"/>
      <c r="P181" s="149"/>
      <c r="Q181" s="469"/>
      <c r="R181" s="150"/>
      <c r="S181" s="162"/>
      <c r="T181" s="144"/>
      <c r="U181" s="176"/>
      <c r="V181" s="176"/>
      <c r="W181" s="176"/>
      <c r="X181" s="335"/>
      <c r="Y181" s="109"/>
      <c r="Z181" s="109"/>
      <c r="AA181" s="109"/>
      <c r="AB181" s="114"/>
      <c r="AC181" s="114"/>
      <c r="AD181" s="109"/>
      <c r="AE181" s="101"/>
      <c r="AF181" s="109"/>
      <c r="AG181" s="101"/>
      <c r="AH181" s="101"/>
      <c r="AI181" s="101"/>
    </row>
    <row r="182" spans="1:35" s="107" customFormat="1" ht="14.45">
      <c r="A182" s="516"/>
      <c r="B182" s="516"/>
      <c r="C182" s="108"/>
      <c r="D182" s="108"/>
      <c r="E182" s="594"/>
      <c r="F182" s="176"/>
      <c r="G182" s="176"/>
      <c r="H182" s="176"/>
      <c r="I182" s="176"/>
      <c r="J182" s="146"/>
      <c r="K182" s="145"/>
      <c r="L182" s="146"/>
      <c r="M182" s="147"/>
      <c r="N182" s="339"/>
      <c r="O182" s="148"/>
      <c r="P182" s="249"/>
      <c r="Q182" s="469"/>
      <c r="R182" s="150"/>
      <c r="S182" s="162"/>
      <c r="T182" s="144"/>
      <c r="U182" s="176"/>
      <c r="V182" s="176"/>
      <c r="W182" s="176"/>
      <c r="X182" s="335"/>
      <c r="Y182" s="144"/>
      <c r="Z182" s="144"/>
      <c r="AA182" s="144"/>
      <c r="AB182" s="152"/>
      <c r="AC182" s="152"/>
      <c r="AD182" s="471"/>
      <c r="AE182" s="104"/>
      <c r="AF182" s="44"/>
      <c r="AG182" s="44"/>
      <c r="AH182" s="44"/>
      <c r="AI182" s="44"/>
    </row>
    <row r="183" spans="1:35" s="107" customFormat="1" ht="14.45">
      <c r="C183" s="108"/>
      <c r="D183" s="108"/>
      <c r="E183" s="300"/>
      <c r="F183" s="176"/>
      <c r="G183" s="176"/>
      <c r="H183" s="144"/>
      <c r="I183" s="176"/>
      <c r="J183" s="146"/>
      <c r="K183" s="145"/>
      <c r="L183" s="146"/>
      <c r="M183" s="147"/>
      <c r="N183" s="339"/>
      <c r="O183" s="148"/>
      <c r="P183" s="149"/>
      <c r="Q183" s="469"/>
      <c r="R183" s="150"/>
      <c r="S183" s="162"/>
      <c r="T183" s="144"/>
      <c r="U183" s="176"/>
      <c r="V183" s="176"/>
      <c r="W183" s="176"/>
      <c r="X183" s="335"/>
      <c r="Y183" s="109"/>
      <c r="Z183" s="109"/>
      <c r="AA183" s="109"/>
      <c r="AB183" s="114"/>
      <c r="AC183" s="114"/>
      <c r="AD183" s="109"/>
      <c r="AE183" s="101"/>
      <c r="AF183" s="109"/>
      <c r="AG183" s="101"/>
      <c r="AH183" s="101"/>
      <c r="AI183" s="101"/>
    </row>
    <row r="184" spans="1:35" s="107" customFormat="1" ht="14.45">
      <c r="A184" s="516"/>
      <c r="C184" s="108"/>
      <c r="D184" s="108"/>
      <c r="E184" s="612"/>
      <c r="F184" s="176"/>
      <c r="G184" s="176"/>
      <c r="H184" s="176"/>
      <c r="I184" s="176"/>
      <c r="J184" s="146"/>
      <c r="K184" s="145"/>
      <c r="L184" s="146"/>
      <c r="M184" s="147"/>
      <c r="N184" s="339"/>
      <c r="O184" s="148"/>
      <c r="P184" s="354"/>
      <c r="Q184" s="219"/>
      <c r="R184" s="150"/>
      <c r="S184" s="162"/>
      <c r="T184" s="144"/>
      <c r="U184" s="176"/>
      <c r="V184" s="176"/>
      <c r="W184" s="176"/>
      <c r="X184" s="335"/>
      <c r="Y184" s="144"/>
      <c r="Z184" s="144"/>
      <c r="AA184" s="144"/>
      <c r="AB184" s="152"/>
      <c r="AC184" s="152"/>
      <c r="AD184" s="471"/>
      <c r="AE184" s="104"/>
      <c r="AF184" s="44"/>
      <c r="AG184" s="44"/>
      <c r="AH184" s="44"/>
      <c r="AI184" s="44"/>
    </row>
    <row r="185" spans="1:35" s="107" customFormat="1" ht="14.45">
      <c r="C185" s="108"/>
      <c r="D185" s="108"/>
      <c r="E185" s="300"/>
      <c r="F185" s="176"/>
      <c r="G185" s="176"/>
      <c r="H185" s="144"/>
      <c r="I185" s="176"/>
      <c r="J185" s="146"/>
      <c r="K185" s="145"/>
      <c r="L185" s="146"/>
      <c r="M185" s="147"/>
      <c r="N185" s="339"/>
      <c r="O185" s="148"/>
      <c r="P185" s="149"/>
      <c r="Q185" s="469"/>
      <c r="R185" s="150"/>
      <c r="S185" s="162"/>
      <c r="T185" s="144"/>
      <c r="U185" s="176"/>
      <c r="V185" s="176"/>
      <c r="W185" s="176"/>
      <c r="X185" s="335"/>
      <c r="Y185" s="109"/>
      <c r="Z185" s="109"/>
      <c r="AA185" s="109"/>
      <c r="AB185" s="114"/>
      <c r="AC185" s="114"/>
      <c r="AD185" s="109"/>
      <c r="AE185" s="101"/>
      <c r="AF185" s="109"/>
      <c r="AG185" s="101"/>
      <c r="AH185" s="101"/>
      <c r="AI185" s="101"/>
    </row>
    <row r="186" spans="1:35" s="107" customFormat="1" ht="14.45">
      <c r="A186" s="516"/>
      <c r="B186" s="516"/>
      <c r="C186" s="108"/>
      <c r="D186" s="108"/>
      <c r="E186" s="594"/>
      <c r="F186" s="176"/>
      <c r="G186" s="176"/>
      <c r="H186" s="176"/>
      <c r="I186" s="176"/>
      <c r="J186" s="146"/>
      <c r="K186" s="145"/>
      <c r="L186" s="146"/>
      <c r="M186" s="147"/>
      <c r="N186" s="339"/>
      <c r="O186" s="148"/>
      <c r="P186" s="354"/>
      <c r="Q186" s="469"/>
      <c r="R186" s="150"/>
      <c r="S186" s="162"/>
      <c r="T186" s="144"/>
      <c r="U186" s="176"/>
      <c r="V186" s="176"/>
      <c r="W186" s="176"/>
      <c r="X186" s="335"/>
      <c r="Y186" s="144"/>
      <c r="Z186" s="144"/>
      <c r="AA186" s="144"/>
      <c r="AB186" s="152"/>
      <c r="AC186" s="152"/>
      <c r="AD186" s="471"/>
      <c r="AE186" s="104"/>
      <c r="AF186" s="44"/>
      <c r="AG186" s="44"/>
      <c r="AH186" s="44"/>
      <c r="AI186" s="44"/>
    </row>
    <row r="187" spans="1:35" s="107" customFormat="1" ht="14.45">
      <c r="C187" s="108"/>
      <c r="D187" s="108"/>
      <c r="E187" s="300"/>
      <c r="F187" s="176"/>
      <c r="G187" s="176"/>
      <c r="H187" s="144"/>
      <c r="I187" s="176"/>
      <c r="J187" s="146"/>
      <c r="K187" s="145"/>
      <c r="L187" s="146"/>
      <c r="M187" s="147"/>
      <c r="N187" s="339"/>
      <c r="O187" s="148"/>
      <c r="P187" s="149"/>
      <c r="Q187" s="469"/>
      <c r="R187" s="150"/>
      <c r="S187" s="162"/>
      <c r="T187" s="144"/>
      <c r="U187" s="176"/>
      <c r="V187" s="176"/>
      <c r="W187" s="176"/>
      <c r="X187" s="335"/>
      <c r="Y187" s="109"/>
      <c r="Z187" s="109"/>
      <c r="AA187" s="109"/>
      <c r="AB187" s="114"/>
      <c r="AC187" s="114"/>
      <c r="AD187" s="109"/>
      <c r="AE187" s="101"/>
      <c r="AF187" s="109"/>
      <c r="AG187" s="101"/>
      <c r="AH187" s="101"/>
      <c r="AI187" s="101"/>
    </row>
    <row r="188" spans="1:35" s="107" customFormat="1" ht="15.95">
      <c r="A188" s="516"/>
      <c r="B188" s="516"/>
      <c r="C188" s="108"/>
      <c r="D188" s="108"/>
      <c r="E188" s="594"/>
      <c r="F188" s="176"/>
      <c r="G188" s="176"/>
      <c r="H188" s="581"/>
      <c r="I188" s="176"/>
      <c r="J188" s="146"/>
      <c r="K188" s="145"/>
      <c r="L188" s="146"/>
      <c r="M188" s="147"/>
      <c r="N188" s="339"/>
      <c r="O188" s="148"/>
      <c r="P188" s="354"/>
      <c r="Q188" s="469"/>
      <c r="R188" s="150"/>
      <c r="S188" s="162"/>
      <c r="T188" s="144"/>
      <c r="U188" s="176"/>
      <c r="V188" s="176"/>
      <c r="W188" s="176"/>
      <c r="X188" s="571"/>
      <c r="Y188" s="144"/>
      <c r="Z188" s="144"/>
      <c r="AA188" s="144"/>
      <c r="AB188" s="152"/>
      <c r="AC188" s="152"/>
      <c r="AD188" s="471"/>
      <c r="AE188" s="104"/>
      <c r="AF188" s="44"/>
      <c r="AG188" s="44"/>
      <c r="AH188" s="44"/>
      <c r="AI188" s="44"/>
    </row>
    <row r="189" spans="1:35" s="107" customFormat="1" ht="14.45">
      <c r="C189" s="108"/>
      <c r="D189" s="108"/>
      <c r="E189" s="300"/>
      <c r="F189" s="176"/>
      <c r="G189" s="176"/>
      <c r="H189" s="144"/>
      <c r="I189" s="176"/>
      <c r="J189" s="146"/>
      <c r="K189" s="145"/>
      <c r="L189" s="146"/>
      <c r="M189" s="147"/>
      <c r="N189" s="339"/>
      <c r="O189" s="148"/>
      <c r="P189" s="149"/>
      <c r="Q189" s="469"/>
      <c r="R189" s="150"/>
      <c r="S189" s="162"/>
      <c r="T189" s="144"/>
      <c r="U189" s="176"/>
      <c r="V189" s="176"/>
      <c r="W189" s="176"/>
      <c r="X189" s="335"/>
      <c r="Y189" s="109"/>
      <c r="Z189" s="109"/>
      <c r="AA189" s="109"/>
      <c r="AB189" s="114"/>
      <c r="AC189" s="114"/>
      <c r="AD189" s="109"/>
      <c r="AE189" s="101"/>
      <c r="AF189" s="109"/>
      <c r="AG189" s="101"/>
      <c r="AH189" s="101"/>
      <c r="AI189" s="101"/>
    </row>
    <row r="190" spans="1:35" s="107" customFormat="1" ht="15.95">
      <c r="A190" s="516"/>
      <c r="B190" s="516"/>
      <c r="C190" s="108"/>
      <c r="D190" s="108"/>
      <c r="E190" s="594"/>
      <c r="F190" s="176"/>
      <c r="G190" s="176"/>
      <c r="H190" s="581"/>
      <c r="I190" s="176"/>
      <c r="J190" s="146"/>
      <c r="K190" s="220"/>
      <c r="L190" s="146"/>
      <c r="M190" s="147"/>
      <c r="N190" s="339"/>
      <c r="O190" s="148"/>
      <c r="P190" s="354"/>
      <c r="Q190" s="469"/>
      <c r="R190" s="150"/>
      <c r="S190" s="162"/>
      <c r="T190" s="144"/>
      <c r="U190" s="176"/>
      <c r="V190" s="176"/>
      <c r="W190" s="176"/>
      <c r="X190" s="571"/>
      <c r="Y190" s="144"/>
      <c r="Z190" s="144"/>
      <c r="AA190" s="144"/>
      <c r="AB190" s="152"/>
      <c r="AC190" s="152"/>
      <c r="AD190" s="471"/>
      <c r="AE190" s="104"/>
      <c r="AF190" s="44"/>
      <c r="AG190" s="44"/>
      <c r="AH190" s="44"/>
      <c r="AI190" s="44"/>
    </row>
    <row r="191" spans="1:35" s="107" customFormat="1" ht="14.45">
      <c r="C191" s="108"/>
      <c r="D191" s="108"/>
      <c r="E191" s="300"/>
      <c r="F191" s="176"/>
      <c r="G191" s="176"/>
      <c r="H191" s="144"/>
      <c r="I191" s="176"/>
      <c r="J191" s="146"/>
      <c r="K191" s="145"/>
      <c r="L191" s="146"/>
      <c r="M191" s="147"/>
      <c r="N191" s="339"/>
      <c r="O191" s="148"/>
      <c r="P191" s="149"/>
      <c r="Q191" s="469"/>
      <c r="R191" s="150"/>
      <c r="S191" s="162"/>
      <c r="T191" s="144"/>
      <c r="U191" s="176"/>
      <c r="V191" s="176"/>
      <c r="W191" s="176"/>
      <c r="X191" s="335"/>
      <c r="Y191" s="109"/>
      <c r="Z191" s="109"/>
      <c r="AA191" s="109"/>
      <c r="AB191" s="114"/>
      <c r="AC191" s="114"/>
      <c r="AD191" s="109"/>
      <c r="AE191" s="101"/>
      <c r="AF191" s="109"/>
      <c r="AG191" s="101"/>
      <c r="AH191" s="101"/>
      <c r="AI191" s="101"/>
    </row>
    <row r="192" spans="1:35" s="107" customFormat="1" ht="15.95">
      <c r="A192" s="516"/>
      <c r="B192" s="516"/>
      <c r="C192" s="108"/>
      <c r="D192" s="108"/>
      <c r="E192" s="594"/>
      <c r="F192" s="176"/>
      <c r="G192" s="176"/>
      <c r="H192" s="581"/>
      <c r="I192" s="176"/>
      <c r="J192" s="146"/>
      <c r="K192" s="146"/>
      <c r="L192" s="146"/>
      <c r="M192" s="147"/>
      <c r="N192" s="339"/>
      <c r="O192" s="148"/>
      <c r="P192" s="354"/>
      <c r="Q192" s="469"/>
      <c r="R192" s="150"/>
      <c r="S192" s="162"/>
      <c r="T192" s="144"/>
      <c r="U192" s="172"/>
      <c r="V192" s="176"/>
      <c r="W192" s="176"/>
      <c r="X192" s="571"/>
      <c r="Y192" s="144"/>
      <c r="Z192" s="144"/>
      <c r="AA192" s="144"/>
      <c r="AB192" s="152"/>
      <c r="AC192" s="152"/>
      <c r="AD192" s="471"/>
      <c r="AE192" s="104"/>
      <c r="AF192" s="44"/>
      <c r="AG192" s="44"/>
      <c r="AH192" s="44"/>
      <c r="AI192" s="44"/>
    </row>
    <row r="193" spans="1:35" s="107" customFormat="1" ht="14.45">
      <c r="C193" s="108"/>
      <c r="D193" s="108"/>
      <c r="E193" s="300"/>
      <c r="F193" s="176"/>
      <c r="G193" s="176"/>
      <c r="H193" s="144"/>
      <c r="I193" s="176"/>
      <c r="J193" s="146"/>
      <c r="K193" s="145"/>
      <c r="L193" s="146"/>
      <c r="M193" s="147"/>
      <c r="N193" s="339"/>
      <c r="O193" s="148"/>
      <c r="P193" s="149"/>
      <c r="Q193" s="469"/>
      <c r="R193" s="150"/>
      <c r="S193" s="162"/>
      <c r="T193" s="144"/>
      <c r="U193" s="176"/>
      <c r="V193" s="176"/>
      <c r="W193" s="176"/>
      <c r="X193" s="335"/>
      <c r="Y193" s="109"/>
      <c r="Z193" s="109"/>
      <c r="AA193" s="109"/>
      <c r="AB193" s="114"/>
      <c r="AC193" s="114"/>
      <c r="AD193" s="109"/>
      <c r="AE193" s="101"/>
      <c r="AF193" s="109"/>
      <c r="AG193" s="101"/>
      <c r="AH193" s="101"/>
      <c r="AI193" s="101"/>
    </row>
    <row r="194" spans="1:35" s="107" customFormat="1" ht="15.95">
      <c r="A194" s="516"/>
      <c r="B194" s="516"/>
      <c r="C194" s="108"/>
      <c r="D194" s="108"/>
      <c r="E194" s="594"/>
      <c r="F194" s="176"/>
      <c r="G194" s="176"/>
      <c r="H194" s="581"/>
      <c r="I194" s="176"/>
      <c r="J194" s="146"/>
      <c r="K194" s="146"/>
      <c r="L194" s="146"/>
      <c r="M194" s="147"/>
      <c r="N194" s="339"/>
      <c r="O194" s="148"/>
      <c r="P194" s="354"/>
      <c r="Q194" s="469"/>
      <c r="R194" s="150"/>
      <c r="S194" s="162"/>
      <c r="T194" s="144"/>
      <c r="U194" s="350"/>
      <c r="V194" s="176"/>
      <c r="W194" s="176"/>
      <c r="X194" s="571"/>
      <c r="Y194" s="144"/>
      <c r="Z194" s="144"/>
      <c r="AA194" s="144"/>
      <c r="AB194" s="152"/>
      <c r="AC194" s="152"/>
      <c r="AD194" s="471"/>
      <c r="AE194" s="104"/>
      <c r="AF194" s="44"/>
      <c r="AG194" s="44"/>
      <c r="AH194" s="44"/>
      <c r="AI194" s="44"/>
    </row>
    <row r="195" spans="1:35" s="107" customFormat="1" ht="14.45">
      <c r="C195" s="108"/>
      <c r="D195" s="108"/>
      <c r="E195" s="300"/>
      <c r="F195" s="176"/>
      <c r="G195" s="176"/>
      <c r="H195" s="144"/>
      <c r="I195" s="176"/>
      <c r="J195" s="146"/>
      <c r="K195" s="145"/>
      <c r="L195" s="146"/>
      <c r="M195" s="147"/>
      <c r="N195" s="339"/>
      <c r="O195" s="148"/>
      <c r="P195" s="149"/>
      <c r="Q195" s="469"/>
      <c r="R195" s="150"/>
      <c r="S195" s="162"/>
      <c r="T195" s="144"/>
      <c r="U195" s="176"/>
      <c r="V195" s="176"/>
      <c r="W195" s="176"/>
      <c r="X195" s="335"/>
      <c r="Y195" s="109"/>
      <c r="Z195" s="109"/>
      <c r="AA195" s="109"/>
      <c r="AB195" s="114"/>
      <c r="AC195" s="114"/>
      <c r="AD195" s="109"/>
      <c r="AE195" s="101"/>
      <c r="AF195" s="109"/>
      <c r="AG195" s="101"/>
      <c r="AH195" s="101"/>
      <c r="AI195" s="101"/>
    </row>
    <row r="196" spans="1:35" s="107" customFormat="1" ht="15.95">
      <c r="A196" s="516"/>
      <c r="B196" s="516"/>
      <c r="C196" s="108"/>
      <c r="D196" s="108"/>
      <c r="E196" s="594"/>
      <c r="F196" s="176"/>
      <c r="G196" s="176"/>
      <c r="H196" s="581"/>
      <c r="I196" s="176"/>
      <c r="J196" s="146"/>
      <c r="K196" s="146"/>
      <c r="L196" s="146"/>
      <c r="M196" s="147"/>
      <c r="N196" s="339"/>
      <c r="O196" s="148"/>
      <c r="P196" s="354"/>
      <c r="Q196" s="469"/>
      <c r="R196" s="150"/>
      <c r="S196" s="162"/>
      <c r="T196" s="144"/>
      <c r="U196" s="350"/>
      <c r="V196" s="176"/>
      <c r="W196" s="176"/>
      <c r="X196" s="571"/>
      <c r="Y196" s="144"/>
      <c r="Z196" s="144"/>
      <c r="AA196" s="144"/>
      <c r="AB196" s="152"/>
      <c r="AC196" s="152"/>
      <c r="AD196" s="471"/>
      <c r="AE196" s="104"/>
      <c r="AF196" s="44"/>
      <c r="AG196" s="44"/>
      <c r="AH196" s="44"/>
      <c r="AI196" s="44"/>
    </row>
    <row r="197" spans="1:35" s="107" customFormat="1" ht="14.45">
      <c r="C197" s="108"/>
      <c r="D197" s="108"/>
      <c r="E197" s="300"/>
      <c r="F197" s="176"/>
      <c r="G197" s="176"/>
      <c r="H197" s="144"/>
      <c r="I197" s="176"/>
      <c r="J197" s="146"/>
      <c r="K197" s="145"/>
      <c r="L197" s="146"/>
      <c r="M197" s="147"/>
      <c r="N197" s="339"/>
      <c r="O197" s="148"/>
      <c r="P197" s="149"/>
      <c r="Q197" s="469"/>
      <c r="R197" s="150"/>
      <c r="S197" s="162"/>
      <c r="T197" s="144"/>
      <c r="U197" s="176"/>
      <c r="V197" s="176"/>
      <c r="W197" s="176"/>
      <c r="X197" s="335"/>
      <c r="Y197" s="109"/>
      <c r="Z197" s="109"/>
      <c r="AA197" s="109"/>
      <c r="AB197" s="114"/>
      <c r="AC197" s="114"/>
      <c r="AD197" s="109"/>
      <c r="AE197" s="101"/>
      <c r="AF197" s="109"/>
      <c r="AG197" s="101"/>
      <c r="AH197" s="101"/>
      <c r="AI197" s="101"/>
    </row>
    <row r="198" spans="1:35" s="107" customFormat="1" ht="15.95">
      <c r="A198" s="516"/>
      <c r="B198" s="516"/>
      <c r="C198" s="108"/>
      <c r="D198" s="108"/>
      <c r="E198" s="594"/>
      <c r="F198" s="176"/>
      <c r="G198" s="176"/>
      <c r="H198" s="581"/>
      <c r="I198" s="176"/>
      <c r="J198" s="146"/>
      <c r="K198" s="146"/>
      <c r="L198" s="146"/>
      <c r="M198" s="147"/>
      <c r="N198" s="339"/>
      <c r="O198" s="148"/>
      <c r="P198" s="354"/>
      <c r="Q198" s="469"/>
      <c r="R198" s="150"/>
      <c r="S198" s="162"/>
      <c r="T198" s="144"/>
      <c r="U198" s="352"/>
      <c r="V198" s="176"/>
      <c r="W198" s="176"/>
      <c r="X198" s="571"/>
      <c r="Y198" s="144"/>
      <c r="Z198" s="144"/>
      <c r="AA198" s="144"/>
      <c r="AB198" s="152"/>
      <c r="AC198" s="152"/>
      <c r="AD198" s="471"/>
      <c r="AE198" s="104"/>
      <c r="AF198" s="44"/>
      <c r="AG198" s="44"/>
      <c r="AH198" s="44"/>
      <c r="AI198" s="44"/>
    </row>
    <row r="199" spans="1:35" s="107" customFormat="1" ht="15" customHeight="1">
      <c r="C199" s="108"/>
      <c r="D199" s="108"/>
      <c r="E199" s="300"/>
      <c r="F199" s="176"/>
      <c r="G199" s="176"/>
      <c r="H199" s="144"/>
      <c r="I199" s="176"/>
      <c r="J199" s="146"/>
      <c r="K199" s="145"/>
      <c r="L199" s="146"/>
      <c r="M199" s="147"/>
      <c r="N199" s="339"/>
      <c r="O199" s="148"/>
      <c r="P199" s="149"/>
      <c r="Q199" s="469"/>
      <c r="R199" s="150"/>
      <c r="S199" s="162"/>
      <c r="T199" s="144"/>
      <c r="U199" s="176"/>
      <c r="V199" s="176"/>
      <c r="W199" s="176"/>
      <c r="X199" s="335"/>
      <c r="Y199" s="109"/>
      <c r="Z199" s="109"/>
      <c r="AA199" s="109"/>
      <c r="AB199" s="114"/>
      <c r="AC199" s="114"/>
      <c r="AD199" s="109"/>
      <c r="AE199" s="101"/>
      <c r="AF199" s="109"/>
      <c r="AG199" s="101"/>
      <c r="AH199" s="101"/>
      <c r="AI199" s="101"/>
    </row>
    <row r="200" spans="1:35" s="107" customFormat="1" ht="15.95">
      <c r="A200" s="516"/>
      <c r="B200" s="516"/>
      <c r="C200" s="108"/>
      <c r="D200" s="108"/>
      <c r="E200" s="594"/>
      <c r="F200" s="176"/>
      <c r="G200" s="176"/>
      <c r="H200" s="581"/>
      <c r="I200" s="176"/>
      <c r="J200" s="146"/>
      <c r="K200" s="146"/>
      <c r="L200" s="146"/>
      <c r="M200" s="147"/>
      <c r="N200" s="339"/>
      <c r="O200" s="148"/>
      <c r="P200" s="354"/>
      <c r="Q200" s="469"/>
      <c r="R200" s="150"/>
      <c r="S200" s="162"/>
      <c r="T200" s="144"/>
      <c r="U200" s="352"/>
      <c r="V200" s="176"/>
      <c r="W200" s="176"/>
      <c r="X200" s="571"/>
      <c r="Y200" s="144"/>
      <c r="Z200" s="144"/>
      <c r="AA200" s="144"/>
      <c r="AB200" s="152"/>
      <c r="AC200" s="152"/>
      <c r="AD200" s="471"/>
      <c r="AE200" s="104"/>
      <c r="AF200" s="44"/>
      <c r="AG200" s="44"/>
      <c r="AH200" s="44"/>
      <c r="AI200" s="44"/>
    </row>
    <row r="201" spans="1:35" s="107" customFormat="1" ht="15.95">
      <c r="A201" s="516"/>
      <c r="B201" s="516"/>
      <c r="C201" s="108"/>
      <c r="D201" s="108"/>
      <c r="E201" s="594"/>
      <c r="F201" s="176"/>
      <c r="G201" s="176"/>
      <c r="H201" s="581"/>
      <c r="I201" s="176"/>
      <c r="J201" s="146"/>
      <c r="K201" s="146"/>
      <c r="L201" s="146"/>
      <c r="M201" s="147"/>
      <c r="N201" s="339"/>
      <c r="O201" s="148"/>
      <c r="P201" s="354"/>
      <c r="Q201" s="469"/>
      <c r="R201" s="150"/>
      <c r="S201" s="162"/>
      <c r="T201" s="144"/>
      <c r="U201" s="352"/>
      <c r="V201" s="176"/>
      <c r="W201" s="176"/>
      <c r="X201" s="571"/>
      <c r="Y201" s="144"/>
      <c r="Z201" s="144"/>
      <c r="AA201" s="144"/>
      <c r="AB201" s="152"/>
      <c r="AC201" s="152"/>
      <c r="AD201" s="471"/>
      <c r="AE201" s="104"/>
      <c r="AF201" s="44"/>
      <c r="AG201" s="44"/>
      <c r="AH201" s="44"/>
      <c r="AI201" s="44"/>
    </row>
    <row r="202" spans="1:35" s="107" customFormat="1" ht="15.95">
      <c r="A202" s="516"/>
      <c r="B202" s="516"/>
      <c r="C202" s="108"/>
      <c r="D202" s="108"/>
      <c r="E202" s="594"/>
      <c r="F202" s="176"/>
      <c r="G202" s="176"/>
      <c r="H202" s="581"/>
      <c r="I202" s="176"/>
      <c r="J202" s="146"/>
      <c r="K202" s="146"/>
      <c r="L202" s="146"/>
      <c r="M202" s="147"/>
      <c r="N202" s="339"/>
      <c r="O202" s="148"/>
      <c r="P202" s="354"/>
      <c r="Q202" s="469"/>
      <c r="R202" s="150"/>
      <c r="S202" s="162"/>
      <c r="T202" s="144"/>
      <c r="U202" s="352"/>
      <c r="V202" s="176"/>
      <c r="W202" s="176"/>
      <c r="X202" s="571"/>
      <c r="Y202" s="144"/>
      <c r="Z202" s="144"/>
      <c r="AA202" s="144"/>
      <c r="AB202" s="152"/>
      <c r="AC202" s="152"/>
      <c r="AD202" s="471"/>
      <c r="AE202" s="104"/>
      <c r="AF202" s="44"/>
      <c r="AG202" s="44"/>
      <c r="AH202" s="44"/>
      <c r="AI202" s="44"/>
    </row>
    <row r="203" spans="1:35" s="107" customFormat="1" ht="14.45">
      <c r="C203" s="108"/>
      <c r="D203" s="108"/>
      <c r="E203" s="300"/>
      <c r="F203" s="176"/>
      <c r="G203" s="176"/>
      <c r="H203" s="144"/>
      <c r="I203" s="176"/>
      <c r="J203" s="146"/>
      <c r="K203" s="145"/>
      <c r="L203" s="146"/>
      <c r="M203" s="147"/>
      <c r="N203" s="339"/>
      <c r="O203" s="148"/>
      <c r="P203" s="149"/>
      <c r="Q203" s="469"/>
      <c r="R203" s="150"/>
      <c r="S203" s="162"/>
      <c r="T203" s="144"/>
      <c r="U203" s="176"/>
      <c r="V203" s="176"/>
      <c r="W203" s="176"/>
      <c r="X203" s="335"/>
      <c r="Y203" s="109"/>
      <c r="Z203" s="109"/>
      <c r="AA203" s="109"/>
      <c r="AB203" s="114"/>
      <c r="AC203" s="114"/>
      <c r="AD203" s="543"/>
      <c r="AE203" s="101"/>
      <c r="AF203" s="109"/>
      <c r="AG203" s="101"/>
      <c r="AH203" s="101"/>
      <c r="AI203" s="101"/>
    </row>
    <row r="204" spans="1:35" s="107" customFormat="1" ht="15.95">
      <c r="A204" s="516"/>
      <c r="B204" s="516"/>
      <c r="C204" s="108"/>
      <c r="D204" s="108"/>
      <c r="E204" s="594"/>
      <c r="F204" s="176"/>
      <c r="G204" s="176"/>
      <c r="H204" s="581"/>
      <c r="I204" s="176"/>
      <c r="J204" s="146"/>
      <c r="K204" s="146"/>
      <c r="L204" s="146"/>
      <c r="M204" s="147"/>
      <c r="N204" s="663"/>
      <c r="O204" s="148"/>
      <c r="P204" s="354"/>
      <c r="Q204" s="469"/>
      <c r="R204" s="150"/>
      <c r="S204" s="162"/>
      <c r="T204" s="144"/>
      <c r="U204" s="352"/>
      <c r="V204" s="176"/>
      <c r="W204" s="176"/>
      <c r="X204" s="571"/>
      <c r="Y204" s="144"/>
      <c r="Z204" s="144"/>
      <c r="AA204" s="144"/>
      <c r="AB204" s="152"/>
      <c r="AC204" s="152"/>
      <c r="AD204" s="471"/>
      <c r="AE204" s="104"/>
      <c r="AF204" s="44"/>
      <c r="AG204" s="44"/>
      <c r="AH204" s="44"/>
      <c r="AI204" s="44"/>
    </row>
    <row r="205" spans="1:35" s="107" customFormat="1" ht="15.95">
      <c r="A205" s="516"/>
      <c r="B205" s="516"/>
      <c r="C205" s="108"/>
      <c r="D205" s="108"/>
      <c r="E205" s="594"/>
      <c r="F205" s="172"/>
      <c r="G205" s="176"/>
      <c r="H205" s="581"/>
      <c r="I205" s="144"/>
      <c r="J205" s="146"/>
      <c r="K205" s="146"/>
      <c r="L205" s="146"/>
      <c r="M205" s="147"/>
      <c r="N205" s="339"/>
      <c r="O205" s="148"/>
      <c r="P205" s="354"/>
      <c r="Q205" s="469"/>
      <c r="R205" s="150"/>
      <c r="S205" s="162"/>
      <c r="T205" s="144"/>
      <c r="U205" s="352"/>
      <c r="V205" s="176"/>
      <c r="W205" s="176"/>
      <c r="X205" s="571"/>
      <c r="Y205" s="144"/>
      <c r="Z205" s="144"/>
      <c r="AA205" s="144"/>
      <c r="AB205" s="152"/>
      <c r="AC205" s="152"/>
      <c r="AD205" s="471"/>
      <c r="AE205" s="104"/>
      <c r="AF205" s="44"/>
      <c r="AG205" s="44"/>
      <c r="AH205" s="44"/>
      <c r="AI205" s="44"/>
    </row>
    <row r="206" spans="1:35" s="107" customFormat="1" ht="15.95">
      <c r="A206" s="516"/>
      <c r="B206" s="516"/>
      <c r="C206" s="108"/>
      <c r="D206" s="108"/>
      <c r="E206" s="594"/>
      <c r="F206" s="176"/>
      <c r="G206" s="176"/>
      <c r="H206" s="581"/>
      <c r="I206" s="144"/>
      <c r="J206" s="146"/>
      <c r="K206" s="146"/>
      <c r="L206" s="146"/>
      <c r="M206" s="147"/>
      <c r="N206" s="339"/>
      <c r="O206" s="148"/>
      <c r="P206" s="354"/>
      <c r="Q206" s="469"/>
      <c r="R206" s="150"/>
      <c r="S206" s="162"/>
      <c r="T206" s="144"/>
      <c r="U206" s="352"/>
      <c r="V206" s="176"/>
      <c r="W206" s="176"/>
      <c r="X206" s="571"/>
      <c r="Y206" s="144"/>
      <c r="Z206" s="144"/>
      <c r="AA206" s="144"/>
      <c r="AB206" s="152"/>
      <c r="AC206" s="152"/>
      <c r="AD206" s="471"/>
      <c r="AE206" s="104"/>
      <c r="AF206" s="44"/>
      <c r="AG206" s="44"/>
      <c r="AH206" s="44"/>
      <c r="AI206" s="44"/>
    </row>
    <row r="207" spans="1:35" s="107" customFormat="1" ht="15.95">
      <c r="A207" s="516"/>
      <c r="B207" s="516"/>
      <c r="C207" s="108"/>
      <c r="D207" s="108"/>
      <c r="E207" s="594"/>
      <c r="F207" s="176"/>
      <c r="G207" s="176"/>
      <c r="H207" s="581"/>
      <c r="I207" s="144"/>
      <c r="J207" s="146"/>
      <c r="K207" s="146"/>
      <c r="L207" s="146"/>
      <c r="M207" s="147"/>
      <c r="N207" s="339"/>
      <c r="O207" s="148"/>
      <c r="P207" s="354"/>
      <c r="Q207" s="469"/>
      <c r="R207" s="150"/>
      <c r="S207" s="162"/>
      <c r="T207" s="144"/>
      <c r="U207" s="352"/>
      <c r="V207" s="176"/>
      <c r="W207" s="176"/>
      <c r="X207" s="571"/>
      <c r="Y207" s="144"/>
      <c r="Z207" s="144"/>
      <c r="AA207" s="144"/>
      <c r="AB207" s="152"/>
      <c r="AC207" s="152"/>
      <c r="AD207" s="471"/>
      <c r="AE207" s="104"/>
      <c r="AF207" s="44"/>
      <c r="AG207" s="44"/>
      <c r="AH207" s="44"/>
      <c r="AI207" s="44"/>
    </row>
    <row r="208" spans="1:35" s="107" customFormat="1" ht="14.45">
      <c r="A208" s="516"/>
      <c r="B208" s="516"/>
      <c r="C208" s="108"/>
      <c r="D208" s="108"/>
      <c r="E208" s="594"/>
      <c r="F208" s="176"/>
      <c r="G208" s="176"/>
      <c r="H208" s="176"/>
      <c r="I208" s="176"/>
      <c r="J208" s="146"/>
      <c r="K208" s="145"/>
      <c r="L208" s="220"/>
      <c r="M208" s="147"/>
      <c r="N208" s="339"/>
      <c r="O208" s="148"/>
      <c r="P208" s="354"/>
      <c r="Q208" s="469"/>
      <c r="R208" s="150"/>
      <c r="S208" s="162"/>
      <c r="T208" s="144"/>
      <c r="U208" s="176"/>
      <c r="V208" s="176"/>
      <c r="W208" s="172"/>
      <c r="X208" s="335"/>
      <c r="Y208" s="144"/>
      <c r="Z208" s="144"/>
      <c r="AA208" s="144"/>
      <c r="AB208" s="152"/>
      <c r="AC208" s="152"/>
      <c r="AD208" s="471"/>
      <c r="AE208" s="104"/>
      <c r="AF208" s="44"/>
      <c r="AG208" s="44"/>
      <c r="AH208" s="44"/>
      <c r="AI208" s="44"/>
    </row>
    <row r="209" spans="1:35" s="107" customFormat="1" ht="14.45">
      <c r="A209" s="516"/>
      <c r="B209" s="516"/>
      <c r="C209" s="108"/>
      <c r="D209" s="108"/>
      <c r="E209" s="594"/>
      <c r="F209" s="176"/>
      <c r="G209" s="176"/>
      <c r="H209" s="176"/>
      <c r="I209" s="176"/>
      <c r="J209" s="146"/>
      <c r="K209" s="145"/>
      <c r="L209" s="220"/>
      <c r="M209" s="147"/>
      <c r="N209" s="339"/>
      <c r="O209" s="148"/>
      <c r="P209" s="354"/>
      <c r="Q209" s="469"/>
      <c r="R209" s="150"/>
      <c r="S209" s="162"/>
      <c r="T209" s="144"/>
      <c r="U209" s="176"/>
      <c r="V209" s="176"/>
      <c r="W209" s="176"/>
      <c r="X209" s="335"/>
      <c r="Y209" s="144"/>
      <c r="Z209" s="144"/>
      <c r="AA209" s="144"/>
      <c r="AB209" s="152"/>
      <c r="AC209" s="152"/>
      <c r="AD209" s="471"/>
      <c r="AE209" s="104"/>
      <c r="AF209" s="44"/>
      <c r="AG209" s="44"/>
      <c r="AH209" s="44"/>
      <c r="AI209" s="44"/>
    </row>
    <row r="210" spans="1:35" s="107" customFormat="1" ht="14.45">
      <c r="A210" s="516"/>
      <c r="B210" s="516"/>
      <c r="C210" s="108"/>
      <c r="D210" s="108"/>
      <c r="E210" s="594"/>
      <c r="F210" s="176"/>
      <c r="G210" s="176"/>
      <c r="H210" s="176"/>
      <c r="I210" s="176"/>
      <c r="J210" s="146"/>
      <c r="K210" s="145"/>
      <c r="L210" s="220"/>
      <c r="M210" s="147"/>
      <c r="N210" s="339"/>
      <c r="O210" s="148"/>
      <c r="P210" s="354"/>
      <c r="Q210" s="469"/>
      <c r="R210" s="150"/>
      <c r="S210" s="162"/>
      <c r="T210" s="144"/>
      <c r="U210" s="176"/>
      <c r="V210" s="176"/>
      <c r="W210" s="176"/>
      <c r="X210" s="335"/>
      <c r="Y210" s="144"/>
      <c r="Z210" s="144"/>
      <c r="AA210" s="144"/>
      <c r="AB210" s="152"/>
      <c r="AC210" s="152"/>
      <c r="AD210" s="471"/>
      <c r="AE210" s="104"/>
      <c r="AF210" s="44"/>
      <c r="AG210" s="44"/>
      <c r="AH210" s="44"/>
      <c r="AI210" s="44"/>
    </row>
    <row r="211" spans="1:35" s="107" customFormat="1" ht="15.95">
      <c r="A211" s="516"/>
      <c r="B211" s="516"/>
      <c r="C211" s="108"/>
      <c r="D211" s="108"/>
      <c r="E211" s="594"/>
      <c r="F211" s="172"/>
      <c r="G211" s="176"/>
      <c r="H211" s="176"/>
      <c r="I211" s="176"/>
      <c r="J211" s="146"/>
      <c r="K211" s="145"/>
      <c r="L211" s="145"/>
      <c r="M211" s="147"/>
      <c r="N211" s="339"/>
      <c r="O211" s="148"/>
      <c r="P211" s="354"/>
      <c r="Q211" s="469"/>
      <c r="R211" s="150"/>
      <c r="S211" s="162"/>
      <c r="T211" s="144"/>
      <c r="U211" s="176"/>
      <c r="V211" s="176"/>
      <c r="W211" s="176"/>
      <c r="X211" s="335"/>
      <c r="Y211" s="144"/>
      <c r="Z211" s="144"/>
      <c r="AA211" s="144"/>
      <c r="AB211" s="152"/>
      <c r="AC211" s="152"/>
      <c r="AD211" s="471"/>
      <c r="AE211" s="104"/>
      <c r="AF211" s="228"/>
      <c r="AG211" s="44"/>
      <c r="AH211" s="44"/>
      <c r="AI211" s="44"/>
    </row>
    <row r="212" spans="1:35" s="107" customFormat="1" ht="15.95">
      <c r="A212" s="516"/>
      <c r="B212" s="516"/>
      <c r="C212" s="108"/>
      <c r="D212" s="108"/>
      <c r="E212" s="594"/>
      <c r="F212" s="172"/>
      <c r="G212" s="176"/>
      <c r="H212" s="176"/>
      <c r="I212" s="176"/>
      <c r="J212" s="146"/>
      <c r="K212" s="145"/>
      <c r="L212" s="145"/>
      <c r="M212" s="147"/>
      <c r="N212" s="339"/>
      <c r="O212" s="148"/>
      <c r="P212" s="354"/>
      <c r="Q212" s="469"/>
      <c r="R212" s="150"/>
      <c r="S212" s="162"/>
      <c r="T212" s="144"/>
      <c r="U212" s="176"/>
      <c r="V212" s="172"/>
      <c r="W212" s="176"/>
      <c r="X212" s="335"/>
      <c r="Y212" s="144"/>
      <c r="Z212" s="144"/>
      <c r="AA212" s="144"/>
      <c r="AB212" s="152"/>
      <c r="AC212" s="152"/>
      <c r="AD212" s="471"/>
      <c r="AE212" s="104"/>
      <c r="AF212" s="228"/>
      <c r="AG212" s="44"/>
      <c r="AH212" s="44"/>
      <c r="AI212" s="44"/>
    </row>
    <row r="213" spans="1:35" s="107" customFormat="1" ht="15.95">
      <c r="A213" s="516"/>
      <c r="B213" s="516"/>
      <c r="C213" s="108"/>
      <c r="D213" s="108"/>
      <c r="E213" s="594"/>
      <c r="F213" s="172"/>
      <c r="G213" s="176"/>
      <c r="H213"/>
      <c r="I213" s="176"/>
      <c r="J213" s="146"/>
      <c r="K213" s="145"/>
      <c r="L213" s="145"/>
      <c r="M213" s="147"/>
      <c r="N213" s="339"/>
      <c r="O213" s="148"/>
      <c r="P213" s="354"/>
      <c r="Q213" s="469"/>
      <c r="R213" s="150"/>
      <c r="S213" s="162"/>
      <c r="T213" s="144"/>
      <c r="U213" s="176"/>
      <c r="V213" s="176"/>
      <c r="W213" s="176"/>
      <c r="X213" s="335"/>
      <c r="Y213" s="144"/>
      <c r="Z213" s="144"/>
      <c r="AA213" s="144"/>
      <c r="AB213" s="152"/>
      <c r="AC213" s="152"/>
      <c r="AD213" s="471"/>
      <c r="AE213" s="104"/>
      <c r="AF213" s="228"/>
      <c r="AG213" s="44"/>
      <c r="AH213" s="44"/>
      <c r="AI213" s="44"/>
    </row>
    <row r="214" spans="1:35" s="107" customFormat="1" ht="15.95">
      <c r="A214" s="516"/>
      <c r="B214" s="516"/>
      <c r="C214" s="108"/>
      <c r="D214" s="108"/>
      <c r="E214" s="594"/>
      <c r="F214" s="176"/>
      <c r="G214" s="176"/>
      <c r="H214"/>
      <c r="I214" s="176"/>
      <c r="J214" s="146"/>
      <c r="K214" s="145"/>
      <c r="L214" s="145"/>
      <c r="M214" s="147"/>
      <c r="N214" s="339"/>
      <c r="O214" s="148"/>
      <c r="P214" s="354"/>
      <c r="Q214" s="469"/>
      <c r="R214" s="150"/>
      <c r="S214" s="162"/>
      <c r="T214" s="144"/>
      <c r="U214" s="176"/>
      <c r="V214" s="176"/>
      <c r="W214" s="176"/>
      <c r="X214" s="335"/>
      <c r="Y214" s="144"/>
      <c r="Z214" s="144"/>
      <c r="AA214" s="144"/>
      <c r="AB214" s="152"/>
      <c r="AC214" s="152"/>
      <c r="AD214" s="471"/>
      <c r="AE214" s="104"/>
      <c r="AF214" s="228"/>
      <c r="AG214" s="44"/>
      <c r="AH214" s="44"/>
      <c r="AI214" s="44"/>
    </row>
    <row r="215" spans="1:35" s="107" customFormat="1" ht="14.45">
      <c r="A215" s="516"/>
      <c r="B215" s="516"/>
      <c r="C215" s="108"/>
      <c r="D215" s="108"/>
      <c r="E215" s="594"/>
      <c r="F215" s="176"/>
      <c r="G215" s="176"/>
      <c r="H215" s="176"/>
      <c r="I215" s="176"/>
      <c r="J215" s="146"/>
      <c r="K215" s="145"/>
      <c r="L215" s="145"/>
      <c r="M215" s="147"/>
      <c r="N215" s="339"/>
      <c r="O215" s="148"/>
      <c r="P215" s="249"/>
      <c r="Q215" s="469"/>
      <c r="R215" s="150"/>
      <c r="S215" s="162"/>
      <c r="T215" s="144"/>
      <c r="U215" s="176"/>
      <c r="V215" s="176"/>
      <c r="W215" s="176"/>
      <c r="X215" s="335"/>
      <c r="Y215" s="144"/>
      <c r="Z215" s="144"/>
      <c r="AA215" s="144"/>
      <c r="AB215" s="152"/>
      <c r="AC215" s="152"/>
      <c r="AD215" s="471"/>
      <c r="AE215" s="104"/>
      <c r="AF215" s="44"/>
      <c r="AG215" s="44"/>
      <c r="AH215" s="44"/>
      <c r="AI215" s="44"/>
    </row>
    <row r="216" spans="1:35" s="107" customFormat="1" ht="22.5" customHeight="1">
      <c r="A216" s="516"/>
      <c r="B216" s="516"/>
      <c r="C216" s="108"/>
      <c r="D216"/>
      <c r="E216" s="594"/>
      <c r="F216" s="176"/>
      <c r="G216" s="176"/>
      <c r="H216" s="176"/>
      <c r="I216" s="176"/>
      <c r="J216" s="146"/>
      <c r="K216" s="145"/>
      <c r="L216" s="145"/>
      <c r="M216" s="147"/>
      <c r="N216" s="339"/>
      <c r="O216" s="148"/>
      <c r="P216" s="249"/>
      <c r="Q216" s="469"/>
      <c r="R216" s="150"/>
      <c r="S216" s="162"/>
      <c r="T216" s="144"/>
      <c r="U216" s="176"/>
      <c r="V216" s="176"/>
      <c r="W216" s="176"/>
      <c r="X216" s="335"/>
      <c r="Y216" s="144"/>
      <c r="Z216" s="144"/>
      <c r="AA216" s="144"/>
      <c r="AB216" s="152"/>
      <c r="AC216" s="152"/>
      <c r="AD216" s="471"/>
      <c r="AE216" s="86"/>
      <c r="AF216" s="44"/>
      <c r="AG216" s="44"/>
      <c r="AH216" s="44"/>
      <c r="AI216" s="44"/>
    </row>
    <row r="217" spans="1:35" s="107" customFormat="1" ht="14.45">
      <c r="A217" s="516"/>
      <c r="B217" s="516"/>
      <c r="C217" s="108"/>
      <c r="D217" s="108"/>
      <c r="E217" s="594"/>
      <c r="F217" s="176"/>
      <c r="G217" s="176"/>
      <c r="H217" s="176"/>
      <c r="I217" s="176"/>
      <c r="J217" s="146"/>
      <c r="K217" s="145"/>
      <c r="L217" s="145"/>
      <c r="M217" s="147"/>
      <c r="N217" s="339"/>
      <c r="O217" s="148"/>
      <c r="P217" s="249"/>
      <c r="Q217" s="469"/>
      <c r="R217" s="150"/>
      <c r="S217" s="162"/>
      <c r="T217" s="144"/>
      <c r="U217" s="176"/>
      <c r="V217" s="176"/>
      <c r="W217" s="176"/>
      <c r="X217" s="335"/>
      <c r="Y217" s="144"/>
      <c r="Z217" s="144"/>
      <c r="AA217" s="144"/>
      <c r="AB217" s="152"/>
      <c r="AC217" s="152"/>
      <c r="AD217" s="471"/>
      <c r="AE217" s="596"/>
      <c r="AF217" s="44"/>
      <c r="AG217" s="44"/>
      <c r="AH217" s="44"/>
      <c r="AI217" s="44"/>
    </row>
    <row r="218" spans="1:35" s="107" customFormat="1" ht="15.95">
      <c r="A218" s="516"/>
      <c r="B218" s="516"/>
      <c r="C218" s="108"/>
      <c r="D218" s="108"/>
      <c r="E218" s="594"/>
      <c r="F218" s="176"/>
      <c r="G218" s="176"/>
      <c r="H218" s="176"/>
      <c r="I218" s="176"/>
      <c r="J218" s="146"/>
      <c r="K218" s="220"/>
      <c r="L218" s="145"/>
      <c r="M218" s="147"/>
      <c r="N218" s="339"/>
      <c r="O218" s="148"/>
      <c r="P218" s="354"/>
      <c r="Q218" s="469"/>
      <c r="R218" s="150"/>
      <c r="S218" s="162"/>
      <c r="T218" s="144"/>
      <c r="U218" s="176"/>
      <c r="V218" s="176"/>
      <c r="W218" s="176"/>
      <c r="X218" s="335"/>
      <c r="Y218" s="144"/>
      <c r="Z218" s="144"/>
      <c r="AA218" s="144"/>
      <c r="AB218" s="152"/>
      <c r="AC218" s="152"/>
      <c r="AD218" s="471"/>
      <c r="AE218" s="596"/>
      <c r="AF218"/>
      <c r="AG218" s="44"/>
      <c r="AH218" s="44"/>
      <c r="AI218" s="44"/>
    </row>
    <row r="219" spans="1:35" s="107" customFormat="1" ht="14.45">
      <c r="A219" s="516"/>
      <c r="B219" s="516"/>
      <c r="C219" s="108"/>
      <c r="D219" s="108"/>
      <c r="E219" s="594"/>
      <c r="F219" s="176"/>
      <c r="G219" s="176"/>
      <c r="H219" s="176"/>
      <c r="I219" s="176"/>
      <c r="J219" s="146"/>
      <c r="K219" s="145"/>
      <c r="L219" s="145"/>
      <c r="M219" s="147"/>
      <c r="N219" s="339"/>
      <c r="O219" s="148"/>
      <c r="P219" s="354"/>
      <c r="Q219" s="469"/>
      <c r="R219" s="150"/>
      <c r="S219" s="162"/>
      <c r="T219" s="144"/>
      <c r="U219" s="172"/>
      <c r="V219" s="176"/>
      <c r="W219" s="176"/>
      <c r="X219" s="335"/>
      <c r="Y219" s="144"/>
      <c r="Z219" s="144"/>
      <c r="AA219" s="144"/>
      <c r="AB219" s="152"/>
      <c r="AC219" s="152"/>
      <c r="AD219" s="471"/>
      <c r="AE219" s="596"/>
      <c r="AF219" s="44"/>
      <c r="AG219" s="44"/>
      <c r="AH219" s="44"/>
      <c r="AI219" s="44"/>
    </row>
    <row r="220" spans="1:35" s="107" customFormat="1" ht="15.95">
      <c r="A220" s="516"/>
      <c r="B220" s="516"/>
      <c r="C220" s="108"/>
      <c r="D220" s="108"/>
      <c r="E220" s="594"/>
      <c r="F220" s="176"/>
      <c r="G220" s="176"/>
      <c r="H220" s="176"/>
      <c r="I220" s="176"/>
      <c r="J220" s="146"/>
      <c r="K220" s="145"/>
      <c r="L220" s="145"/>
      <c r="M220" s="147"/>
      <c r="N220" s="339"/>
      <c r="O220" s="148"/>
      <c r="P220" s="249"/>
      <c r="Q220" s="469"/>
      <c r="R220" s="150"/>
      <c r="S220" s="162"/>
      <c r="T220" s="144"/>
      <c r="U220" s="176"/>
      <c r="V220" s="176"/>
      <c r="W220" s="176"/>
      <c r="X220" s="335"/>
      <c r="Y220" s="144"/>
      <c r="Z220" s="144"/>
      <c r="AA220" s="144"/>
      <c r="AB220" s="152"/>
      <c r="AC220" s="152"/>
      <c r="AD220" s="471"/>
      <c r="AE220" s="596"/>
      <c r="AF220"/>
      <c r="AG220" s="44"/>
      <c r="AH220" s="44"/>
      <c r="AI220" s="44"/>
    </row>
    <row r="221" spans="1:35" s="107" customFormat="1" ht="15.95">
      <c r="A221" s="516"/>
      <c r="B221" s="516"/>
      <c r="C221" s="108"/>
      <c r="D221" s="108"/>
      <c r="E221" s="594"/>
      <c r="F221" s="176"/>
      <c r="G221" s="176"/>
      <c r="H221" s="176"/>
      <c r="I221" s="176"/>
      <c r="J221" s="146"/>
      <c r="K221" s="145"/>
      <c r="L221" s="145"/>
      <c r="M221" s="147"/>
      <c r="N221" s="339"/>
      <c r="O221" s="148"/>
      <c r="P221" s="354"/>
      <c r="Q221" s="469"/>
      <c r="R221" s="150"/>
      <c r="S221" s="162"/>
      <c r="T221" s="144"/>
      <c r="U221" s="176"/>
      <c r="V221" s="176"/>
      <c r="W221" s="176"/>
      <c r="X221" s="335"/>
      <c r="Y221" s="144"/>
      <c r="Z221" s="144"/>
      <c r="AA221" s="144"/>
      <c r="AB221" s="152"/>
      <c r="AC221" s="152"/>
      <c r="AD221" s="570"/>
      <c r="AE221" s="596"/>
      <c r="AF221" s="19"/>
      <c r="AG221" s="44"/>
      <c r="AH221" s="44"/>
      <c r="AI221" s="44"/>
    </row>
    <row r="222" spans="1:35" s="107" customFormat="1" ht="14.45">
      <c r="A222" s="516"/>
      <c r="B222" s="516"/>
      <c r="C222" s="108"/>
      <c r="D222" s="108"/>
      <c r="E222" s="594"/>
      <c r="F222" s="176"/>
      <c r="G222" s="176"/>
      <c r="H222" s="176"/>
      <c r="I222" s="176"/>
      <c r="J222" s="146"/>
      <c r="K222" s="145"/>
      <c r="L222" s="145"/>
      <c r="M222" s="147"/>
      <c r="N222" s="339"/>
      <c r="O222" s="148"/>
      <c r="P222" s="354"/>
      <c r="Q222" s="469"/>
      <c r="R222" s="150"/>
      <c r="S222" s="162"/>
      <c r="T222" s="144"/>
      <c r="U222" s="172"/>
      <c r="V222" s="176"/>
      <c r="W222" s="176"/>
      <c r="X222" s="335"/>
      <c r="Y222" s="144"/>
      <c r="Z222" s="144"/>
      <c r="AA222" s="144"/>
      <c r="AB222" s="152"/>
      <c r="AC222" s="152"/>
      <c r="AD222" s="471"/>
      <c r="AE222" s="596"/>
      <c r="AF222" s="44"/>
      <c r="AG222" s="44"/>
      <c r="AH222" s="44"/>
      <c r="AI222" s="44"/>
    </row>
    <row r="223" spans="1:35" s="107" customFormat="1" ht="14.45">
      <c r="A223" s="516"/>
      <c r="B223" s="516"/>
      <c r="C223" s="108"/>
      <c r="D223" s="108"/>
      <c r="E223" s="594"/>
      <c r="F223" s="176"/>
      <c r="G223" s="176"/>
      <c r="H223" s="176"/>
      <c r="I223" s="176"/>
      <c r="J223" s="146"/>
      <c r="K223" s="145"/>
      <c r="L223" s="145"/>
      <c r="M223" s="147"/>
      <c r="N223" s="339"/>
      <c r="O223" s="148"/>
      <c r="P223" s="354"/>
      <c r="Q223" s="469"/>
      <c r="R223" s="150"/>
      <c r="S223" s="162"/>
      <c r="T223" s="144"/>
      <c r="U223" s="172"/>
      <c r="V223" s="176"/>
      <c r="W223" s="176"/>
      <c r="X223" s="335"/>
      <c r="Y223" s="144"/>
      <c r="Z223" s="144"/>
      <c r="AA223" s="144"/>
      <c r="AB223" s="152"/>
      <c r="AC223" s="152"/>
      <c r="AD223" s="471"/>
      <c r="AE223" s="596"/>
      <c r="AF223" s="44"/>
      <c r="AG223" s="44"/>
      <c r="AH223" s="44"/>
      <c r="AI223" s="44"/>
    </row>
    <row r="224" spans="1:35" s="107" customFormat="1" ht="27.75" customHeight="1">
      <c r="A224" s="516"/>
      <c r="B224" s="516"/>
      <c r="C224" s="108"/>
      <c r="D224" s="108"/>
      <c r="E224" s="594"/>
      <c r="F224" s="176"/>
      <c r="G224" s="176"/>
      <c r="H224" s="176"/>
      <c r="I224" s="176"/>
      <c r="J224" s="146"/>
      <c r="K224" s="145"/>
      <c r="L224" s="145"/>
      <c r="M224" s="147"/>
      <c r="N224" s="339"/>
      <c r="O224" s="148"/>
      <c r="P224" s="354"/>
      <c r="Q224" s="469"/>
      <c r="R224" s="150"/>
      <c r="S224" s="162"/>
      <c r="T224" s="144"/>
      <c r="U224" s="144"/>
      <c r="V224" s="176"/>
      <c r="W224" s="176"/>
      <c r="X224" s="335"/>
      <c r="Y224" s="144"/>
      <c r="Z224" s="144"/>
      <c r="AA224" s="144"/>
      <c r="AB224" s="152"/>
      <c r="AC224" s="152"/>
      <c r="AD224" s="471"/>
      <c r="AE224" s="596"/>
      <c r="AF224" s="44"/>
      <c r="AG224" s="44"/>
      <c r="AH224" s="44"/>
      <c r="AI224" s="44"/>
    </row>
    <row r="225" spans="1:35" s="107" customFormat="1" ht="25.5" customHeight="1">
      <c r="A225" s="516"/>
      <c r="B225" s="516"/>
      <c r="C225" s="108"/>
      <c r="D225" s="108"/>
      <c r="E225" s="594"/>
      <c r="F225" s="176"/>
      <c r="G225" s="176"/>
      <c r="H225" s="176"/>
      <c r="I225" s="176"/>
      <c r="J225" s="146"/>
      <c r="K225" s="220"/>
      <c r="L225" s="145"/>
      <c r="M225" s="147"/>
      <c r="N225" s="339"/>
      <c r="O225" s="148"/>
      <c r="P225" s="354"/>
      <c r="Q225" s="469"/>
      <c r="R225" s="150"/>
      <c r="S225" s="162"/>
      <c r="T225" s="144"/>
      <c r="U225" s="144"/>
      <c r="V225" s="176"/>
      <c r="W225" s="176"/>
      <c r="X225" s="335"/>
      <c r="Y225" s="144"/>
      <c r="Z225" s="144"/>
      <c r="AA225" s="144"/>
      <c r="AB225" s="152"/>
      <c r="AC225" s="152"/>
      <c r="AD225" s="471"/>
      <c r="AE225" s="596"/>
      <c r="AF225" s="44"/>
      <c r="AG225" s="44"/>
      <c r="AH225" s="44"/>
      <c r="AI225" s="44"/>
    </row>
    <row r="226" spans="1:35" s="107" customFormat="1" ht="15" customHeight="1">
      <c r="A226" s="516"/>
      <c r="B226" s="516"/>
      <c r="C226" s="108"/>
      <c r="D226" s="108"/>
      <c r="E226" s="594"/>
      <c r="F226" s="176"/>
      <c r="G226" s="176"/>
      <c r="H226" s="176"/>
      <c r="I226" s="176"/>
      <c r="J226" s="146"/>
      <c r="K226" s="220"/>
      <c r="L226" s="145"/>
      <c r="M226" s="147"/>
      <c r="N226" s="339"/>
      <c r="O226" s="148"/>
      <c r="P226" s="354"/>
      <c r="Q226" s="469"/>
      <c r="R226" s="150"/>
      <c r="S226" s="162"/>
      <c r="T226" s="144"/>
      <c r="U226" s="144"/>
      <c r="V226" s="176"/>
      <c r="W226" s="176"/>
      <c r="X226" s="335"/>
      <c r="Y226" s="144"/>
      <c r="Z226" s="144"/>
      <c r="AA226" s="144"/>
      <c r="AB226" s="152"/>
      <c r="AC226" s="152"/>
      <c r="AD226" s="471"/>
      <c r="AE226" s="596"/>
      <c r="AF226" s="44"/>
      <c r="AG226" s="44"/>
      <c r="AH226" s="44"/>
      <c r="AI226" s="44"/>
    </row>
    <row r="227" spans="1:35" s="107" customFormat="1" ht="15" customHeight="1">
      <c r="A227" s="516"/>
      <c r="B227" s="516"/>
      <c r="C227" s="108"/>
      <c r="D227" s="108"/>
      <c r="E227" s="594"/>
      <c r="F227" s="176"/>
      <c r="G227" s="176"/>
      <c r="H227" s="176"/>
      <c r="I227" s="176"/>
      <c r="J227" s="146"/>
      <c r="K227" s="145"/>
      <c r="L227" s="145"/>
      <c r="M227" s="147"/>
      <c r="N227" s="339"/>
      <c r="O227" s="148"/>
      <c r="P227" s="354"/>
      <c r="Q227" s="469"/>
      <c r="R227" s="150"/>
      <c r="S227" s="162"/>
      <c r="T227" s="144"/>
      <c r="U227" s="144"/>
      <c r="V227" s="176"/>
      <c r="W227" s="176"/>
      <c r="X227" s="335"/>
      <c r="Y227" s="144"/>
      <c r="Z227" s="144"/>
      <c r="AA227" s="144"/>
      <c r="AB227" s="152"/>
      <c r="AC227" s="152"/>
      <c r="AD227" s="471"/>
      <c r="AE227" s="596"/>
      <c r="AF227" s="44"/>
      <c r="AG227" s="44"/>
      <c r="AH227" s="44"/>
      <c r="AI227" s="44"/>
    </row>
  </sheetData>
  <autoFilter ref="A1:AI67" xr:uid="{DC66C23E-8743-4034-8AA7-6B8AF1AC3327}"/>
  <phoneticPr fontId="27" type="noConversion"/>
  <conditionalFormatting sqref="X159:Y159">
    <cfRule type="cellIs" dxfId="536" priority="68" operator="equal">
      <formula>"A-O"</formula>
    </cfRule>
    <cfRule type="cellIs" dxfId="535" priority="69" operator="equal">
      <formula>"A-O-M"</formula>
    </cfRule>
  </conditionalFormatting>
  <conditionalFormatting sqref="Y3:Z4">
    <cfRule type="cellIs" priority="898" operator="notEqual">
      <formula>"NA"</formula>
    </cfRule>
    <cfRule type="cellIs" dxfId="534" priority="899" operator="equal">
      <formula>"A"</formula>
    </cfRule>
    <cfRule type="cellIs" dxfId="533" priority="900" operator="equal">
      <formula>"A+I"</formula>
    </cfRule>
  </conditionalFormatting>
  <conditionalFormatting sqref="Y6:Z6">
    <cfRule type="cellIs" priority="892" operator="notEqual">
      <formula>"NA"</formula>
    </cfRule>
    <cfRule type="cellIs" dxfId="532" priority="893" operator="equal">
      <formula>"A"</formula>
    </cfRule>
    <cfRule type="cellIs" dxfId="531" priority="894" operator="equal">
      <formula>"A+I"</formula>
    </cfRule>
  </conditionalFormatting>
  <conditionalFormatting sqref="Y8:Z8">
    <cfRule type="cellIs" priority="886" operator="notEqual">
      <formula>"NA"</formula>
    </cfRule>
    <cfRule type="cellIs" dxfId="530" priority="887" operator="equal">
      <formula>"A"</formula>
    </cfRule>
    <cfRule type="cellIs" dxfId="529" priority="888" operator="equal">
      <formula>"A+I"</formula>
    </cfRule>
  </conditionalFormatting>
  <conditionalFormatting sqref="Y10:Z10">
    <cfRule type="cellIs" priority="880" operator="notEqual">
      <formula>"NA"</formula>
    </cfRule>
    <cfRule type="cellIs" dxfId="528" priority="881" operator="equal">
      <formula>"A"</formula>
    </cfRule>
    <cfRule type="cellIs" dxfId="527" priority="882" operator="equal">
      <formula>"A+I"</formula>
    </cfRule>
  </conditionalFormatting>
  <conditionalFormatting sqref="Y12:Z12">
    <cfRule type="cellIs" priority="860" operator="notEqual">
      <formula>"NA"</formula>
    </cfRule>
    <cfRule type="cellIs" dxfId="526" priority="861" operator="equal">
      <formula>"A"</formula>
    </cfRule>
    <cfRule type="cellIs" dxfId="525" priority="862" operator="equal">
      <formula>"A+I"</formula>
    </cfRule>
  </conditionalFormatting>
  <conditionalFormatting sqref="Y14:Z14">
    <cfRule type="cellIs" priority="850" operator="notEqual">
      <formula>"NA"</formula>
    </cfRule>
    <cfRule type="cellIs" dxfId="524" priority="851" operator="equal">
      <formula>"A"</formula>
    </cfRule>
    <cfRule type="cellIs" dxfId="523" priority="852" operator="equal">
      <formula>"A+I"</formula>
    </cfRule>
  </conditionalFormatting>
  <conditionalFormatting sqref="Y16:Z16">
    <cfRule type="cellIs" priority="855" operator="notEqual">
      <formula>"NA"</formula>
    </cfRule>
    <cfRule type="cellIs" dxfId="522" priority="856" operator="equal">
      <formula>"A"</formula>
    </cfRule>
    <cfRule type="cellIs" dxfId="521" priority="857" operator="equal">
      <formula>"A+I"</formula>
    </cfRule>
  </conditionalFormatting>
  <conditionalFormatting sqref="Y18:Z18">
    <cfRule type="cellIs" priority="844" operator="notEqual">
      <formula>"NA"</formula>
    </cfRule>
    <cfRule type="cellIs" dxfId="520" priority="845" operator="equal">
      <formula>"A"</formula>
    </cfRule>
    <cfRule type="cellIs" dxfId="519" priority="846" operator="equal">
      <formula>"A+I"</formula>
    </cfRule>
  </conditionalFormatting>
  <conditionalFormatting sqref="Y20:Z20">
    <cfRule type="cellIs" priority="838" operator="notEqual">
      <formula>"NA"</formula>
    </cfRule>
    <cfRule type="cellIs" dxfId="518" priority="839" operator="equal">
      <formula>"A"</formula>
    </cfRule>
    <cfRule type="cellIs" dxfId="517" priority="840" operator="equal">
      <formula>"A+I"</formula>
    </cfRule>
  </conditionalFormatting>
  <conditionalFormatting sqref="Y22:Z22">
    <cfRule type="cellIs" priority="832" operator="notEqual">
      <formula>"NA"</formula>
    </cfRule>
    <cfRule type="cellIs" dxfId="516" priority="833" operator="equal">
      <formula>"A"</formula>
    </cfRule>
    <cfRule type="cellIs" dxfId="515" priority="834" operator="equal">
      <formula>"A+I"</formula>
    </cfRule>
  </conditionalFormatting>
  <conditionalFormatting sqref="Y24:Z24">
    <cfRule type="cellIs" priority="826" operator="notEqual">
      <formula>"NA"</formula>
    </cfRule>
    <cfRule type="cellIs" dxfId="514" priority="827" operator="equal">
      <formula>"A"</formula>
    </cfRule>
    <cfRule type="cellIs" dxfId="513" priority="828" operator="equal">
      <formula>"A+I"</formula>
    </cfRule>
  </conditionalFormatting>
  <conditionalFormatting sqref="Y26:Z26">
    <cfRule type="cellIs" priority="820" operator="notEqual">
      <formula>"NA"</formula>
    </cfRule>
    <cfRule type="cellIs" dxfId="512" priority="821" operator="equal">
      <formula>"A"</formula>
    </cfRule>
    <cfRule type="cellIs" dxfId="511" priority="822" operator="equal">
      <formula>"A+I"</formula>
    </cfRule>
  </conditionalFormatting>
  <conditionalFormatting sqref="Y28:Z28">
    <cfRule type="cellIs" priority="814" operator="notEqual">
      <formula>"NA"</formula>
    </cfRule>
    <cfRule type="cellIs" dxfId="510" priority="815" operator="equal">
      <formula>"A"</formula>
    </cfRule>
    <cfRule type="cellIs" dxfId="509" priority="816" operator="equal">
      <formula>"A+I"</formula>
    </cfRule>
  </conditionalFormatting>
  <conditionalFormatting sqref="Y30:Z30">
    <cfRule type="cellIs" priority="808" operator="notEqual">
      <formula>"NA"</formula>
    </cfRule>
    <cfRule type="cellIs" dxfId="508" priority="809" operator="equal">
      <formula>"A"</formula>
    </cfRule>
    <cfRule type="cellIs" dxfId="507" priority="810" operator="equal">
      <formula>"A+I"</formula>
    </cfRule>
  </conditionalFormatting>
  <conditionalFormatting sqref="Y32:Z32">
    <cfRule type="cellIs" priority="802" operator="notEqual">
      <formula>"NA"</formula>
    </cfRule>
    <cfRule type="cellIs" dxfId="506" priority="803" operator="equal">
      <formula>"A"</formula>
    </cfRule>
    <cfRule type="cellIs" dxfId="505" priority="804" operator="equal">
      <formula>"A+I"</formula>
    </cfRule>
  </conditionalFormatting>
  <conditionalFormatting sqref="Y34:Z34">
    <cfRule type="cellIs" priority="795" operator="notEqual">
      <formula>"NA"</formula>
    </cfRule>
    <cfRule type="cellIs" dxfId="504" priority="796" operator="equal">
      <formula>"A"</formula>
    </cfRule>
    <cfRule type="cellIs" dxfId="503" priority="797" operator="equal">
      <formula>"A+I"</formula>
    </cfRule>
  </conditionalFormatting>
  <conditionalFormatting sqref="Y36:Z36">
    <cfRule type="cellIs" priority="790" operator="notEqual">
      <formula>"NA"</formula>
    </cfRule>
    <cfRule type="cellIs" dxfId="502" priority="791" operator="equal">
      <formula>"A"</formula>
    </cfRule>
    <cfRule type="cellIs" dxfId="501" priority="792" operator="equal">
      <formula>"A+I"</formula>
    </cfRule>
  </conditionalFormatting>
  <conditionalFormatting sqref="Y38:Z38">
    <cfRule type="cellIs" priority="783" operator="notEqual">
      <formula>"NA"</formula>
    </cfRule>
    <cfRule type="cellIs" dxfId="500" priority="784" operator="equal">
      <formula>"A"</formula>
    </cfRule>
    <cfRule type="cellIs" dxfId="499" priority="785" operator="equal">
      <formula>"A+I"</formula>
    </cfRule>
  </conditionalFormatting>
  <conditionalFormatting sqref="Y40:Z40">
    <cfRule type="cellIs" priority="778" operator="notEqual">
      <formula>"NA"</formula>
    </cfRule>
    <cfRule type="cellIs" dxfId="498" priority="779" operator="equal">
      <formula>"A"</formula>
    </cfRule>
    <cfRule type="cellIs" dxfId="497" priority="780" operator="equal">
      <formula>"A+I"</formula>
    </cfRule>
  </conditionalFormatting>
  <conditionalFormatting sqref="Y42:Z42">
    <cfRule type="cellIs" priority="771" operator="notEqual">
      <formula>"NA"</formula>
    </cfRule>
    <cfRule type="cellIs" dxfId="496" priority="772" operator="equal">
      <formula>"A"</formula>
    </cfRule>
    <cfRule type="cellIs" dxfId="495" priority="773" operator="equal">
      <formula>"A+I"</formula>
    </cfRule>
  </conditionalFormatting>
  <conditionalFormatting sqref="Y44:Z44">
    <cfRule type="cellIs" priority="766" operator="notEqual">
      <formula>"NA"</formula>
    </cfRule>
    <cfRule type="cellIs" dxfId="494" priority="767" operator="equal">
      <formula>"A"</formula>
    </cfRule>
    <cfRule type="cellIs" dxfId="493" priority="768" operator="equal">
      <formula>"A+I"</formula>
    </cfRule>
  </conditionalFormatting>
  <conditionalFormatting sqref="Y46:Z46">
    <cfRule type="cellIs" priority="759" operator="notEqual">
      <formula>"NA"</formula>
    </cfRule>
    <cfRule type="cellIs" dxfId="492" priority="760" operator="equal">
      <formula>"A"</formula>
    </cfRule>
    <cfRule type="cellIs" dxfId="491" priority="761" operator="equal">
      <formula>"A+I"</formula>
    </cfRule>
  </conditionalFormatting>
  <conditionalFormatting sqref="Y48:Z48">
    <cfRule type="cellIs" priority="754" operator="notEqual">
      <formula>"NA"</formula>
    </cfRule>
    <cfRule type="cellIs" dxfId="490" priority="755" operator="equal">
      <formula>"A"</formula>
    </cfRule>
    <cfRule type="cellIs" dxfId="489" priority="756" operator="equal">
      <formula>"A+I"</formula>
    </cfRule>
  </conditionalFormatting>
  <conditionalFormatting sqref="Y50:Z50">
    <cfRule type="cellIs" priority="747" operator="notEqual">
      <formula>"NA"</formula>
    </cfRule>
    <cfRule type="cellIs" dxfId="488" priority="748" operator="equal">
      <formula>"A"</formula>
    </cfRule>
    <cfRule type="cellIs" dxfId="487" priority="749" operator="equal">
      <formula>"A+I"</formula>
    </cfRule>
  </conditionalFormatting>
  <conditionalFormatting sqref="Y52:Z52">
    <cfRule type="cellIs" priority="742" operator="notEqual">
      <formula>"NA"</formula>
    </cfRule>
    <cfRule type="cellIs" dxfId="486" priority="743" operator="equal">
      <formula>"A"</formula>
    </cfRule>
    <cfRule type="cellIs" dxfId="485" priority="744" operator="equal">
      <formula>"A+I"</formula>
    </cfRule>
  </conditionalFormatting>
  <conditionalFormatting sqref="Y54:Z54">
    <cfRule type="cellIs" priority="735" operator="notEqual">
      <formula>"NA"</formula>
    </cfRule>
    <cfRule type="cellIs" dxfId="484" priority="736" operator="equal">
      <formula>"A"</formula>
    </cfRule>
    <cfRule type="cellIs" dxfId="483" priority="737" operator="equal">
      <formula>"A+I"</formula>
    </cfRule>
  </conditionalFormatting>
  <conditionalFormatting sqref="Y56:Z56">
    <cfRule type="cellIs" priority="729" operator="notEqual">
      <formula>"NA"</formula>
    </cfRule>
    <cfRule type="cellIs" dxfId="482" priority="730" operator="equal">
      <formula>"A"</formula>
    </cfRule>
    <cfRule type="cellIs" dxfId="481" priority="731" operator="equal">
      <formula>"A+I"</formula>
    </cfRule>
  </conditionalFormatting>
  <conditionalFormatting sqref="Y58:Z58">
    <cfRule type="cellIs" priority="723" operator="notEqual">
      <formula>"NA"</formula>
    </cfRule>
    <cfRule type="cellIs" dxfId="480" priority="724" operator="equal">
      <formula>"A"</formula>
    </cfRule>
    <cfRule type="cellIs" dxfId="479" priority="725" operator="equal">
      <formula>"A+I"</formula>
    </cfRule>
  </conditionalFormatting>
  <conditionalFormatting sqref="Y60:Z60">
    <cfRule type="cellIs" priority="717" operator="notEqual">
      <formula>"NA"</formula>
    </cfRule>
    <cfRule type="cellIs" dxfId="478" priority="718" operator="equal">
      <formula>"A"</formula>
    </cfRule>
    <cfRule type="cellIs" dxfId="477" priority="719" operator="equal">
      <formula>"A+I"</formula>
    </cfRule>
  </conditionalFormatting>
  <conditionalFormatting sqref="Y62:Z62">
    <cfRule type="cellIs" priority="711" operator="notEqual">
      <formula>"NA"</formula>
    </cfRule>
    <cfRule type="cellIs" dxfId="476" priority="712" operator="equal">
      <formula>"A"</formula>
    </cfRule>
    <cfRule type="cellIs" dxfId="475" priority="713" operator="equal">
      <formula>"A+I"</formula>
    </cfRule>
  </conditionalFormatting>
  <conditionalFormatting sqref="Y64:Z64">
    <cfRule type="cellIs" priority="705" operator="notEqual">
      <formula>"NA"</formula>
    </cfRule>
    <cfRule type="cellIs" dxfId="474" priority="706" operator="equal">
      <formula>"A"</formula>
    </cfRule>
    <cfRule type="cellIs" dxfId="473" priority="707" operator="equal">
      <formula>"A+I"</formula>
    </cfRule>
  </conditionalFormatting>
  <conditionalFormatting sqref="Y66:Z66">
    <cfRule type="cellIs" priority="699" operator="notEqual">
      <formula>"NA"</formula>
    </cfRule>
    <cfRule type="cellIs" dxfId="472" priority="700" operator="equal">
      <formula>"A"</formula>
    </cfRule>
    <cfRule type="cellIs" dxfId="471" priority="701" operator="equal">
      <formula>"A+I"</formula>
    </cfRule>
  </conditionalFormatting>
  <conditionalFormatting sqref="Y68:Z68">
    <cfRule type="cellIs" priority="693" operator="notEqual">
      <formula>"NA"</formula>
    </cfRule>
    <cfRule type="cellIs" dxfId="470" priority="694" operator="equal">
      <formula>"A"</formula>
    </cfRule>
    <cfRule type="cellIs" dxfId="469" priority="695" operator="equal">
      <formula>"A+I"</formula>
    </cfRule>
  </conditionalFormatting>
  <conditionalFormatting sqref="Y70:Z70">
    <cfRule type="cellIs" priority="687" operator="notEqual">
      <formula>"NA"</formula>
    </cfRule>
    <cfRule type="cellIs" dxfId="468" priority="688" operator="equal">
      <formula>"A"</formula>
    </cfRule>
    <cfRule type="cellIs" dxfId="467" priority="689" operator="equal">
      <formula>"A+I"</formula>
    </cfRule>
  </conditionalFormatting>
  <conditionalFormatting sqref="Y72:Z72">
    <cfRule type="cellIs" priority="659" operator="notEqual">
      <formula>"NA"</formula>
    </cfRule>
    <cfRule type="cellIs" dxfId="466" priority="660" operator="equal">
      <formula>"A"</formula>
    </cfRule>
    <cfRule type="cellIs" dxfId="465" priority="661" operator="equal">
      <formula>"A+I"</formula>
    </cfRule>
  </conditionalFormatting>
  <conditionalFormatting sqref="Y74:Z74">
    <cfRule type="cellIs" priority="654" operator="notEqual">
      <formula>"NA"</formula>
    </cfRule>
    <cfRule type="cellIs" dxfId="464" priority="655" operator="equal">
      <formula>"A"</formula>
    </cfRule>
    <cfRule type="cellIs" dxfId="463" priority="656" operator="equal">
      <formula>"A+I"</formula>
    </cfRule>
  </conditionalFormatting>
  <conditionalFormatting sqref="Y76:Z76">
    <cfRule type="cellIs" priority="649" operator="notEqual">
      <formula>"NA"</formula>
    </cfRule>
    <cfRule type="cellIs" dxfId="462" priority="650" operator="equal">
      <formula>"A"</formula>
    </cfRule>
    <cfRule type="cellIs" dxfId="461" priority="651" operator="equal">
      <formula>"A+I"</formula>
    </cfRule>
  </conditionalFormatting>
  <conditionalFormatting sqref="Y78:Z78">
    <cfRule type="cellIs" priority="643" operator="notEqual">
      <formula>"NA"</formula>
    </cfRule>
    <cfRule type="cellIs" dxfId="460" priority="644" operator="equal">
      <formula>"A"</formula>
    </cfRule>
    <cfRule type="cellIs" dxfId="459" priority="645" operator="equal">
      <formula>"A+I"</formula>
    </cfRule>
  </conditionalFormatting>
  <conditionalFormatting sqref="Y80:Z80">
    <cfRule type="cellIs" priority="637" operator="notEqual">
      <formula>"NA"</formula>
    </cfRule>
    <cfRule type="cellIs" dxfId="458" priority="638" operator="equal">
      <formula>"A"</formula>
    </cfRule>
    <cfRule type="cellIs" dxfId="457" priority="639" operator="equal">
      <formula>"A+I"</formula>
    </cfRule>
  </conditionalFormatting>
  <conditionalFormatting sqref="Y82:Z82">
    <cfRule type="cellIs" priority="631" operator="notEqual">
      <formula>"NA"</formula>
    </cfRule>
    <cfRule type="cellIs" dxfId="456" priority="632" operator="equal">
      <formula>"A"</formula>
    </cfRule>
    <cfRule type="cellIs" dxfId="455" priority="633" operator="equal">
      <formula>"A+I"</formula>
    </cfRule>
  </conditionalFormatting>
  <conditionalFormatting sqref="Y84:Z84">
    <cfRule type="cellIs" priority="619" operator="notEqual">
      <formula>"NA"</formula>
    </cfRule>
    <cfRule type="cellIs" dxfId="454" priority="620" operator="equal">
      <formula>"A"</formula>
    </cfRule>
    <cfRule type="cellIs" dxfId="453" priority="621" operator="equal">
      <formula>"A+I"</formula>
    </cfRule>
  </conditionalFormatting>
  <conditionalFormatting sqref="Y86:Z88">
    <cfRule type="cellIs" priority="603" operator="notEqual">
      <formula>"NA"</formula>
    </cfRule>
    <cfRule type="cellIs" dxfId="452" priority="604" operator="equal">
      <formula>"A"</formula>
    </cfRule>
    <cfRule type="cellIs" dxfId="451" priority="605" operator="equal">
      <formula>"A+I"</formula>
    </cfRule>
  </conditionalFormatting>
  <conditionalFormatting sqref="Y90:Z155">
    <cfRule type="cellIs" priority="81" operator="notEqual">
      <formula>"NA"</formula>
    </cfRule>
    <cfRule type="cellIs" dxfId="450" priority="82" operator="equal">
      <formula>"A"</formula>
    </cfRule>
    <cfRule type="cellIs" dxfId="449" priority="83" operator="equal">
      <formula>"A+I"</formula>
    </cfRule>
  </conditionalFormatting>
  <conditionalFormatting sqref="Y157:Z158 X159:Z159">
    <cfRule type="cellIs" priority="64" operator="notEqual">
      <formula>"NA"</formula>
    </cfRule>
    <cfRule type="cellIs" dxfId="448" priority="65" operator="equal">
      <formula>"A"</formula>
    </cfRule>
    <cfRule type="cellIs" dxfId="447" priority="66" operator="equal">
      <formula>"A+I"</formula>
    </cfRule>
  </conditionalFormatting>
  <conditionalFormatting sqref="Y160:Z171">
    <cfRule type="cellIs" priority="8" operator="notEqual">
      <formula>"NA"</formula>
    </cfRule>
    <cfRule type="cellIs" dxfId="446" priority="9" operator="equal">
      <formula>"A"</formula>
    </cfRule>
    <cfRule type="cellIs" dxfId="445" priority="10" operator="equal">
      <formula>"A+I"</formula>
    </cfRule>
  </conditionalFormatting>
  <conditionalFormatting sqref="Y174:Z174">
    <cfRule type="cellIs" priority="365" operator="notEqual">
      <formula>"NA"</formula>
    </cfRule>
    <cfRule type="cellIs" dxfId="444" priority="366" operator="equal">
      <formula>"A"</formula>
    </cfRule>
    <cfRule type="cellIs" dxfId="443" priority="367" operator="equal">
      <formula>"A+I"</formula>
    </cfRule>
  </conditionalFormatting>
  <conditionalFormatting sqref="Y176:Z176">
    <cfRule type="cellIs" priority="359" operator="notEqual">
      <formula>"NA"</formula>
    </cfRule>
    <cfRule type="cellIs" dxfId="442" priority="360" operator="equal">
      <formula>"A"</formula>
    </cfRule>
    <cfRule type="cellIs" dxfId="441" priority="361" operator="equal">
      <formula>"A+I"</formula>
    </cfRule>
  </conditionalFormatting>
  <conditionalFormatting sqref="Y178:Z178">
    <cfRule type="cellIs" priority="353" operator="notEqual">
      <formula>"NA"</formula>
    </cfRule>
    <cfRule type="cellIs" dxfId="440" priority="354" operator="equal">
      <formula>"A"</formula>
    </cfRule>
    <cfRule type="cellIs" dxfId="439" priority="355" operator="equal">
      <formula>"A+I"</formula>
    </cfRule>
  </conditionalFormatting>
  <conditionalFormatting sqref="Y180:Z180">
    <cfRule type="cellIs" priority="347" operator="notEqual">
      <formula>"NA"</formula>
    </cfRule>
    <cfRule type="cellIs" dxfId="438" priority="348" operator="equal">
      <formula>"A"</formula>
    </cfRule>
    <cfRule type="cellIs" dxfId="437" priority="349" operator="equal">
      <formula>"A+I"</formula>
    </cfRule>
  </conditionalFormatting>
  <conditionalFormatting sqref="Y182:Z182">
    <cfRule type="cellIs" priority="341" operator="notEqual">
      <formula>"NA"</formula>
    </cfRule>
    <cfRule type="cellIs" dxfId="436" priority="342" operator="equal">
      <formula>"A"</formula>
    </cfRule>
    <cfRule type="cellIs" dxfId="435" priority="343" operator="equal">
      <formula>"A+I"</formula>
    </cfRule>
  </conditionalFormatting>
  <conditionalFormatting sqref="Y184:Z184">
    <cfRule type="cellIs" priority="335" operator="notEqual">
      <formula>"NA"</formula>
    </cfRule>
    <cfRule type="cellIs" dxfId="434" priority="336" operator="equal">
      <formula>"A"</formula>
    </cfRule>
    <cfRule type="cellIs" dxfId="433" priority="337" operator="equal">
      <formula>"A+I"</formula>
    </cfRule>
  </conditionalFormatting>
  <conditionalFormatting sqref="Y186:Z186">
    <cfRule type="cellIs" priority="327" operator="notEqual">
      <formula>"NA"</formula>
    </cfRule>
    <cfRule type="cellIs" dxfId="432" priority="328" operator="equal">
      <formula>"A"</formula>
    </cfRule>
    <cfRule type="cellIs" dxfId="431" priority="329" operator="equal">
      <formula>"A+I"</formula>
    </cfRule>
  </conditionalFormatting>
  <conditionalFormatting sqref="Y188:Z188">
    <cfRule type="cellIs" priority="322" operator="notEqual">
      <formula>"NA"</formula>
    </cfRule>
    <cfRule type="cellIs" dxfId="430" priority="323" operator="equal">
      <formula>"A"</formula>
    </cfRule>
    <cfRule type="cellIs" dxfId="429" priority="324" operator="equal">
      <formula>"A+I"</formula>
    </cfRule>
  </conditionalFormatting>
  <conditionalFormatting sqref="Y190:Z190">
    <cfRule type="cellIs" priority="317" operator="notEqual">
      <formula>"NA"</formula>
    </cfRule>
    <cfRule type="cellIs" dxfId="428" priority="318" operator="equal">
      <formula>"A"</formula>
    </cfRule>
    <cfRule type="cellIs" dxfId="427" priority="319" operator="equal">
      <formula>"A+I"</formula>
    </cfRule>
  </conditionalFormatting>
  <conditionalFormatting sqref="Y192:Z192">
    <cfRule type="cellIs" priority="311" operator="notEqual">
      <formula>"NA"</formula>
    </cfRule>
    <cfRule type="cellIs" dxfId="426" priority="312" operator="equal">
      <formula>"A"</formula>
    </cfRule>
    <cfRule type="cellIs" dxfId="425" priority="313" operator="equal">
      <formula>"A+I"</formula>
    </cfRule>
  </conditionalFormatting>
  <conditionalFormatting sqref="Y194:Z194">
    <cfRule type="cellIs" priority="305" operator="notEqual">
      <formula>"NA"</formula>
    </cfRule>
    <cfRule type="cellIs" dxfId="424" priority="306" operator="equal">
      <formula>"A"</formula>
    </cfRule>
    <cfRule type="cellIs" dxfId="423" priority="307" operator="equal">
      <formula>"A+I"</formula>
    </cfRule>
  </conditionalFormatting>
  <conditionalFormatting sqref="Y196:Z196">
    <cfRule type="cellIs" priority="299" operator="notEqual">
      <formula>"NA"</formula>
    </cfRule>
    <cfRule type="cellIs" dxfId="422" priority="300" operator="equal">
      <formula>"A"</formula>
    </cfRule>
    <cfRule type="cellIs" dxfId="421" priority="301" operator="equal">
      <formula>"A+I"</formula>
    </cfRule>
  </conditionalFormatting>
  <conditionalFormatting sqref="Y198:Z198">
    <cfRule type="cellIs" priority="293" operator="notEqual">
      <formula>"NA"</formula>
    </cfRule>
    <cfRule type="cellIs" dxfId="420" priority="294" operator="equal">
      <formula>"A"</formula>
    </cfRule>
    <cfRule type="cellIs" dxfId="419" priority="295" operator="equal">
      <formula>"A+I"</formula>
    </cfRule>
  </conditionalFormatting>
  <conditionalFormatting sqref="Y200:Z202">
    <cfRule type="cellIs" priority="277" operator="notEqual">
      <formula>"NA"</formula>
    </cfRule>
    <cfRule type="cellIs" dxfId="418" priority="278" operator="equal">
      <formula>"A"</formula>
    </cfRule>
    <cfRule type="cellIs" dxfId="417" priority="279" operator="equal">
      <formula>"A+I"</formula>
    </cfRule>
  </conditionalFormatting>
  <conditionalFormatting sqref="Y204:Z227">
    <cfRule type="cellIs" priority="218" operator="notEqual">
      <formula>"NA"</formula>
    </cfRule>
    <cfRule type="cellIs" dxfId="416" priority="219" operator="equal">
      <formula>"A"</formula>
    </cfRule>
    <cfRule type="cellIs" dxfId="415" priority="220" operator="equal">
      <formula>"A+I"</formula>
    </cfRule>
  </conditionalFormatting>
  <conditionalFormatting sqref="Y90:AA155">
    <cfRule type="cellIs" dxfId="414" priority="84" operator="equal">
      <formula>"I"</formula>
    </cfRule>
  </conditionalFormatting>
  <conditionalFormatting sqref="Y157:AA158 X159:AA159">
    <cfRule type="cellIs" dxfId="413" priority="67" operator="equal">
      <formula>"I"</formula>
    </cfRule>
  </conditionalFormatting>
  <conditionalFormatting sqref="Y160:AA171">
    <cfRule type="cellIs" dxfId="412" priority="11" operator="equal">
      <formula>"I"</formula>
    </cfRule>
  </conditionalFormatting>
  <conditionalFormatting sqref="Z1:Z2 Z228:Z1048576">
    <cfRule type="cellIs" dxfId="411" priority="1174" operator="equal">
      <formula>"A"</formula>
    </cfRule>
  </conditionalFormatting>
  <conditionalFormatting sqref="Z1:Z4">
    <cfRule type="cellIs" dxfId="410" priority="901" operator="equal">
      <formula>"A-O"</formula>
    </cfRule>
    <cfRule type="cellIs" dxfId="409" priority="902" operator="equal">
      <formula>"A-O-M"</formula>
    </cfRule>
  </conditionalFormatting>
  <conditionalFormatting sqref="Z6">
    <cfRule type="cellIs" dxfId="408" priority="895" operator="equal">
      <formula>"A-O"</formula>
    </cfRule>
    <cfRule type="cellIs" dxfId="407" priority="896" operator="equal">
      <formula>"A-O-M"</formula>
    </cfRule>
  </conditionalFormatting>
  <conditionalFormatting sqref="Z8">
    <cfRule type="cellIs" dxfId="406" priority="889" operator="equal">
      <formula>"A-O"</formula>
    </cfRule>
    <cfRule type="cellIs" dxfId="405" priority="890" operator="equal">
      <formula>"A-O-M"</formula>
    </cfRule>
  </conditionalFormatting>
  <conditionalFormatting sqref="Z10">
    <cfRule type="cellIs" dxfId="404" priority="883" operator="equal">
      <formula>"A-O"</formula>
    </cfRule>
    <cfRule type="cellIs" dxfId="403" priority="884" operator="equal">
      <formula>"A-O-M"</formula>
    </cfRule>
  </conditionalFormatting>
  <conditionalFormatting sqref="Z12">
    <cfRule type="cellIs" dxfId="402" priority="863" operator="equal">
      <formula>"A-O"</formula>
    </cfRule>
    <cfRule type="cellIs" dxfId="401" priority="864" operator="equal">
      <formula>"A-O-M"</formula>
    </cfRule>
  </conditionalFormatting>
  <conditionalFormatting sqref="Z14">
    <cfRule type="cellIs" dxfId="400" priority="853" operator="equal">
      <formula>"A-O"</formula>
    </cfRule>
    <cfRule type="cellIs" dxfId="399" priority="854" operator="equal">
      <formula>"A-O-M"</formula>
    </cfRule>
  </conditionalFormatting>
  <conditionalFormatting sqref="Z16">
    <cfRule type="cellIs" dxfId="398" priority="858" operator="equal">
      <formula>"A-O"</formula>
    </cfRule>
    <cfRule type="cellIs" dxfId="397" priority="859" operator="equal">
      <formula>"A-O-M"</formula>
    </cfRule>
  </conditionalFormatting>
  <conditionalFormatting sqref="Z18">
    <cfRule type="cellIs" dxfId="396" priority="847" operator="equal">
      <formula>"A-O"</formula>
    </cfRule>
    <cfRule type="cellIs" dxfId="395" priority="848" operator="equal">
      <formula>"A-O-M"</formula>
    </cfRule>
  </conditionalFormatting>
  <conditionalFormatting sqref="Z20">
    <cfRule type="cellIs" dxfId="394" priority="841" operator="equal">
      <formula>"A-O"</formula>
    </cfRule>
    <cfRule type="cellIs" dxfId="393" priority="842" operator="equal">
      <formula>"A-O-M"</formula>
    </cfRule>
  </conditionalFormatting>
  <conditionalFormatting sqref="Z22">
    <cfRule type="cellIs" dxfId="392" priority="835" operator="equal">
      <formula>"A-O"</formula>
    </cfRule>
    <cfRule type="cellIs" dxfId="391" priority="836" operator="equal">
      <formula>"A-O-M"</formula>
    </cfRule>
  </conditionalFormatting>
  <conditionalFormatting sqref="Z24">
    <cfRule type="cellIs" dxfId="390" priority="829" operator="equal">
      <formula>"A-O"</formula>
    </cfRule>
    <cfRule type="cellIs" dxfId="389" priority="830" operator="equal">
      <formula>"A-O-M"</formula>
    </cfRule>
  </conditionalFormatting>
  <conditionalFormatting sqref="Z26">
    <cfRule type="cellIs" dxfId="388" priority="823" operator="equal">
      <formula>"A-O"</formula>
    </cfRule>
    <cfRule type="cellIs" dxfId="387" priority="824" operator="equal">
      <formula>"A-O-M"</formula>
    </cfRule>
  </conditionalFormatting>
  <conditionalFormatting sqref="Z28">
    <cfRule type="cellIs" dxfId="386" priority="817" operator="equal">
      <formula>"A-O"</formula>
    </cfRule>
    <cfRule type="cellIs" dxfId="385" priority="818" operator="equal">
      <formula>"A-O-M"</formula>
    </cfRule>
  </conditionalFormatting>
  <conditionalFormatting sqref="Z30">
    <cfRule type="cellIs" dxfId="384" priority="811" operator="equal">
      <formula>"A-O"</formula>
    </cfRule>
    <cfRule type="cellIs" dxfId="383" priority="812" operator="equal">
      <formula>"A-O-M"</formula>
    </cfRule>
  </conditionalFormatting>
  <conditionalFormatting sqref="Z32">
    <cfRule type="cellIs" dxfId="382" priority="805" operator="equal">
      <formula>"A-O"</formula>
    </cfRule>
    <cfRule type="cellIs" dxfId="381" priority="806" operator="equal">
      <formula>"A-O-M"</formula>
    </cfRule>
  </conditionalFormatting>
  <conditionalFormatting sqref="Z34">
    <cfRule type="cellIs" dxfId="380" priority="798" operator="equal">
      <formula>"A-O"</formula>
    </cfRule>
    <cfRule type="cellIs" dxfId="379" priority="799" operator="equal">
      <formula>"A-O-M"</formula>
    </cfRule>
  </conditionalFormatting>
  <conditionalFormatting sqref="Z36">
    <cfRule type="cellIs" dxfId="378" priority="793" operator="equal">
      <formula>"A-O"</formula>
    </cfRule>
    <cfRule type="cellIs" dxfId="377" priority="794" operator="equal">
      <formula>"A-O-M"</formula>
    </cfRule>
  </conditionalFormatting>
  <conditionalFormatting sqref="Z38">
    <cfRule type="cellIs" dxfId="376" priority="786" operator="equal">
      <formula>"A-O"</formula>
    </cfRule>
    <cfRule type="cellIs" dxfId="375" priority="787" operator="equal">
      <formula>"A-O-M"</formula>
    </cfRule>
  </conditionalFormatting>
  <conditionalFormatting sqref="Z40">
    <cfRule type="cellIs" dxfId="374" priority="781" operator="equal">
      <formula>"A-O"</formula>
    </cfRule>
    <cfRule type="cellIs" dxfId="373" priority="782" operator="equal">
      <formula>"A-O-M"</formula>
    </cfRule>
  </conditionalFormatting>
  <conditionalFormatting sqref="Z42">
    <cfRule type="cellIs" dxfId="372" priority="774" operator="equal">
      <formula>"A-O"</formula>
    </cfRule>
    <cfRule type="cellIs" dxfId="371" priority="775" operator="equal">
      <formula>"A-O-M"</formula>
    </cfRule>
  </conditionalFormatting>
  <conditionalFormatting sqref="Z44">
    <cfRule type="cellIs" dxfId="370" priority="769" operator="equal">
      <formula>"A-O"</formula>
    </cfRule>
    <cfRule type="cellIs" dxfId="369" priority="770" operator="equal">
      <formula>"A-O-M"</formula>
    </cfRule>
  </conditionalFormatting>
  <conditionalFormatting sqref="Z46">
    <cfRule type="cellIs" dxfId="368" priority="762" operator="equal">
      <formula>"A-O"</formula>
    </cfRule>
    <cfRule type="cellIs" dxfId="367" priority="763" operator="equal">
      <formula>"A-O-M"</formula>
    </cfRule>
  </conditionalFormatting>
  <conditionalFormatting sqref="Z48">
    <cfRule type="cellIs" dxfId="366" priority="757" operator="equal">
      <formula>"A-O"</formula>
    </cfRule>
    <cfRule type="cellIs" dxfId="365" priority="758" operator="equal">
      <formula>"A-O-M"</formula>
    </cfRule>
  </conditionalFormatting>
  <conditionalFormatting sqref="Z50">
    <cfRule type="cellIs" dxfId="364" priority="750" operator="equal">
      <formula>"A-O"</formula>
    </cfRule>
    <cfRule type="cellIs" dxfId="363" priority="751" operator="equal">
      <formula>"A-O-M"</formula>
    </cfRule>
  </conditionalFormatting>
  <conditionalFormatting sqref="Z52">
    <cfRule type="cellIs" dxfId="362" priority="745" operator="equal">
      <formula>"A-O"</formula>
    </cfRule>
    <cfRule type="cellIs" dxfId="361" priority="746" operator="equal">
      <formula>"A-O-M"</formula>
    </cfRule>
  </conditionalFormatting>
  <conditionalFormatting sqref="Z54">
    <cfRule type="cellIs" dxfId="360" priority="738" operator="equal">
      <formula>"A-O"</formula>
    </cfRule>
    <cfRule type="cellIs" dxfId="359" priority="739" operator="equal">
      <formula>"A-O-M"</formula>
    </cfRule>
  </conditionalFormatting>
  <conditionalFormatting sqref="Z56">
    <cfRule type="cellIs" dxfId="358" priority="732" operator="equal">
      <formula>"A-O"</formula>
    </cfRule>
    <cfRule type="cellIs" dxfId="357" priority="733" operator="equal">
      <formula>"A-O-M"</formula>
    </cfRule>
  </conditionalFormatting>
  <conditionalFormatting sqref="Z58">
    <cfRule type="cellIs" dxfId="356" priority="726" operator="equal">
      <formula>"A-O"</formula>
    </cfRule>
    <cfRule type="cellIs" dxfId="355" priority="727" operator="equal">
      <formula>"A-O-M"</formula>
    </cfRule>
  </conditionalFormatting>
  <conditionalFormatting sqref="Z60">
    <cfRule type="cellIs" dxfId="354" priority="720" operator="equal">
      <formula>"A-O"</formula>
    </cfRule>
    <cfRule type="cellIs" dxfId="353" priority="721" operator="equal">
      <formula>"A-O-M"</formula>
    </cfRule>
  </conditionalFormatting>
  <conditionalFormatting sqref="Z62">
    <cfRule type="cellIs" dxfId="352" priority="714" operator="equal">
      <formula>"A-O"</formula>
    </cfRule>
    <cfRule type="cellIs" dxfId="351" priority="715" operator="equal">
      <formula>"A-O-M"</formula>
    </cfRule>
  </conditionalFormatting>
  <conditionalFormatting sqref="Z64">
    <cfRule type="cellIs" dxfId="350" priority="708" operator="equal">
      <formula>"A-O"</formula>
    </cfRule>
    <cfRule type="cellIs" dxfId="349" priority="709" operator="equal">
      <formula>"A-O-M"</formula>
    </cfRule>
  </conditionalFormatting>
  <conditionalFormatting sqref="Z66">
    <cfRule type="cellIs" dxfId="348" priority="702" operator="equal">
      <formula>"A-O"</formula>
    </cfRule>
    <cfRule type="cellIs" dxfId="347" priority="703" operator="equal">
      <formula>"A-O-M"</formula>
    </cfRule>
  </conditionalFormatting>
  <conditionalFormatting sqref="Z68">
    <cfRule type="cellIs" dxfId="346" priority="696" operator="equal">
      <formula>"A-O"</formula>
    </cfRule>
    <cfRule type="cellIs" dxfId="345" priority="697" operator="equal">
      <formula>"A-O-M"</formula>
    </cfRule>
  </conditionalFormatting>
  <conditionalFormatting sqref="Z70">
    <cfRule type="cellIs" dxfId="344" priority="690" operator="equal">
      <formula>"A-O"</formula>
    </cfRule>
    <cfRule type="cellIs" dxfId="343" priority="691" operator="equal">
      <formula>"A-O-M"</formula>
    </cfRule>
  </conditionalFormatting>
  <conditionalFormatting sqref="Z72">
    <cfRule type="cellIs" dxfId="342" priority="662" operator="equal">
      <formula>"A-O"</formula>
    </cfRule>
    <cfRule type="cellIs" dxfId="341" priority="663" operator="equal">
      <formula>"A-O-M"</formula>
    </cfRule>
  </conditionalFormatting>
  <conditionalFormatting sqref="Z74">
    <cfRule type="cellIs" dxfId="340" priority="657" operator="equal">
      <formula>"A-O"</formula>
    </cfRule>
    <cfRule type="cellIs" dxfId="339" priority="658" operator="equal">
      <formula>"A-O-M"</formula>
    </cfRule>
  </conditionalFormatting>
  <conditionalFormatting sqref="Z76">
    <cfRule type="cellIs" dxfId="338" priority="652" operator="equal">
      <formula>"A-O"</formula>
    </cfRule>
    <cfRule type="cellIs" dxfId="337" priority="653" operator="equal">
      <formula>"A-O-M"</formula>
    </cfRule>
  </conditionalFormatting>
  <conditionalFormatting sqref="Z78">
    <cfRule type="cellIs" dxfId="336" priority="646" operator="equal">
      <formula>"A-O"</formula>
    </cfRule>
    <cfRule type="cellIs" dxfId="335" priority="647" operator="equal">
      <formula>"A-O-M"</formula>
    </cfRule>
  </conditionalFormatting>
  <conditionalFormatting sqref="Z80">
    <cfRule type="cellIs" dxfId="334" priority="640" operator="equal">
      <formula>"A-O"</formula>
    </cfRule>
    <cfRule type="cellIs" dxfId="333" priority="641" operator="equal">
      <formula>"A-O-M"</formula>
    </cfRule>
  </conditionalFormatting>
  <conditionalFormatting sqref="Z82">
    <cfRule type="cellIs" dxfId="332" priority="634" operator="equal">
      <formula>"A-O"</formula>
    </cfRule>
    <cfRule type="cellIs" dxfId="331" priority="635" operator="equal">
      <formula>"A-O-M"</formula>
    </cfRule>
  </conditionalFormatting>
  <conditionalFormatting sqref="Z84">
    <cfRule type="cellIs" dxfId="330" priority="622" operator="equal">
      <formula>"A-O"</formula>
    </cfRule>
    <cfRule type="cellIs" dxfId="329" priority="623" operator="equal">
      <formula>"A-O-M"</formula>
    </cfRule>
  </conditionalFormatting>
  <conditionalFormatting sqref="Z86:Z88">
    <cfRule type="cellIs" dxfId="328" priority="606" operator="equal">
      <formula>"A-O"</formula>
    </cfRule>
    <cfRule type="cellIs" dxfId="327" priority="607" operator="equal">
      <formula>"A-O-M"</formula>
    </cfRule>
  </conditionalFormatting>
  <conditionalFormatting sqref="Z90:Z155">
    <cfRule type="cellIs" dxfId="326" priority="141" operator="equal">
      <formula>"A-O"</formula>
    </cfRule>
    <cfRule type="cellIs" dxfId="325" priority="142" operator="equal">
      <formula>"A-O-M"</formula>
    </cfRule>
  </conditionalFormatting>
  <conditionalFormatting sqref="Z157:Z171">
    <cfRule type="cellIs" dxfId="324" priority="56" operator="equal">
      <formula>"A-O"</formula>
    </cfRule>
    <cfRule type="cellIs" dxfId="323" priority="57" operator="equal">
      <formula>"A-O-M"</formula>
    </cfRule>
  </conditionalFormatting>
  <conditionalFormatting sqref="Z174">
    <cfRule type="cellIs" dxfId="322" priority="368" operator="equal">
      <formula>"A-O"</formula>
    </cfRule>
    <cfRule type="cellIs" dxfId="321" priority="369" operator="equal">
      <formula>"A-O-M"</formula>
    </cfRule>
  </conditionalFormatting>
  <conditionalFormatting sqref="Z176">
    <cfRule type="cellIs" dxfId="320" priority="362" operator="equal">
      <formula>"A-O"</formula>
    </cfRule>
    <cfRule type="cellIs" dxfId="319" priority="363" operator="equal">
      <formula>"A-O-M"</formula>
    </cfRule>
  </conditionalFormatting>
  <conditionalFormatting sqref="Z178">
    <cfRule type="cellIs" dxfId="318" priority="356" operator="equal">
      <formula>"A-O"</formula>
    </cfRule>
    <cfRule type="cellIs" dxfId="317" priority="357" operator="equal">
      <formula>"A-O-M"</formula>
    </cfRule>
  </conditionalFormatting>
  <conditionalFormatting sqref="Z180">
    <cfRule type="cellIs" dxfId="316" priority="350" operator="equal">
      <formula>"A-O"</formula>
    </cfRule>
    <cfRule type="cellIs" dxfId="315" priority="351" operator="equal">
      <formula>"A-O-M"</formula>
    </cfRule>
  </conditionalFormatting>
  <conditionalFormatting sqref="Z182">
    <cfRule type="cellIs" dxfId="314" priority="344" operator="equal">
      <formula>"A-O"</formula>
    </cfRule>
    <cfRule type="cellIs" dxfId="313" priority="345" operator="equal">
      <formula>"A-O-M"</formula>
    </cfRule>
  </conditionalFormatting>
  <conditionalFormatting sqref="Z184">
    <cfRule type="cellIs" dxfId="312" priority="338" operator="equal">
      <formula>"A-O"</formula>
    </cfRule>
    <cfRule type="cellIs" dxfId="311" priority="339" operator="equal">
      <formula>"A-O-M"</formula>
    </cfRule>
  </conditionalFormatting>
  <conditionalFormatting sqref="Z186">
    <cfRule type="cellIs" dxfId="310" priority="330" operator="equal">
      <formula>"A-O"</formula>
    </cfRule>
    <cfRule type="cellIs" dxfId="309" priority="331" operator="equal">
      <formula>"A-O-M"</formula>
    </cfRule>
  </conditionalFormatting>
  <conditionalFormatting sqref="Z188">
    <cfRule type="cellIs" dxfId="308" priority="325" operator="equal">
      <formula>"A-O"</formula>
    </cfRule>
    <cfRule type="cellIs" dxfId="307" priority="326" operator="equal">
      <formula>"A-O-M"</formula>
    </cfRule>
  </conditionalFormatting>
  <conditionalFormatting sqref="Z190">
    <cfRule type="cellIs" dxfId="306" priority="320" operator="equal">
      <formula>"A-O"</formula>
    </cfRule>
    <cfRule type="cellIs" dxfId="305" priority="321" operator="equal">
      <formula>"A-O-M"</formula>
    </cfRule>
  </conditionalFormatting>
  <conditionalFormatting sqref="Z192">
    <cfRule type="cellIs" dxfId="304" priority="314" operator="equal">
      <formula>"A-O"</formula>
    </cfRule>
    <cfRule type="cellIs" dxfId="303" priority="315" operator="equal">
      <formula>"A-O-M"</formula>
    </cfRule>
  </conditionalFormatting>
  <conditionalFormatting sqref="Z194">
    <cfRule type="cellIs" dxfId="302" priority="308" operator="equal">
      <formula>"A-O"</formula>
    </cfRule>
    <cfRule type="cellIs" dxfId="301" priority="309" operator="equal">
      <formula>"A-O-M"</formula>
    </cfRule>
  </conditionalFormatting>
  <conditionalFormatting sqref="Z196">
    <cfRule type="cellIs" dxfId="300" priority="302" operator="equal">
      <formula>"A-O"</formula>
    </cfRule>
    <cfRule type="cellIs" dxfId="299" priority="303" operator="equal">
      <formula>"A-O-M"</formula>
    </cfRule>
  </conditionalFormatting>
  <conditionalFormatting sqref="Z198">
    <cfRule type="cellIs" dxfId="298" priority="296" operator="equal">
      <formula>"A-O"</formula>
    </cfRule>
    <cfRule type="cellIs" dxfId="297" priority="297" operator="equal">
      <formula>"A-O-M"</formula>
    </cfRule>
  </conditionalFormatting>
  <conditionalFormatting sqref="Z200:Z202">
    <cfRule type="cellIs" dxfId="296" priority="280" operator="equal">
      <formula>"A-O"</formula>
    </cfRule>
    <cfRule type="cellIs" dxfId="295" priority="281" operator="equal">
      <formula>"A-O-M"</formula>
    </cfRule>
  </conditionalFormatting>
  <conditionalFormatting sqref="Z204:Z227">
    <cfRule type="cellIs" dxfId="294" priority="270" operator="equal">
      <formula>"A-O"</formula>
    </cfRule>
    <cfRule type="cellIs" dxfId="293" priority="271" operator="equal">
      <formula>"A-O-M"</formula>
    </cfRule>
  </conditionalFormatting>
  <conditionalFormatting sqref="Z228:Z1048576">
    <cfRule type="cellIs" dxfId="292" priority="1172" operator="equal">
      <formula>"A+I"</formula>
    </cfRule>
    <cfRule type="cellIs" priority="1173" operator="notEqual">
      <formula>"NA"</formula>
    </cfRule>
  </conditionalFormatting>
  <conditionalFormatting sqref="Z1:AA2 Y3:AA4 Y6:AA6 Y8:AA8 Y10:AA10 Y12:AA12 Y14:AA14 Y16:AA16 Y18:AA18 Y20:AA20 Y22:AA22 Y24:AA24 Y26:AA26 Y28:AA28 Y30:AA30 Y32:AA32 Y34:AA34 Y36:AA36 Y38:AA38 Y40:AA40 Y42:AA42 Y44:AA44 Y46:AA46 Y48:AA48 Y50:AA50 Y52:AA52 Y54:AA54 Y56:AA56 Y58:AA58 Y60:AA60 Y62:AA62 Y64:AA64 Y66:AA66 Y68:AA68 Y70:AA70 Y72:AA72 Y74:AA74 Y76:AA76 Y78:AA78 Y80:AA80 Y82:AA82 Y84:AA84 Y86:AA88 Y174:AA174 Y176:AA176 Y178:AA178 Y180:AA180 Y182:AA182 Y184:AA184 Y186:AA186 Y188:AA188 Y190:AA190 Y192:AA192 Y194:AA194 Y196:AA196 Y198:AA198 Y200:AA202 Y204:AA227 Z228:AA1048576">
    <cfRule type="cellIs" dxfId="291" priority="1165" operator="equal">
      <formula>"I"</formula>
    </cfRule>
  </conditionalFormatting>
  <conditionalFormatting sqref="AA5">
    <cfRule type="cellIs" dxfId="290" priority="897" operator="equal">
      <formula>"I"</formula>
    </cfRule>
  </conditionalFormatting>
  <conditionalFormatting sqref="AA7">
    <cfRule type="cellIs" dxfId="289" priority="891" operator="equal">
      <formula>"I"</formula>
    </cfRule>
  </conditionalFormatting>
  <conditionalFormatting sqref="AA9">
    <cfRule type="cellIs" dxfId="288" priority="885" operator="equal">
      <formula>"I"</formula>
    </cfRule>
  </conditionalFormatting>
  <conditionalFormatting sqref="AA11">
    <cfRule type="cellIs" dxfId="287" priority="879" operator="equal">
      <formula>"I"</formula>
    </cfRule>
  </conditionalFormatting>
  <conditionalFormatting sqref="AA13">
    <cfRule type="cellIs" dxfId="286" priority="873" operator="equal">
      <formula>"I"</formula>
    </cfRule>
  </conditionalFormatting>
  <conditionalFormatting sqref="AA15">
    <cfRule type="cellIs" dxfId="285" priority="849" operator="equal">
      <formula>"I"</formula>
    </cfRule>
  </conditionalFormatting>
  <conditionalFormatting sqref="AA17">
    <cfRule type="cellIs" dxfId="284" priority="843" operator="equal">
      <formula>"I"</formula>
    </cfRule>
  </conditionalFormatting>
  <conditionalFormatting sqref="AA19">
    <cfRule type="cellIs" dxfId="283" priority="837" operator="equal">
      <formula>"I"</formula>
    </cfRule>
  </conditionalFormatting>
  <conditionalFormatting sqref="AA21">
    <cfRule type="cellIs" dxfId="282" priority="831" operator="equal">
      <formula>"I"</formula>
    </cfRule>
  </conditionalFormatting>
  <conditionalFormatting sqref="AA23">
    <cfRule type="cellIs" dxfId="281" priority="825" operator="equal">
      <formula>"I"</formula>
    </cfRule>
  </conditionalFormatting>
  <conditionalFormatting sqref="AA25">
    <cfRule type="cellIs" dxfId="280" priority="819" operator="equal">
      <formula>"I"</formula>
    </cfRule>
  </conditionalFormatting>
  <conditionalFormatting sqref="AA27">
    <cfRule type="cellIs" dxfId="279" priority="813" operator="equal">
      <formula>"I"</formula>
    </cfRule>
  </conditionalFormatting>
  <conditionalFormatting sqref="AA29">
    <cfRule type="cellIs" dxfId="278" priority="807" operator="equal">
      <formula>"I"</formula>
    </cfRule>
  </conditionalFormatting>
  <conditionalFormatting sqref="AA31">
    <cfRule type="cellIs" dxfId="277" priority="801" operator="equal">
      <formula>"I"</formula>
    </cfRule>
  </conditionalFormatting>
  <conditionalFormatting sqref="AA33">
    <cfRule type="cellIs" dxfId="276" priority="800" operator="equal">
      <formula>"I"</formula>
    </cfRule>
  </conditionalFormatting>
  <conditionalFormatting sqref="AA35">
    <cfRule type="cellIs" dxfId="275" priority="789" operator="equal">
      <formula>"I"</formula>
    </cfRule>
  </conditionalFormatting>
  <conditionalFormatting sqref="AA37">
    <cfRule type="cellIs" dxfId="274" priority="788" operator="equal">
      <formula>"I"</formula>
    </cfRule>
  </conditionalFormatting>
  <conditionalFormatting sqref="AA39">
    <cfRule type="cellIs" dxfId="273" priority="777" operator="equal">
      <formula>"I"</formula>
    </cfRule>
  </conditionalFormatting>
  <conditionalFormatting sqref="AA41">
    <cfRule type="cellIs" dxfId="272" priority="776" operator="equal">
      <formula>"I"</formula>
    </cfRule>
  </conditionalFormatting>
  <conditionalFormatting sqref="AA43">
    <cfRule type="cellIs" dxfId="271" priority="765" operator="equal">
      <formula>"I"</formula>
    </cfRule>
  </conditionalFormatting>
  <conditionalFormatting sqref="AA45">
    <cfRule type="cellIs" dxfId="270" priority="764" operator="equal">
      <formula>"I"</formula>
    </cfRule>
  </conditionalFormatting>
  <conditionalFormatting sqref="AA47">
    <cfRule type="cellIs" dxfId="269" priority="753" operator="equal">
      <formula>"I"</formula>
    </cfRule>
  </conditionalFormatting>
  <conditionalFormatting sqref="AA49">
    <cfRule type="cellIs" dxfId="268" priority="752" operator="equal">
      <formula>"I"</formula>
    </cfRule>
  </conditionalFormatting>
  <conditionalFormatting sqref="AA51">
    <cfRule type="cellIs" dxfId="267" priority="741" operator="equal">
      <formula>"I"</formula>
    </cfRule>
  </conditionalFormatting>
  <conditionalFormatting sqref="AA53">
    <cfRule type="cellIs" dxfId="266" priority="740" operator="equal">
      <formula>"I"</formula>
    </cfRule>
  </conditionalFormatting>
  <conditionalFormatting sqref="AA55">
    <cfRule type="cellIs" dxfId="265" priority="734" operator="equal">
      <formula>"I"</formula>
    </cfRule>
  </conditionalFormatting>
  <conditionalFormatting sqref="AA57">
    <cfRule type="cellIs" dxfId="264" priority="728" operator="equal">
      <formula>"I"</formula>
    </cfRule>
  </conditionalFormatting>
  <conditionalFormatting sqref="AA59">
    <cfRule type="cellIs" dxfId="263" priority="722" operator="equal">
      <formula>"I"</formula>
    </cfRule>
  </conditionalFormatting>
  <conditionalFormatting sqref="AA61">
    <cfRule type="cellIs" dxfId="262" priority="716" operator="equal">
      <formula>"I"</formula>
    </cfRule>
  </conditionalFormatting>
  <conditionalFormatting sqref="AA63">
    <cfRule type="cellIs" dxfId="261" priority="710" operator="equal">
      <formula>"I"</formula>
    </cfRule>
  </conditionalFormatting>
  <conditionalFormatting sqref="AA65">
    <cfRule type="cellIs" dxfId="260" priority="704" operator="equal">
      <formula>"I"</formula>
    </cfRule>
  </conditionalFormatting>
  <conditionalFormatting sqref="AA67">
    <cfRule type="cellIs" dxfId="259" priority="698" operator="equal">
      <formula>"I"</formula>
    </cfRule>
  </conditionalFormatting>
  <conditionalFormatting sqref="AA69">
    <cfRule type="cellIs" dxfId="258" priority="692" operator="equal">
      <formula>"I"</formula>
    </cfRule>
  </conditionalFormatting>
  <conditionalFormatting sqref="AA71">
    <cfRule type="cellIs" dxfId="257" priority="686" operator="equal">
      <formula>"I"</formula>
    </cfRule>
  </conditionalFormatting>
  <conditionalFormatting sqref="AA73">
    <cfRule type="cellIs" dxfId="256" priority="680" operator="equal">
      <formula>"I"</formula>
    </cfRule>
  </conditionalFormatting>
  <conditionalFormatting sqref="AA75">
    <cfRule type="cellIs" dxfId="255" priority="674" operator="equal">
      <formula>"I"</formula>
    </cfRule>
  </conditionalFormatting>
  <conditionalFormatting sqref="AA77">
    <cfRule type="cellIs" dxfId="254" priority="648" operator="equal">
      <formula>"I"</formula>
    </cfRule>
  </conditionalFormatting>
  <conditionalFormatting sqref="AA79">
    <cfRule type="cellIs" dxfId="253" priority="642" operator="equal">
      <formula>"I"</formula>
    </cfRule>
  </conditionalFormatting>
  <conditionalFormatting sqref="AA81">
    <cfRule type="cellIs" dxfId="252" priority="636" operator="equal">
      <formula>"I"</formula>
    </cfRule>
  </conditionalFormatting>
  <conditionalFormatting sqref="AA83">
    <cfRule type="cellIs" dxfId="251" priority="630" operator="equal">
      <formula>"I"</formula>
    </cfRule>
  </conditionalFormatting>
  <conditionalFormatting sqref="AA85">
    <cfRule type="cellIs" dxfId="250" priority="618" operator="equal">
      <formula>"I"</formula>
    </cfRule>
  </conditionalFormatting>
  <conditionalFormatting sqref="AA89">
    <cfRule type="cellIs" dxfId="249" priority="592" operator="equal">
      <formula>"I"</formula>
    </cfRule>
  </conditionalFormatting>
  <conditionalFormatting sqref="AA156">
    <cfRule type="cellIs" dxfId="248" priority="76" operator="equal">
      <formula>"I"</formula>
    </cfRule>
  </conditionalFormatting>
  <conditionalFormatting sqref="AA175">
    <cfRule type="cellIs" dxfId="247" priority="364" operator="equal">
      <formula>"I"</formula>
    </cfRule>
  </conditionalFormatting>
  <conditionalFormatting sqref="AA177">
    <cfRule type="cellIs" dxfId="246" priority="358" operator="equal">
      <formula>"I"</formula>
    </cfRule>
  </conditionalFormatting>
  <conditionalFormatting sqref="AA179">
    <cfRule type="cellIs" dxfId="245" priority="352" operator="equal">
      <formula>"I"</formula>
    </cfRule>
  </conditionalFormatting>
  <conditionalFormatting sqref="AA181">
    <cfRule type="cellIs" dxfId="244" priority="346" operator="equal">
      <formula>"I"</formula>
    </cfRule>
  </conditionalFormatting>
  <conditionalFormatting sqref="AA183">
    <cfRule type="cellIs" dxfId="243" priority="340" operator="equal">
      <formula>"I"</formula>
    </cfRule>
  </conditionalFormatting>
  <conditionalFormatting sqref="AA185">
    <cfRule type="cellIs" dxfId="242" priority="334" operator="equal">
      <formula>"I"</formula>
    </cfRule>
  </conditionalFormatting>
  <conditionalFormatting sqref="AA187">
    <cfRule type="cellIs" dxfId="241" priority="333" operator="equal">
      <formula>"I"</formula>
    </cfRule>
  </conditionalFormatting>
  <conditionalFormatting sqref="AA189">
    <cfRule type="cellIs" dxfId="240" priority="332" operator="equal">
      <formula>"I"</formula>
    </cfRule>
  </conditionalFormatting>
  <conditionalFormatting sqref="AA191">
    <cfRule type="cellIs" dxfId="239" priority="316" operator="equal">
      <formula>"I"</formula>
    </cfRule>
  </conditionalFormatting>
  <conditionalFormatting sqref="AA193">
    <cfRule type="cellIs" dxfId="238" priority="310" operator="equal">
      <formula>"I"</formula>
    </cfRule>
  </conditionalFormatting>
  <conditionalFormatting sqref="AA195">
    <cfRule type="cellIs" dxfId="237" priority="304" operator="equal">
      <formula>"I"</formula>
    </cfRule>
  </conditionalFormatting>
  <conditionalFormatting sqref="AA197">
    <cfRule type="cellIs" dxfId="236" priority="298" operator="equal">
      <formula>"I"</formula>
    </cfRule>
  </conditionalFormatting>
  <conditionalFormatting sqref="AA199">
    <cfRule type="cellIs" dxfId="235" priority="292" operator="equal">
      <formula>"I"</formula>
    </cfRule>
  </conditionalFormatting>
  <conditionalFormatting sqref="AA203">
    <cfRule type="cellIs" dxfId="234" priority="266" operator="equal">
      <formula>"I"</formula>
    </cfRule>
  </conditionalFormatting>
  <conditionalFormatting sqref="Y172:Z172">
    <cfRule type="cellIs" priority="2" operator="notEqual">
      <formula>"NA"</formula>
    </cfRule>
    <cfRule type="cellIs" dxfId="233" priority="3" operator="equal">
      <formula>"A"</formula>
    </cfRule>
    <cfRule type="cellIs" dxfId="232" priority="4" operator="equal">
      <formula>"A+I"</formula>
    </cfRule>
  </conditionalFormatting>
  <conditionalFormatting sqref="Y172:AA172">
    <cfRule type="cellIs" dxfId="231" priority="5" operator="equal">
      <formula>"I"</formula>
    </cfRule>
  </conditionalFormatting>
  <conditionalFormatting sqref="Z172">
    <cfRule type="cellIs" dxfId="230" priority="6" operator="equal">
      <formula>"A-O"</formula>
    </cfRule>
    <cfRule type="cellIs" dxfId="229" priority="7" operator="equal">
      <formula>"A-O-M"</formula>
    </cfRule>
  </conditionalFormatting>
  <conditionalFormatting sqref="AA173">
    <cfRule type="cellIs" dxfId="228" priority="1" operator="equal">
      <formula>"I"</formula>
    </cfRule>
  </conditionalFormatting>
  <hyperlinks>
    <hyperlink ref="X38" r:id="rId1" xr:uid="{5DC57D8C-40D5-4CEF-BA47-0C5E9DD4DBFF}"/>
    <hyperlink ref="X40" r:id="rId2" xr:uid="{34046AFD-1696-48DB-96F6-04E233BA20EF}"/>
    <hyperlink ref="X42" r:id="rId3" xr:uid="{CD747EA3-E23B-41A0-B110-7C52C39E98D7}"/>
    <hyperlink ref="X44" r:id="rId4" xr:uid="{CA65190D-6723-45B4-99AF-8DE21437A82A}"/>
  </hyperlinks>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19CC8-2A25-433F-87B0-358B67FA0E61}">
  <sheetPr codeName="Sheet6"/>
  <dimension ref="A1:AF434"/>
  <sheetViews>
    <sheetView zoomScale="85" zoomScaleNormal="85" workbookViewId="0">
      <pane xSplit="4" ySplit="2" topLeftCell="E326" activePane="bottomRight" state="frozen"/>
      <selection pane="bottomRight" activeCell="K332" sqref="K332"/>
      <selection pane="bottomLeft" activeCell="A3" sqref="A3"/>
      <selection pane="topRight" activeCell="E1" sqref="E1"/>
    </sheetView>
  </sheetViews>
  <sheetFormatPr defaultColWidth="8.5" defaultRowHeight="0" customHeight="1" zeroHeight="1"/>
  <cols>
    <col min="1" max="1" width="11.125" style="107" customWidth="1"/>
    <col min="2" max="2" width="10" style="108" customWidth="1"/>
    <col min="3" max="4" width="6.375" style="108" customWidth="1"/>
    <col min="5" max="5" width="27.875" style="300" customWidth="1"/>
    <col min="6" max="6" width="5.375" style="109" customWidth="1"/>
    <col min="7" max="7" width="7.125" style="109" bestFit="1" customWidth="1"/>
    <col min="8" max="8" width="7.375" style="109" customWidth="1"/>
    <col min="9" max="9" width="10.375" style="109" customWidth="1"/>
    <col min="10" max="10" width="9.375" style="110" bestFit="1" customWidth="1"/>
    <col min="11" max="11" width="15.875" style="110" bestFit="1" customWidth="1"/>
    <col min="12" max="12" width="8.125" style="111" customWidth="1"/>
    <col min="13" max="13" width="11.375" style="111" customWidth="1"/>
    <col min="14" max="14" width="5.375" style="111" customWidth="1"/>
    <col min="15" max="15" width="7.375" style="112" customWidth="1"/>
    <col min="16" max="16" width="8.125" style="113" customWidth="1"/>
    <col min="17" max="17" width="7.125" style="113" customWidth="1"/>
    <col min="18" max="18" width="8.125" style="114" customWidth="1"/>
    <col min="19" max="19" width="4.5" style="109" customWidth="1"/>
    <col min="20" max="20" width="8.375" style="109" customWidth="1"/>
    <col min="21" max="22" width="9.375" style="109" customWidth="1"/>
    <col min="23" max="23" width="24.125" style="109" customWidth="1"/>
    <col min="24" max="24" width="16.125" style="109" customWidth="1"/>
    <col min="25" max="25" width="7.125" style="109" customWidth="1"/>
    <col min="26" max="26" width="0" style="109" hidden="1" customWidth="1"/>
    <col min="27" max="27" width="0" style="114" hidden="1" customWidth="1"/>
    <col min="28" max="28" width="2.75" style="114" hidden="1" customWidth="1"/>
    <col min="29" max="29" width="28.5" style="106" bestFit="1" customWidth="1"/>
    <col min="30" max="30" width="15.375" style="101" customWidth="1"/>
    <col min="31" max="16384" width="8.5" style="101"/>
  </cols>
  <sheetData>
    <row r="1" spans="1:31" s="102" customFormat="1" ht="18.600000000000001">
      <c r="A1" s="115" t="s">
        <v>1225</v>
      </c>
      <c r="B1" s="116" t="s">
        <v>223</v>
      </c>
      <c r="C1" s="116" t="s">
        <v>224</v>
      </c>
      <c r="D1" s="116" t="s">
        <v>14</v>
      </c>
      <c r="E1" s="593" t="s">
        <v>225</v>
      </c>
      <c r="F1" s="102" t="s">
        <v>199</v>
      </c>
      <c r="G1" s="102" t="s">
        <v>226</v>
      </c>
      <c r="H1" s="102" t="s">
        <v>227</v>
      </c>
      <c r="I1" s="102" t="s">
        <v>228</v>
      </c>
      <c r="J1" s="117" t="s">
        <v>1226</v>
      </c>
      <c r="K1" s="117" t="s">
        <v>1226</v>
      </c>
      <c r="L1" s="118" t="s">
        <v>231</v>
      </c>
      <c r="M1" s="118" t="s">
        <v>231</v>
      </c>
      <c r="N1" s="118" t="s">
        <v>231</v>
      </c>
      <c r="O1" s="119" t="s">
        <v>234</v>
      </c>
      <c r="P1" s="120" t="s">
        <v>235</v>
      </c>
      <c r="Q1" s="120" t="s">
        <v>235</v>
      </c>
      <c r="R1" s="121" t="s">
        <v>236</v>
      </c>
      <c r="S1" s="102" t="s">
        <v>239</v>
      </c>
      <c r="T1" s="102" t="s">
        <v>240</v>
      </c>
      <c r="U1" s="102" t="s">
        <v>241</v>
      </c>
      <c r="V1" s="102" t="s">
        <v>1227</v>
      </c>
      <c r="W1" s="122" t="s">
        <v>242</v>
      </c>
      <c r="X1" s="122" t="s">
        <v>243</v>
      </c>
      <c r="Y1" s="102" t="s">
        <v>244</v>
      </c>
      <c r="Z1" s="102" t="s">
        <v>245</v>
      </c>
      <c r="AA1" s="121" t="s">
        <v>246</v>
      </c>
      <c r="AB1" s="121" t="s">
        <v>246</v>
      </c>
      <c r="AC1" s="102" t="s">
        <v>247</v>
      </c>
      <c r="AD1" s="102" t="s">
        <v>1228</v>
      </c>
      <c r="AE1" s="102" t="s">
        <v>249</v>
      </c>
    </row>
    <row r="2" spans="1:31" s="103" customFormat="1" ht="15" thickBot="1">
      <c r="A2" s="123"/>
      <c r="B2" s="124"/>
      <c r="C2" s="124"/>
      <c r="D2" s="124"/>
      <c r="E2" s="592"/>
      <c r="F2" s="125" t="s">
        <v>255</v>
      </c>
      <c r="G2" s="125" t="s">
        <v>256</v>
      </c>
      <c r="H2" s="125" t="s">
        <v>257</v>
      </c>
      <c r="I2" s="125" t="s">
        <v>257</v>
      </c>
      <c r="J2" s="126" t="s">
        <v>257</v>
      </c>
      <c r="K2" s="126" t="s">
        <v>255</v>
      </c>
      <c r="L2" s="127" t="s">
        <v>257</v>
      </c>
      <c r="M2" s="127" t="s">
        <v>255</v>
      </c>
      <c r="N2" s="127"/>
      <c r="O2" s="128" t="s">
        <v>257</v>
      </c>
      <c r="P2" s="129" t="s">
        <v>257</v>
      </c>
      <c r="Q2" s="129" t="s">
        <v>259</v>
      </c>
      <c r="R2" s="130" t="s">
        <v>257</v>
      </c>
      <c r="S2" s="125" t="s">
        <v>260</v>
      </c>
      <c r="T2" s="125" t="s">
        <v>261</v>
      </c>
      <c r="U2" s="125" t="s">
        <v>262</v>
      </c>
      <c r="V2" s="125"/>
      <c r="W2" s="125"/>
      <c r="X2" s="125"/>
      <c r="Y2" s="125"/>
      <c r="Z2" s="125"/>
      <c r="AA2" s="131"/>
      <c r="AB2" s="131" t="s">
        <v>263</v>
      </c>
    </row>
    <row r="3" spans="1:31" s="104" customFormat="1" ht="14.45">
      <c r="A3" s="107" t="s">
        <v>1557</v>
      </c>
      <c r="B3" s="108"/>
      <c r="C3" s="108">
        <v>46061</v>
      </c>
      <c r="D3" s="108"/>
      <c r="E3" s="300"/>
      <c r="F3" s="109">
        <v>65</v>
      </c>
      <c r="G3" s="109">
        <v>850</v>
      </c>
      <c r="H3" s="109">
        <v>210</v>
      </c>
      <c r="I3" s="109">
        <v>110</v>
      </c>
      <c r="J3" s="110" t="s">
        <v>1558</v>
      </c>
      <c r="K3" s="110"/>
      <c r="L3" s="111">
        <v>70</v>
      </c>
      <c r="M3" s="111">
        <v>150</v>
      </c>
      <c r="N3" s="111" t="s">
        <v>1559</v>
      </c>
      <c r="O3" s="112">
        <v>1</v>
      </c>
      <c r="P3" s="113">
        <v>0</v>
      </c>
      <c r="Q3" s="113" t="s">
        <v>1238</v>
      </c>
      <c r="R3" s="114">
        <v>20</v>
      </c>
      <c r="S3" s="109">
        <v>1</v>
      </c>
      <c r="T3" s="109">
        <v>2.5</v>
      </c>
      <c r="U3" s="109">
        <v>15</v>
      </c>
      <c r="V3" s="109" t="s">
        <v>1560</v>
      </c>
      <c r="W3" s="109" t="s">
        <v>1561</v>
      </c>
      <c r="X3" s="144" t="s">
        <v>1562</v>
      </c>
      <c r="Y3" s="109" t="s">
        <v>272</v>
      </c>
      <c r="Z3" s="109" t="s">
        <v>1227</v>
      </c>
      <c r="AA3" s="114"/>
      <c r="AB3" s="114"/>
    </row>
    <row r="4" spans="1:31" s="104" customFormat="1" ht="14.45">
      <c r="A4" s="107" t="s">
        <v>1563</v>
      </c>
      <c r="B4" s="108"/>
      <c r="C4" s="108">
        <v>46062</v>
      </c>
      <c r="D4" s="108"/>
      <c r="E4" s="300"/>
      <c r="F4" s="109">
        <v>65</v>
      </c>
      <c r="G4" s="109">
        <v>890</v>
      </c>
      <c r="H4" s="109">
        <v>210</v>
      </c>
      <c r="I4" s="109">
        <v>110</v>
      </c>
      <c r="J4" s="110" t="s">
        <v>1558</v>
      </c>
      <c r="K4" s="110"/>
      <c r="L4" s="111">
        <v>70</v>
      </c>
      <c r="M4" s="111">
        <v>150</v>
      </c>
      <c r="N4" s="111" t="s">
        <v>1559</v>
      </c>
      <c r="O4" s="112">
        <v>1</v>
      </c>
      <c r="P4" s="113">
        <v>0</v>
      </c>
      <c r="Q4" s="113" t="s">
        <v>1238</v>
      </c>
      <c r="R4" s="114">
        <v>0</v>
      </c>
      <c r="S4" s="109">
        <v>1</v>
      </c>
      <c r="T4" s="109">
        <v>2.5</v>
      </c>
      <c r="U4" s="109">
        <v>15</v>
      </c>
      <c r="V4" s="109" t="s">
        <v>1560</v>
      </c>
      <c r="W4" s="109" t="s">
        <v>1561</v>
      </c>
      <c r="X4" s="144" t="s">
        <v>1562</v>
      </c>
      <c r="Y4" s="109" t="s">
        <v>272</v>
      </c>
      <c r="Z4" s="109" t="s">
        <v>1227</v>
      </c>
      <c r="AA4" s="114"/>
      <c r="AB4" s="114"/>
    </row>
    <row r="5" spans="1:31" s="104" customFormat="1" ht="14.45">
      <c r="A5" s="107" t="s">
        <v>1564</v>
      </c>
      <c r="B5" s="108"/>
      <c r="C5" s="108">
        <v>46062</v>
      </c>
      <c r="D5" s="108"/>
      <c r="E5" s="300"/>
      <c r="F5" s="109">
        <v>65</v>
      </c>
      <c r="G5" s="109">
        <v>890</v>
      </c>
      <c r="H5" s="109">
        <v>210</v>
      </c>
      <c r="I5" s="109">
        <v>110</v>
      </c>
      <c r="J5" s="110" t="s">
        <v>1558</v>
      </c>
      <c r="K5" s="110" t="s">
        <v>1565</v>
      </c>
      <c r="L5" s="111">
        <v>70</v>
      </c>
      <c r="M5" s="111">
        <v>150</v>
      </c>
      <c r="N5" s="111" t="s">
        <v>1559</v>
      </c>
      <c r="O5" s="112">
        <v>2.5</v>
      </c>
      <c r="P5" s="113">
        <v>0.2</v>
      </c>
      <c r="Q5" s="113" t="s">
        <v>1238</v>
      </c>
      <c r="R5" s="114">
        <v>0</v>
      </c>
      <c r="S5" s="109">
        <v>1</v>
      </c>
      <c r="T5" s="109">
        <v>2.5</v>
      </c>
      <c r="U5" s="109">
        <v>15</v>
      </c>
      <c r="V5" s="109" t="s">
        <v>1560</v>
      </c>
      <c r="W5" s="109" t="s">
        <v>1566</v>
      </c>
      <c r="X5" s="144" t="s">
        <v>1562</v>
      </c>
      <c r="Y5" s="109" t="s">
        <v>1567</v>
      </c>
      <c r="Z5" s="109" t="s">
        <v>1227</v>
      </c>
      <c r="AA5" s="114"/>
      <c r="AB5" s="114"/>
    </row>
    <row r="6" spans="1:31" s="104" customFormat="1" ht="14.45">
      <c r="A6" s="107" t="s">
        <v>1568</v>
      </c>
      <c r="B6" s="108"/>
      <c r="C6" s="108">
        <v>46062</v>
      </c>
      <c r="D6" s="108"/>
      <c r="E6" s="300"/>
      <c r="F6" s="109">
        <v>65</v>
      </c>
      <c r="G6" s="109">
        <v>890</v>
      </c>
      <c r="H6" s="109">
        <v>210</v>
      </c>
      <c r="I6" s="109">
        <v>110</v>
      </c>
      <c r="J6" s="110" t="s">
        <v>1558</v>
      </c>
      <c r="K6" s="110"/>
      <c r="L6" s="111">
        <v>70</v>
      </c>
      <c r="M6" s="111">
        <v>150</v>
      </c>
      <c r="N6" s="111" t="s">
        <v>1559</v>
      </c>
      <c r="O6" s="112">
        <v>1</v>
      </c>
      <c r="P6" s="113">
        <v>0</v>
      </c>
      <c r="Q6" s="113" t="s">
        <v>1238</v>
      </c>
      <c r="R6" s="114">
        <v>20</v>
      </c>
      <c r="S6" s="109">
        <v>1</v>
      </c>
      <c r="T6" s="109">
        <v>2.5</v>
      </c>
      <c r="U6" s="109">
        <v>15</v>
      </c>
      <c r="V6" s="109" t="s">
        <v>1560</v>
      </c>
      <c r="W6" s="109" t="s">
        <v>1566</v>
      </c>
      <c r="X6" s="144" t="s">
        <v>1562</v>
      </c>
      <c r="Y6" s="109" t="s">
        <v>272</v>
      </c>
      <c r="Z6" s="109" t="s">
        <v>1227</v>
      </c>
      <c r="AA6" s="114"/>
      <c r="AB6" s="114"/>
    </row>
    <row r="7" spans="1:31" s="104" customFormat="1" ht="14.45">
      <c r="A7" s="107" t="s">
        <v>1569</v>
      </c>
      <c r="B7" s="108"/>
      <c r="C7" s="108">
        <v>46063</v>
      </c>
      <c r="D7" s="108"/>
      <c r="E7" s="300"/>
      <c r="F7" s="109">
        <v>65</v>
      </c>
      <c r="G7" s="109">
        <v>920</v>
      </c>
      <c r="H7" s="109">
        <v>210</v>
      </c>
      <c r="I7" s="109">
        <v>110</v>
      </c>
      <c r="J7" s="110" t="s">
        <v>1558</v>
      </c>
      <c r="K7" s="110"/>
      <c r="L7" s="111">
        <v>70</v>
      </c>
      <c r="M7" s="111">
        <v>150</v>
      </c>
      <c r="N7" s="111" t="s">
        <v>1559</v>
      </c>
      <c r="O7" s="112">
        <v>2.5</v>
      </c>
      <c r="P7" s="113">
        <v>0.2</v>
      </c>
      <c r="Q7" s="113" t="s">
        <v>1238</v>
      </c>
      <c r="R7" s="114">
        <v>0</v>
      </c>
      <c r="S7" s="109">
        <v>1</v>
      </c>
      <c r="T7" s="109">
        <v>2.5</v>
      </c>
      <c r="U7" s="109">
        <v>15</v>
      </c>
      <c r="V7" s="109" t="s">
        <v>1560</v>
      </c>
      <c r="W7" s="109" t="s">
        <v>1566</v>
      </c>
      <c r="X7" s="144" t="s">
        <v>1562</v>
      </c>
      <c r="Y7" s="109" t="s">
        <v>272</v>
      </c>
      <c r="Z7" s="109" t="s">
        <v>1227</v>
      </c>
      <c r="AA7" s="114"/>
      <c r="AB7" s="114"/>
      <c r="AD7" s="104" t="s">
        <v>1570</v>
      </c>
    </row>
    <row r="8" spans="1:31" s="104" customFormat="1" ht="14.45">
      <c r="A8" s="107" t="s">
        <v>1571</v>
      </c>
      <c r="B8" s="108"/>
      <c r="C8" s="108">
        <v>46063</v>
      </c>
      <c r="D8" s="108"/>
      <c r="E8" s="300"/>
      <c r="F8" s="109">
        <v>80</v>
      </c>
      <c r="G8" s="109">
        <v>890</v>
      </c>
      <c r="H8" s="109">
        <v>210</v>
      </c>
      <c r="I8" s="109">
        <v>110</v>
      </c>
      <c r="J8" s="110" t="s">
        <v>1558</v>
      </c>
      <c r="K8" s="110"/>
      <c r="L8" s="111">
        <v>70</v>
      </c>
      <c r="M8" s="111">
        <v>150</v>
      </c>
      <c r="N8" s="111" t="s">
        <v>1559</v>
      </c>
      <c r="O8" s="112">
        <v>1</v>
      </c>
      <c r="P8" s="113">
        <v>0</v>
      </c>
      <c r="Q8" s="113" t="s">
        <v>1238</v>
      </c>
      <c r="R8" s="114">
        <v>0</v>
      </c>
      <c r="S8" s="109">
        <v>1</v>
      </c>
      <c r="T8" s="109" t="s">
        <v>1377</v>
      </c>
      <c r="U8" s="109">
        <v>15</v>
      </c>
      <c r="V8" s="109" t="s">
        <v>1560</v>
      </c>
      <c r="W8" s="109" t="s">
        <v>1566</v>
      </c>
      <c r="X8" s="144" t="s">
        <v>1562</v>
      </c>
      <c r="Y8" s="109" t="s">
        <v>272</v>
      </c>
      <c r="Z8" s="109" t="s">
        <v>1227</v>
      </c>
      <c r="AA8" s="114"/>
      <c r="AB8" s="114"/>
      <c r="AC8" s="104" t="s">
        <v>1572</v>
      </c>
      <c r="AD8" s="104" t="s">
        <v>1573</v>
      </c>
    </row>
    <row r="9" spans="1:31" s="104" customFormat="1" ht="14.45">
      <c r="A9" s="107" t="s">
        <v>1574</v>
      </c>
      <c r="B9" s="108"/>
      <c r="C9" s="108">
        <v>46063</v>
      </c>
      <c r="D9" s="108"/>
      <c r="E9" s="300"/>
      <c r="F9" s="109">
        <v>65</v>
      </c>
      <c r="G9" s="109">
        <v>890</v>
      </c>
      <c r="H9" s="109">
        <v>150</v>
      </c>
      <c r="I9" s="109">
        <v>80</v>
      </c>
      <c r="J9" s="110" t="s">
        <v>1558</v>
      </c>
      <c r="K9" s="110"/>
      <c r="L9" s="111">
        <v>70</v>
      </c>
      <c r="M9" s="111">
        <v>150</v>
      </c>
      <c r="N9" s="111" t="s">
        <v>1559</v>
      </c>
      <c r="O9" s="112">
        <v>1</v>
      </c>
      <c r="P9" s="113">
        <v>0</v>
      </c>
      <c r="Q9" s="113" t="s">
        <v>1238</v>
      </c>
      <c r="R9" s="114">
        <v>20</v>
      </c>
      <c r="S9" s="109">
        <v>1</v>
      </c>
      <c r="T9" s="109" t="s">
        <v>1575</v>
      </c>
      <c r="U9" s="109">
        <v>15</v>
      </c>
      <c r="V9" s="109" t="s">
        <v>1560</v>
      </c>
      <c r="W9" s="109" t="s">
        <v>1566</v>
      </c>
      <c r="X9" s="144" t="s">
        <v>1562</v>
      </c>
      <c r="Y9" s="109" t="s">
        <v>272</v>
      </c>
      <c r="Z9" s="109" t="s">
        <v>1227</v>
      </c>
      <c r="AA9" s="114"/>
      <c r="AB9" s="114"/>
      <c r="AC9" s="104" t="s">
        <v>1572</v>
      </c>
    </row>
    <row r="10" spans="1:31" s="104" customFormat="1" ht="14.45">
      <c r="A10" s="107" t="s">
        <v>1576</v>
      </c>
      <c r="B10" s="108"/>
      <c r="C10" s="108">
        <v>46064</v>
      </c>
      <c r="D10" s="108"/>
      <c r="E10" s="300"/>
      <c r="F10" s="109">
        <v>65</v>
      </c>
      <c r="G10" s="109">
        <v>890</v>
      </c>
      <c r="H10" s="109">
        <v>150</v>
      </c>
      <c r="I10" s="109">
        <v>80</v>
      </c>
      <c r="J10" s="110" t="s">
        <v>1558</v>
      </c>
      <c r="K10" s="110" t="s">
        <v>1565</v>
      </c>
      <c r="L10" s="111">
        <v>70</v>
      </c>
      <c r="M10" s="111">
        <v>150</v>
      </c>
      <c r="N10" s="111" t="s">
        <v>1559</v>
      </c>
      <c r="O10" s="112">
        <v>1</v>
      </c>
      <c r="P10" s="113">
        <v>0</v>
      </c>
      <c r="Q10" s="113" t="s">
        <v>1238</v>
      </c>
      <c r="R10" s="114">
        <v>20</v>
      </c>
      <c r="S10" s="109">
        <v>1</v>
      </c>
      <c r="T10" s="109" t="s">
        <v>1575</v>
      </c>
      <c r="U10" s="109">
        <v>15</v>
      </c>
      <c r="V10" s="109" t="s">
        <v>1560</v>
      </c>
      <c r="W10" s="109" t="s">
        <v>1566</v>
      </c>
      <c r="X10" s="144" t="s">
        <v>1562</v>
      </c>
      <c r="Y10" s="109" t="s">
        <v>1567</v>
      </c>
      <c r="Z10" s="109" t="s">
        <v>1227</v>
      </c>
      <c r="AA10" s="114"/>
      <c r="AB10" s="114"/>
      <c r="AC10" s="104" t="s">
        <v>1572</v>
      </c>
      <c r="AD10" s="104" t="s">
        <v>1577</v>
      </c>
    </row>
    <row r="11" spans="1:31" s="104" customFormat="1" ht="14.45">
      <c r="A11" s="107" t="s">
        <v>1578</v>
      </c>
      <c r="B11" s="108"/>
      <c r="C11" s="108">
        <v>46064</v>
      </c>
      <c r="D11" s="108"/>
      <c r="E11" s="300"/>
      <c r="F11" s="109">
        <v>65</v>
      </c>
      <c r="G11" s="109">
        <v>890</v>
      </c>
      <c r="H11" s="109">
        <v>150</v>
      </c>
      <c r="I11" s="109">
        <v>80</v>
      </c>
      <c r="J11" s="110" t="s">
        <v>1558</v>
      </c>
      <c r="K11" s="110"/>
      <c r="L11" s="111">
        <v>70</v>
      </c>
      <c r="M11" s="111">
        <v>150</v>
      </c>
      <c r="N11" s="111" t="s">
        <v>1559</v>
      </c>
      <c r="O11" s="112">
        <v>1</v>
      </c>
      <c r="P11" s="113">
        <v>0</v>
      </c>
      <c r="Q11" s="113" t="s">
        <v>1238</v>
      </c>
      <c r="R11" s="114">
        <v>20</v>
      </c>
      <c r="S11" s="109">
        <v>1</v>
      </c>
      <c r="T11" s="109" t="s">
        <v>1575</v>
      </c>
      <c r="U11" s="109">
        <v>15</v>
      </c>
      <c r="V11" s="109" t="s">
        <v>1560</v>
      </c>
      <c r="W11" s="109" t="s">
        <v>1566</v>
      </c>
      <c r="X11" s="144" t="s">
        <v>1562</v>
      </c>
      <c r="Y11" s="109" t="s">
        <v>272</v>
      </c>
      <c r="Z11" s="109" t="s">
        <v>1227</v>
      </c>
      <c r="AA11" s="114"/>
      <c r="AB11" s="114"/>
      <c r="AC11" s="104" t="s">
        <v>1579</v>
      </c>
      <c r="AD11" s="104" t="s">
        <v>1580</v>
      </c>
    </row>
    <row r="12" spans="1:31" s="104" customFormat="1" ht="14.45">
      <c r="A12" s="107" t="s">
        <v>1581</v>
      </c>
      <c r="B12" s="108"/>
      <c r="C12" s="108">
        <v>46065</v>
      </c>
      <c r="D12" s="108"/>
      <c r="E12" s="300"/>
      <c r="F12" s="109">
        <v>65</v>
      </c>
      <c r="G12" s="109">
        <v>890</v>
      </c>
      <c r="H12" s="109">
        <v>150</v>
      </c>
      <c r="I12" s="109">
        <v>80</v>
      </c>
      <c r="J12" s="110" t="s">
        <v>1558</v>
      </c>
      <c r="K12" s="110" t="s">
        <v>1565</v>
      </c>
      <c r="L12" s="111">
        <v>70</v>
      </c>
      <c r="M12" s="111">
        <v>150</v>
      </c>
      <c r="N12" s="111" t="s">
        <v>1559</v>
      </c>
      <c r="O12" s="112">
        <v>1</v>
      </c>
      <c r="P12" s="113">
        <v>0</v>
      </c>
      <c r="Q12" s="113" t="s">
        <v>1238</v>
      </c>
      <c r="R12" s="114">
        <v>20</v>
      </c>
      <c r="S12" s="109">
        <v>1</v>
      </c>
      <c r="T12" s="109">
        <v>1.5</v>
      </c>
      <c r="U12" s="109">
        <v>15</v>
      </c>
      <c r="V12" s="109" t="s">
        <v>1560</v>
      </c>
      <c r="W12" s="109" t="s">
        <v>1566</v>
      </c>
      <c r="X12" s="144" t="s">
        <v>1562</v>
      </c>
      <c r="Y12" s="109" t="s">
        <v>1567</v>
      </c>
      <c r="Z12" s="109" t="s">
        <v>1227</v>
      </c>
      <c r="AA12" s="114"/>
      <c r="AB12" s="114"/>
      <c r="AC12" s="132" t="s">
        <v>1582</v>
      </c>
      <c r="AD12" s="104" t="s">
        <v>1583</v>
      </c>
    </row>
    <row r="13" spans="1:31" s="104" customFormat="1" ht="14.45">
      <c r="A13" s="107" t="s">
        <v>1584</v>
      </c>
      <c r="B13" s="108"/>
      <c r="C13" s="108">
        <v>46065</v>
      </c>
      <c r="D13" s="108"/>
      <c r="E13" s="300"/>
      <c r="F13" s="109">
        <v>65</v>
      </c>
      <c r="G13" s="109">
        <v>890</v>
      </c>
      <c r="H13" s="109">
        <v>150</v>
      </c>
      <c r="I13" s="109">
        <v>80</v>
      </c>
      <c r="J13" s="110" t="s">
        <v>1558</v>
      </c>
      <c r="K13" s="110" t="s">
        <v>1585</v>
      </c>
      <c r="L13" s="111">
        <v>70</v>
      </c>
      <c r="M13" s="111">
        <v>150</v>
      </c>
      <c r="N13" s="111" t="s">
        <v>1559</v>
      </c>
      <c r="O13" s="112">
        <v>1</v>
      </c>
      <c r="P13" s="113">
        <v>0</v>
      </c>
      <c r="Q13" s="113" t="s">
        <v>1238</v>
      </c>
      <c r="R13" s="114">
        <v>20</v>
      </c>
      <c r="S13" s="109">
        <v>1</v>
      </c>
      <c r="T13" s="109">
        <v>3</v>
      </c>
      <c r="U13" s="109">
        <v>15</v>
      </c>
      <c r="V13" s="109" t="s">
        <v>1560</v>
      </c>
      <c r="W13" s="109" t="s">
        <v>1566</v>
      </c>
      <c r="X13" s="144" t="s">
        <v>1562</v>
      </c>
      <c r="Y13" s="109" t="s">
        <v>272</v>
      </c>
      <c r="Z13" s="109" t="s">
        <v>1227</v>
      </c>
      <c r="AA13" s="114"/>
      <c r="AB13" s="114"/>
      <c r="AC13" s="132" t="s">
        <v>1586</v>
      </c>
      <c r="AD13" s="104" t="s">
        <v>1583</v>
      </c>
    </row>
    <row r="14" spans="1:31" s="104" customFormat="1" ht="14.45">
      <c r="A14" s="107" t="s">
        <v>1587</v>
      </c>
      <c r="B14" s="108"/>
      <c r="C14" s="108">
        <v>46065</v>
      </c>
      <c r="D14" s="108"/>
      <c r="E14" s="300"/>
      <c r="F14" s="109">
        <v>65</v>
      </c>
      <c r="G14" s="109">
        <v>890</v>
      </c>
      <c r="H14" s="109">
        <v>150</v>
      </c>
      <c r="I14" s="109">
        <v>80</v>
      </c>
      <c r="J14" s="110" t="s">
        <v>1558</v>
      </c>
      <c r="K14" s="110" t="s">
        <v>1585</v>
      </c>
      <c r="L14" s="111">
        <v>70</v>
      </c>
      <c r="M14" s="111">
        <v>150</v>
      </c>
      <c r="N14" s="111" t="s">
        <v>1559</v>
      </c>
      <c r="O14" s="112">
        <v>1</v>
      </c>
      <c r="P14" s="113">
        <v>0</v>
      </c>
      <c r="Q14" s="113" t="s">
        <v>1238</v>
      </c>
      <c r="R14" s="114">
        <v>20</v>
      </c>
      <c r="S14" s="109">
        <v>1</v>
      </c>
      <c r="T14" s="109" t="s">
        <v>1575</v>
      </c>
      <c r="U14" s="109">
        <v>15</v>
      </c>
      <c r="V14" s="109" t="s">
        <v>1560</v>
      </c>
      <c r="W14" s="109" t="s">
        <v>1566</v>
      </c>
      <c r="X14" s="144" t="s">
        <v>1562</v>
      </c>
      <c r="Y14" s="109" t="s">
        <v>272</v>
      </c>
      <c r="Z14" s="109" t="s">
        <v>1227</v>
      </c>
      <c r="AA14" s="114"/>
      <c r="AB14" s="114"/>
      <c r="AC14" s="104" t="s">
        <v>1588</v>
      </c>
    </row>
    <row r="15" spans="1:31" s="104" customFormat="1" ht="14.45">
      <c r="A15" s="107" t="s">
        <v>1589</v>
      </c>
      <c r="B15" s="108"/>
      <c r="C15" s="108">
        <v>46066</v>
      </c>
      <c r="D15" s="108"/>
      <c r="E15" s="300"/>
      <c r="F15" s="109">
        <v>65</v>
      </c>
      <c r="G15" s="109">
        <v>890</v>
      </c>
      <c r="H15" s="109">
        <v>150</v>
      </c>
      <c r="I15" s="109">
        <v>80</v>
      </c>
      <c r="J15" s="110" t="s">
        <v>1590</v>
      </c>
      <c r="K15" s="110" t="s">
        <v>1585</v>
      </c>
      <c r="L15" s="111">
        <v>70</v>
      </c>
      <c r="M15" s="111">
        <v>150</v>
      </c>
      <c r="N15" s="111" t="s">
        <v>1559</v>
      </c>
      <c r="O15" s="112">
        <v>1</v>
      </c>
      <c r="P15" s="113">
        <v>0</v>
      </c>
      <c r="Q15" s="113" t="s">
        <v>1238</v>
      </c>
      <c r="R15" s="114">
        <v>20</v>
      </c>
      <c r="S15" s="109">
        <v>1</v>
      </c>
      <c r="T15" s="109">
        <v>3.5</v>
      </c>
      <c r="U15" s="109">
        <v>15</v>
      </c>
      <c r="V15" s="109" t="s">
        <v>1560</v>
      </c>
      <c r="W15" s="109" t="s">
        <v>1566</v>
      </c>
      <c r="X15" s="144" t="s">
        <v>1562</v>
      </c>
      <c r="Y15" s="109" t="s">
        <v>1567</v>
      </c>
      <c r="Z15" s="109" t="s">
        <v>1227</v>
      </c>
      <c r="AA15" s="114"/>
      <c r="AB15" s="114"/>
      <c r="AC15" s="132" t="s">
        <v>1591</v>
      </c>
      <c r="AE15" s="104" t="s">
        <v>1592</v>
      </c>
    </row>
    <row r="16" spans="1:31" s="104" customFormat="1" ht="14.45">
      <c r="A16" s="107" t="s">
        <v>1593</v>
      </c>
      <c r="B16" s="108"/>
      <c r="C16" s="108">
        <v>46078</v>
      </c>
      <c r="D16" s="108"/>
      <c r="E16" s="300"/>
      <c r="F16" s="109">
        <v>65</v>
      </c>
      <c r="G16" s="109">
        <v>890</v>
      </c>
      <c r="H16" s="109">
        <v>150</v>
      </c>
      <c r="I16" s="109">
        <v>80</v>
      </c>
      <c r="J16" s="110"/>
      <c r="K16" s="110"/>
      <c r="L16" s="111">
        <v>70</v>
      </c>
      <c r="M16" s="111">
        <v>150</v>
      </c>
      <c r="N16" s="111" t="s">
        <v>1559</v>
      </c>
      <c r="O16" s="112">
        <v>1</v>
      </c>
      <c r="P16" s="113">
        <v>0</v>
      </c>
      <c r="Q16" s="113" t="s">
        <v>1238</v>
      </c>
      <c r="R16" s="114">
        <v>20</v>
      </c>
      <c r="S16" s="109">
        <v>1</v>
      </c>
      <c r="T16" s="109">
        <v>3.5</v>
      </c>
      <c r="U16" s="109">
        <v>15</v>
      </c>
      <c r="V16" s="109" t="s">
        <v>1560</v>
      </c>
      <c r="W16" s="109" t="s">
        <v>1566</v>
      </c>
      <c r="X16" s="144" t="s">
        <v>1562</v>
      </c>
      <c r="Y16" s="109" t="s">
        <v>272</v>
      </c>
      <c r="Z16" s="109" t="s">
        <v>1227</v>
      </c>
      <c r="AA16" s="114"/>
      <c r="AB16" s="114"/>
      <c r="AC16" s="141" t="s">
        <v>1594</v>
      </c>
      <c r="AD16" s="104" t="s">
        <v>1595</v>
      </c>
    </row>
    <row r="17" spans="1:31" s="104" customFormat="1" ht="14.45">
      <c r="A17" s="107" t="s">
        <v>1596</v>
      </c>
      <c r="B17" s="108"/>
      <c r="C17" s="108">
        <v>46078</v>
      </c>
      <c r="D17" s="108"/>
      <c r="E17" s="300"/>
      <c r="F17" s="109">
        <v>65</v>
      </c>
      <c r="G17" s="109">
        <v>890</v>
      </c>
      <c r="H17" s="109">
        <v>150</v>
      </c>
      <c r="I17" s="109">
        <v>80</v>
      </c>
      <c r="J17" s="110"/>
      <c r="K17" s="110"/>
      <c r="L17" s="111">
        <v>0</v>
      </c>
      <c r="M17" s="111">
        <v>0</v>
      </c>
      <c r="N17" s="111" t="s">
        <v>1559</v>
      </c>
      <c r="O17" s="112">
        <v>1</v>
      </c>
      <c r="P17" s="113">
        <v>0</v>
      </c>
      <c r="Q17" s="113" t="s">
        <v>1238</v>
      </c>
      <c r="R17" s="114">
        <v>0</v>
      </c>
      <c r="S17" s="109">
        <v>1</v>
      </c>
      <c r="T17" s="109">
        <v>3.5</v>
      </c>
      <c r="U17" s="109">
        <v>15</v>
      </c>
      <c r="V17" s="109" t="s">
        <v>1560</v>
      </c>
      <c r="W17" s="109" t="s">
        <v>1566</v>
      </c>
      <c r="X17" s="144" t="s">
        <v>1562</v>
      </c>
      <c r="Y17" s="109" t="s">
        <v>272</v>
      </c>
      <c r="Z17" s="109" t="s">
        <v>1227</v>
      </c>
      <c r="AA17" s="114"/>
      <c r="AB17" s="114"/>
      <c r="AC17" s="141" t="s">
        <v>1597</v>
      </c>
      <c r="AD17" s="104" t="s">
        <v>1598</v>
      </c>
    </row>
    <row r="18" spans="1:31" s="104" customFormat="1" ht="14.45">
      <c r="A18" s="107" t="s">
        <v>1599</v>
      </c>
      <c r="B18" s="108"/>
      <c r="C18" s="108">
        <v>46079</v>
      </c>
      <c r="D18" s="108"/>
      <c r="E18" s="300"/>
      <c r="F18" s="109">
        <v>65</v>
      </c>
      <c r="G18" s="109">
        <v>890</v>
      </c>
      <c r="H18" s="109">
        <v>150</v>
      </c>
      <c r="I18" s="109">
        <v>80</v>
      </c>
      <c r="J18" s="110" t="s">
        <v>1558</v>
      </c>
      <c r="K18" s="110" t="s">
        <v>1600</v>
      </c>
      <c r="L18" s="111">
        <v>70</v>
      </c>
      <c r="M18" s="111">
        <v>150</v>
      </c>
      <c r="N18" s="111" t="s">
        <v>1559</v>
      </c>
      <c r="O18" s="112">
        <v>1</v>
      </c>
      <c r="P18" s="113">
        <v>0</v>
      </c>
      <c r="Q18" s="113" t="s">
        <v>1238</v>
      </c>
      <c r="R18" s="114">
        <v>20</v>
      </c>
      <c r="S18" s="109">
        <v>1</v>
      </c>
      <c r="T18" s="109">
        <v>3.5</v>
      </c>
      <c r="U18" s="109">
        <v>15</v>
      </c>
      <c r="V18" s="109" t="s">
        <v>1560</v>
      </c>
      <c r="W18" s="109" t="s">
        <v>1566</v>
      </c>
      <c r="X18" s="144" t="s">
        <v>1562</v>
      </c>
      <c r="Y18" s="109" t="s">
        <v>272</v>
      </c>
      <c r="Z18" s="109"/>
      <c r="AA18" s="114"/>
      <c r="AB18" s="114"/>
      <c r="AC18" s="141" t="s">
        <v>1586</v>
      </c>
      <c r="AD18" s="104" t="s">
        <v>1601</v>
      </c>
    </row>
    <row r="19" spans="1:31" s="104" customFormat="1" ht="14.45">
      <c r="A19" s="107" t="s">
        <v>1602</v>
      </c>
      <c r="B19" s="108"/>
      <c r="C19" s="108">
        <v>46079</v>
      </c>
      <c r="D19" s="108"/>
      <c r="E19" s="300"/>
      <c r="F19" s="109">
        <v>65</v>
      </c>
      <c r="G19" s="109">
        <v>890</v>
      </c>
      <c r="H19" s="109">
        <v>150</v>
      </c>
      <c r="I19" s="109">
        <v>80</v>
      </c>
      <c r="J19" s="110" t="s">
        <v>1558</v>
      </c>
      <c r="K19" s="110" t="s">
        <v>1600</v>
      </c>
      <c r="L19" s="111">
        <v>70</v>
      </c>
      <c r="M19" s="111">
        <v>150</v>
      </c>
      <c r="N19" s="111" t="s">
        <v>1559</v>
      </c>
      <c r="O19" s="112">
        <v>1</v>
      </c>
      <c r="P19" s="113">
        <v>0</v>
      </c>
      <c r="Q19" s="113" t="s">
        <v>1238</v>
      </c>
      <c r="R19" s="114">
        <v>20</v>
      </c>
      <c r="S19" s="109">
        <v>1</v>
      </c>
      <c r="T19" s="109">
        <v>3.5</v>
      </c>
      <c r="U19" s="109">
        <v>15</v>
      </c>
      <c r="V19" s="109" t="s">
        <v>1560</v>
      </c>
      <c r="W19" s="109" t="s">
        <v>1566</v>
      </c>
      <c r="X19" s="144" t="s">
        <v>1562</v>
      </c>
      <c r="Y19" s="109" t="s">
        <v>272</v>
      </c>
      <c r="Z19" s="109"/>
      <c r="AA19" s="114"/>
      <c r="AB19" s="114"/>
      <c r="AC19" s="141" t="s">
        <v>1586</v>
      </c>
      <c r="AD19" s="104" t="s">
        <v>1603</v>
      </c>
    </row>
    <row r="20" spans="1:31" s="104" customFormat="1" ht="14.45">
      <c r="A20" s="107" t="s">
        <v>1604</v>
      </c>
      <c r="B20" s="108"/>
      <c r="C20" s="108">
        <v>46079</v>
      </c>
      <c r="D20" s="108"/>
      <c r="E20" s="300"/>
      <c r="F20" s="109">
        <v>65</v>
      </c>
      <c r="G20" s="109">
        <v>890</v>
      </c>
      <c r="H20" s="109">
        <v>150</v>
      </c>
      <c r="I20" s="109">
        <v>80</v>
      </c>
      <c r="J20" s="110" t="s">
        <v>1558</v>
      </c>
      <c r="K20" s="110"/>
      <c r="L20" s="111">
        <v>70</v>
      </c>
      <c r="M20" s="111">
        <v>150</v>
      </c>
      <c r="N20" s="111" t="s">
        <v>1559</v>
      </c>
      <c r="O20" s="112">
        <v>1</v>
      </c>
      <c r="P20" s="113">
        <v>0</v>
      </c>
      <c r="Q20" s="113" t="s">
        <v>1238</v>
      </c>
      <c r="R20" s="114">
        <v>20</v>
      </c>
      <c r="S20" s="109">
        <v>1</v>
      </c>
      <c r="T20" s="109">
        <v>3.5</v>
      </c>
      <c r="U20" s="109">
        <v>15</v>
      </c>
      <c r="V20" s="109" t="s">
        <v>1560</v>
      </c>
      <c r="W20" s="109" t="s">
        <v>1566</v>
      </c>
      <c r="X20" s="144" t="s">
        <v>1562</v>
      </c>
      <c r="Y20" s="109" t="s">
        <v>272</v>
      </c>
      <c r="Z20" s="109"/>
      <c r="AA20" s="114"/>
      <c r="AB20" s="114"/>
      <c r="AC20" s="141" t="s">
        <v>1605</v>
      </c>
      <c r="AD20" s="104" t="s">
        <v>1606</v>
      </c>
    </row>
    <row r="21" spans="1:31" s="104" customFormat="1" ht="14.45">
      <c r="A21" s="107" t="s">
        <v>1607</v>
      </c>
      <c r="B21" s="108"/>
      <c r="C21" s="108">
        <v>46080</v>
      </c>
      <c r="D21" s="108"/>
      <c r="E21" s="300"/>
      <c r="F21" s="109">
        <v>65</v>
      </c>
      <c r="G21" s="109">
        <v>890</v>
      </c>
      <c r="H21" s="109">
        <v>150</v>
      </c>
      <c r="I21" s="109">
        <v>80</v>
      </c>
      <c r="J21" s="110" t="s">
        <v>1558</v>
      </c>
      <c r="K21" s="110" t="s">
        <v>1600</v>
      </c>
      <c r="L21" s="111">
        <v>100</v>
      </c>
      <c r="M21" s="111">
        <v>150</v>
      </c>
      <c r="N21" s="111" t="s">
        <v>1559</v>
      </c>
      <c r="O21" s="112">
        <v>1</v>
      </c>
      <c r="P21" s="113">
        <v>0</v>
      </c>
      <c r="Q21" s="113" t="s">
        <v>1238</v>
      </c>
      <c r="R21" s="114">
        <v>20</v>
      </c>
      <c r="S21" s="109">
        <v>1</v>
      </c>
      <c r="T21" s="109">
        <v>3.5</v>
      </c>
      <c r="U21" s="109">
        <v>15</v>
      </c>
      <c r="V21" s="109" t="s">
        <v>1560</v>
      </c>
      <c r="W21" s="109" t="s">
        <v>1566</v>
      </c>
      <c r="X21" s="144" t="s">
        <v>1562</v>
      </c>
      <c r="Y21" s="109" t="s">
        <v>272</v>
      </c>
      <c r="Z21" s="109"/>
      <c r="AA21" s="114"/>
      <c r="AB21" s="114"/>
      <c r="AC21" s="141"/>
    </row>
    <row r="22" spans="1:31" s="104" customFormat="1" ht="14.45">
      <c r="A22" s="107" t="s">
        <v>1608</v>
      </c>
      <c r="B22" s="108"/>
      <c r="C22" s="108">
        <v>46080</v>
      </c>
      <c r="D22" s="108"/>
      <c r="E22" s="300"/>
      <c r="F22" s="109">
        <v>65</v>
      </c>
      <c r="G22" s="109">
        <v>890</v>
      </c>
      <c r="H22" s="109">
        <v>150</v>
      </c>
      <c r="I22" s="109">
        <v>80</v>
      </c>
      <c r="J22" s="110" t="s">
        <v>1558</v>
      </c>
      <c r="K22" s="110" t="s">
        <v>1609</v>
      </c>
      <c r="L22" s="111">
        <v>70</v>
      </c>
      <c r="M22" s="111">
        <v>150</v>
      </c>
      <c r="N22" s="111" t="s">
        <v>1559</v>
      </c>
      <c r="O22" s="112">
        <v>1</v>
      </c>
      <c r="P22" s="113">
        <v>0</v>
      </c>
      <c r="Q22" s="113" t="s">
        <v>1238</v>
      </c>
      <c r="R22" s="114">
        <v>20</v>
      </c>
      <c r="S22" s="109">
        <v>1</v>
      </c>
      <c r="T22" s="109">
        <v>3.5</v>
      </c>
      <c r="U22" s="109">
        <v>15</v>
      </c>
      <c r="V22" s="109" t="s">
        <v>1560</v>
      </c>
      <c r="W22" s="109" t="s">
        <v>1566</v>
      </c>
      <c r="X22" s="144" t="s">
        <v>1562</v>
      </c>
      <c r="Y22" s="109" t="s">
        <v>1567</v>
      </c>
      <c r="Z22" s="109"/>
      <c r="AA22" s="114"/>
      <c r="AB22" s="114"/>
      <c r="AC22" s="141" t="s">
        <v>1610</v>
      </c>
    </row>
    <row r="23" spans="1:31" s="104" customFormat="1" ht="14.45">
      <c r="A23" s="107" t="s">
        <v>1611</v>
      </c>
      <c r="B23" s="108"/>
      <c r="C23" s="108">
        <v>46082</v>
      </c>
      <c r="D23" s="108"/>
      <c r="E23" s="300"/>
      <c r="F23" s="109">
        <v>65</v>
      </c>
      <c r="G23" s="109">
        <v>890</v>
      </c>
      <c r="H23" s="109">
        <v>150</v>
      </c>
      <c r="I23" s="109">
        <v>80</v>
      </c>
      <c r="J23" s="110" t="s">
        <v>1558</v>
      </c>
      <c r="K23" s="110" t="s">
        <v>1565</v>
      </c>
      <c r="L23" s="111">
        <v>40</v>
      </c>
      <c r="M23" s="111">
        <v>150</v>
      </c>
      <c r="N23" s="111" t="s">
        <v>1559</v>
      </c>
      <c r="O23" s="112">
        <v>1</v>
      </c>
      <c r="P23" s="113">
        <v>0</v>
      </c>
      <c r="Q23" s="113" t="s">
        <v>1238</v>
      </c>
      <c r="R23" s="114">
        <v>20</v>
      </c>
      <c r="S23" s="109">
        <v>1</v>
      </c>
      <c r="T23" s="109">
        <v>3.5</v>
      </c>
      <c r="U23" s="109">
        <v>15</v>
      </c>
      <c r="V23" s="109" t="s">
        <v>1560</v>
      </c>
      <c r="W23" s="109" t="s">
        <v>1566</v>
      </c>
      <c r="X23" s="144" t="s">
        <v>1562</v>
      </c>
      <c r="Y23" s="109" t="s">
        <v>272</v>
      </c>
      <c r="Z23" s="109"/>
      <c r="AA23" s="114"/>
      <c r="AB23" s="114"/>
      <c r="AC23" s="141"/>
      <c r="AD23" s="104" t="s">
        <v>1612</v>
      </c>
    </row>
    <row r="24" spans="1:31" s="104" customFormat="1" ht="14.45">
      <c r="A24" s="107" t="s">
        <v>1613</v>
      </c>
      <c r="B24" s="108"/>
      <c r="C24" s="108">
        <v>46083</v>
      </c>
      <c r="D24" s="108"/>
      <c r="E24" s="300"/>
      <c r="F24" s="109">
        <v>65</v>
      </c>
      <c r="G24" s="109">
        <v>890</v>
      </c>
      <c r="H24" s="109">
        <v>150</v>
      </c>
      <c r="I24" s="109">
        <v>80</v>
      </c>
      <c r="J24" s="110" t="s">
        <v>1614</v>
      </c>
      <c r="K24" s="110" t="s">
        <v>1565</v>
      </c>
      <c r="L24" s="111">
        <v>40</v>
      </c>
      <c r="M24" s="111">
        <v>150</v>
      </c>
      <c r="N24" s="111" t="s">
        <v>1559</v>
      </c>
      <c r="O24" s="112">
        <v>1</v>
      </c>
      <c r="P24" s="113">
        <v>0</v>
      </c>
      <c r="Q24" s="113" t="s">
        <v>1238</v>
      </c>
      <c r="R24" s="114">
        <v>20</v>
      </c>
      <c r="S24" s="109">
        <v>1</v>
      </c>
      <c r="T24" s="109">
        <v>3.5</v>
      </c>
      <c r="U24" s="109">
        <v>15</v>
      </c>
      <c r="V24" s="109" t="s">
        <v>1560</v>
      </c>
      <c r="W24" s="109" t="s">
        <v>1566</v>
      </c>
      <c r="X24" s="144" t="s">
        <v>1562</v>
      </c>
      <c r="Y24" s="109" t="s">
        <v>272</v>
      </c>
      <c r="Z24" s="109"/>
      <c r="AA24" s="114"/>
      <c r="AB24" s="114"/>
      <c r="AC24" s="141"/>
    </row>
    <row r="25" spans="1:31" s="104" customFormat="1" ht="14.45">
      <c r="A25" s="107" t="s">
        <v>1615</v>
      </c>
      <c r="B25" s="108"/>
      <c r="C25" s="108">
        <v>46083</v>
      </c>
      <c r="D25" s="108"/>
      <c r="E25" s="300"/>
      <c r="F25" s="109">
        <v>65</v>
      </c>
      <c r="G25" s="109">
        <v>890</v>
      </c>
      <c r="H25" s="109">
        <v>150</v>
      </c>
      <c r="I25" s="109">
        <v>80</v>
      </c>
      <c r="J25" s="110" t="s">
        <v>1558</v>
      </c>
      <c r="K25" s="110" t="s">
        <v>1565</v>
      </c>
      <c r="L25" s="111">
        <v>40</v>
      </c>
      <c r="M25" s="111">
        <v>150</v>
      </c>
      <c r="N25" s="111" t="s">
        <v>1559</v>
      </c>
      <c r="O25" s="112">
        <v>1</v>
      </c>
      <c r="P25" s="113">
        <v>0</v>
      </c>
      <c r="Q25" s="113" t="s">
        <v>1238</v>
      </c>
      <c r="R25" s="114">
        <v>20</v>
      </c>
      <c r="S25" s="109">
        <v>1</v>
      </c>
      <c r="T25" s="109">
        <v>3.5</v>
      </c>
      <c r="U25" s="109">
        <v>15</v>
      </c>
      <c r="V25" s="109" t="s">
        <v>1560</v>
      </c>
      <c r="W25" s="109" t="s">
        <v>1566</v>
      </c>
      <c r="X25" s="144" t="s">
        <v>1562</v>
      </c>
      <c r="Y25" s="109" t="s">
        <v>272</v>
      </c>
      <c r="Z25" s="109"/>
      <c r="AA25" s="114"/>
      <c r="AB25" s="114"/>
      <c r="AC25" s="141" t="s">
        <v>1616</v>
      </c>
      <c r="AD25" s="104" t="s">
        <v>1617</v>
      </c>
      <c r="AE25" s="104" t="s">
        <v>1618</v>
      </c>
    </row>
    <row r="26" spans="1:31" s="104" customFormat="1" ht="14.45">
      <c r="A26" s="107" t="s">
        <v>1619</v>
      </c>
      <c r="B26" s="108"/>
      <c r="C26" s="108">
        <v>46083</v>
      </c>
      <c r="D26" s="108"/>
      <c r="E26" s="300"/>
      <c r="F26" s="109">
        <v>65</v>
      </c>
      <c r="G26" s="109">
        <v>890</v>
      </c>
      <c r="H26" s="109">
        <v>150</v>
      </c>
      <c r="I26" s="109">
        <v>80</v>
      </c>
      <c r="J26" s="110" t="s">
        <v>1558</v>
      </c>
      <c r="K26" s="110" t="s">
        <v>1565</v>
      </c>
      <c r="L26" s="111">
        <v>40</v>
      </c>
      <c r="M26" s="111">
        <v>150</v>
      </c>
      <c r="N26" s="111" t="s">
        <v>1559</v>
      </c>
      <c r="O26" s="112">
        <v>1</v>
      </c>
      <c r="P26" s="113">
        <v>0</v>
      </c>
      <c r="Q26" s="113" t="s">
        <v>1238</v>
      </c>
      <c r="R26" s="114">
        <v>20</v>
      </c>
      <c r="S26" s="109">
        <v>1</v>
      </c>
      <c r="T26" s="109">
        <v>3.5</v>
      </c>
      <c r="U26" s="109">
        <v>15</v>
      </c>
      <c r="V26" s="109" t="s">
        <v>1560</v>
      </c>
      <c r="W26" s="109" t="s">
        <v>1566</v>
      </c>
      <c r="X26" s="144" t="s">
        <v>1562</v>
      </c>
      <c r="Y26" s="109" t="s">
        <v>272</v>
      </c>
      <c r="Z26" s="109"/>
      <c r="AA26" s="114"/>
      <c r="AB26" s="114"/>
      <c r="AC26" s="141" t="s">
        <v>1616</v>
      </c>
      <c r="AD26" s="104" t="s">
        <v>1620</v>
      </c>
    </row>
    <row r="27" spans="1:31" s="104" customFormat="1" ht="14.45">
      <c r="A27" s="107" t="s">
        <v>1621</v>
      </c>
      <c r="B27" s="108"/>
      <c r="C27" s="108">
        <v>46084</v>
      </c>
      <c r="D27" s="108"/>
      <c r="E27" s="300"/>
      <c r="F27" s="109">
        <v>65</v>
      </c>
      <c r="G27" s="109">
        <v>890</v>
      </c>
      <c r="H27" s="109">
        <v>150</v>
      </c>
      <c r="I27" s="109">
        <v>80</v>
      </c>
      <c r="J27" s="110" t="s">
        <v>1558</v>
      </c>
      <c r="K27" s="110" t="s">
        <v>1565</v>
      </c>
      <c r="L27" s="111">
        <v>40</v>
      </c>
      <c r="M27" s="111">
        <v>150</v>
      </c>
      <c r="N27" s="111" t="s">
        <v>1559</v>
      </c>
      <c r="O27" s="112">
        <v>1</v>
      </c>
      <c r="P27" s="113">
        <v>0</v>
      </c>
      <c r="Q27" s="113" t="s">
        <v>1238</v>
      </c>
      <c r="R27" s="114">
        <v>20</v>
      </c>
      <c r="S27" s="109">
        <v>1</v>
      </c>
      <c r="T27" s="109">
        <v>3.5</v>
      </c>
      <c r="U27" s="109">
        <v>15</v>
      </c>
      <c r="V27" s="109" t="s">
        <v>1560</v>
      </c>
      <c r="W27" s="109" t="s">
        <v>1566</v>
      </c>
      <c r="X27" s="144" t="s">
        <v>1562</v>
      </c>
      <c r="Y27" s="109" t="s">
        <v>272</v>
      </c>
      <c r="Z27" s="109"/>
      <c r="AA27" s="114"/>
      <c r="AB27" s="114"/>
      <c r="AC27" s="141" t="s">
        <v>1616</v>
      </c>
      <c r="AD27" s="104" t="s">
        <v>1622</v>
      </c>
    </row>
    <row r="28" spans="1:31" s="104" customFormat="1" ht="14.45">
      <c r="A28" s="107" t="s">
        <v>1623</v>
      </c>
      <c r="B28" s="108"/>
      <c r="C28" s="108">
        <v>46084</v>
      </c>
      <c r="D28" s="108"/>
      <c r="E28" s="300"/>
      <c r="F28" s="109">
        <v>65</v>
      </c>
      <c r="G28" s="109">
        <v>890</v>
      </c>
      <c r="H28" s="109">
        <v>150</v>
      </c>
      <c r="I28" s="109">
        <v>80</v>
      </c>
      <c r="J28" s="110" t="s">
        <v>1558</v>
      </c>
      <c r="K28" s="110" t="s">
        <v>1585</v>
      </c>
      <c r="L28" s="111">
        <v>40</v>
      </c>
      <c r="M28" s="111">
        <v>150</v>
      </c>
      <c r="N28" s="111" t="s">
        <v>1559</v>
      </c>
      <c r="O28" s="112">
        <v>1</v>
      </c>
      <c r="P28" s="113">
        <v>0</v>
      </c>
      <c r="Q28" s="113" t="s">
        <v>1238</v>
      </c>
      <c r="R28" s="114">
        <v>20</v>
      </c>
      <c r="S28" s="109">
        <v>1</v>
      </c>
      <c r="T28" s="109">
        <v>3.5</v>
      </c>
      <c r="U28" s="109">
        <v>15</v>
      </c>
      <c r="V28" s="109" t="s">
        <v>1560</v>
      </c>
      <c r="W28" s="109" t="s">
        <v>1566</v>
      </c>
      <c r="X28" s="144" t="s">
        <v>1562</v>
      </c>
      <c r="Y28" s="109" t="s">
        <v>1567</v>
      </c>
      <c r="Z28" s="109"/>
      <c r="AA28" s="114"/>
      <c r="AB28" s="114"/>
      <c r="AC28" s="141" t="s">
        <v>1616</v>
      </c>
      <c r="AD28" s="104" t="s">
        <v>1624</v>
      </c>
    </row>
    <row r="29" spans="1:31" s="104" customFormat="1" ht="14.45">
      <c r="A29" s="107" t="s">
        <v>1625</v>
      </c>
      <c r="B29" s="108"/>
      <c r="C29" s="108">
        <v>46085</v>
      </c>
      <c r="D29" s="108"/>
      <c r="E29" s="300"/>
      <c r="F29" s="109">
        <v>65</v>
      </c>
      <c r="G29" s="109">
        <v>890</v>
      </c>
      <c r="H29" s="109">
        <v>150</v>
      </c>
      <c r="I29" s="109">
        <v>80</v>
      </c>
      <c r="J29" s="110" t="s">
        <v>1558</v>
      </c>
      <c r="K29" s="110" t="s">
        <v>1585</v>
      </c>
      <c r="L29" s="111">
        <v>40</v>
      </c>
      <c r="M29" s="111">
        <v>150</v>
      </c>
      <c r="N29" s="111" t="s">
        <v>1559</v>
      </c>
      <c r="O29" s="112">
        <v>1</v>
      </c>
      <c r="P29" s="113">
        <v>0</v>
      </c>
      <c r="Q29" s="113" t="s">
        <v>1238</v>
      </c>
      <c r="R29" s="114">
        <v>20</v>
      </c>
      <c r="S29" s="109">
        <v>1</v>
      </c>
      <c r="T29" s="109">
        <v>3.5</v>
      </c>
      <c r="U29" s="109">
        <v>15</v>
      </c>
      <c r="V29" s="109" t="s">
        <v>1560</v>
      </c>
      <c r="W29" s="109" t="s">
        <v>1566</v>
      </c>
      <c r="X29" s="144" t="s">
        <v>1562</v>
      </c>
      <c r="Y29" s="109" t="s">
        <v>272</v>
      </c>
      <c r="Z29" s="109"/>
      <c r="AA29" s="114"/>
      <c r="AB29" s="114"/>
      <c r="AC29" s="141" t="s">
        <v>1616</v>
      </c>
      <c r="AD29" s="104" t="s">
        <v>1626</v>
      </c>
      <c r="AE29" s="104" t="s">
        <v>1627</v>
      </c>
    </row>
    <row r="30" spans="1:31" s="104" customFormat="1" ht="14.45">
      <c r="A30" s="107" t="s">
        <v>1628</v>
      </c>
      <c r="B30" s="108"/>
      <c r="C30" s="108">
        <v>46085</v>
      </c>
      <c r="D30" s="108"/>
      <c r="E30" s="300"/>
      <c r="F30" s="109">
        <v>65</v>
      </c>
      <c r="G30" s="109">
        <v>890</v>
      </c>
      <c r="H30" s="109">
        <v>150</v>
      </c>
      <c r="I30" s="109">
        <v>80</v>
      </c>
      <c r="J30" s="110" t="s">
        <v>1558</v>
      </c>
      <c r="K30" s="110" t="s">
        <v>1629</v>
      </c>
      <c r="L30" s="111">
        <v>40</v>
      </c>
      <c r="M30" s="111">
        <v>150</v>
      </c>
      <c r="N30" s="111" t="s">
        <v>1559</v>
      </c>
      <c r="O30" s="112">
        <v>1</v>
      </c>
      <c r="P30" s="113">
        <v>0</v>
      </c>
      <c r="Q30" s="113" t="s">
        <v>1238</v>
      </c>
      <c r="R30" s="114">
        <v>20</v>
      </c>
      <c r="S30" s="109">
        <v>1</v>
      </c>
      <c r="T30" s="109">
        <v>3.5</v>
      </c>
      <c r="U30" s="109">
        <v>15</v>
      </c>
      <c r="V30" s="109" t="s">
        <v>1560</v>
      </c>
      <c r="W30" s="109" t="s">
        <v>1566</v>
      </c>
      <c r="X30" s="144" t="s">
        <v>1562</v>
      </c>
      <c r="Y30" s="109" t="s">
        <v>272</v>
      </c>
      <c r="Z30" s="109"/>
      <c r="AA30" s="114"/>
      <c r="AB30" s="114"/>
      <c r="AC30" s="141" t="s">
        <v>1616</v>
      </c>
      <c r="AD30" s="104" t="s">
        <v>1630</v>
      </c>
    </row>
    <row r="31" spans="1:31" s="105" customFormat="1" ht="14.45">
      <c r="A31" s="133" t="s">
        <v>1631</v>
      </c>
      <c r="B31" s="134"/>
      <c r="C31" s="134">
        <v>46090</v>
      </c>
      <c r="D31" s="134"/>
      <c r="E31" s="301"/>
      <c r="F31" s="135">
        <v>65</v>
      </c>
      <c r="G31" s="135">
        <v>890</v>
      </c>
      <c r="H31" s="135">
        <v>150</v>
      </c>
      <c r="I31" s="135">
        <v>80</v>
      </c>
      <c r="J31" s="136" t="s">
        <v>1558</v>
      </c>
      <c r="K31" s="136" t="s">
        <v>1585</v>
      </c>
      <c r="L31" s="137">
        <v>40</v>
      </c>
      <c r="M31" s="137">
        <v>150</v>
      </c>
      <c r="N31" s="137" t="s">
        <v>1559</v>
      </c>
      <c r="O31" s="138">
        <v>1</v>
      </c>
      <c r="P31" s="139">
        <v>0</v>
      </c>
      <c r="Q31" s="139" t="s">
        <v>1238</v>
      </c>
      <c r="R31" s="140">
        <v>20</v>
      </c>
      <c r="S31" s="135">
        <v>1</v>
      </c>
      <c r="T31" s="135">
        <v>3.5</v>
      </c>
      <c r="U31" s="135">
        <v>15</v>
      </c>
      <c r="V31" s="109" t="s">
        <v>1560</v>
      </c>
      <c r="W31" s="135" t="s">
        <v>1566</v>
      </c>
      <c r="X31" s="153" t="s">
        <v>1562</v>
      </c>
      <c r="Y31" s="135" t="s">
        <v>272</v>
      </c>
      <c r="Z31" s="135"/>
      <c r="AA31" s="140"/>
      <c r="AB31" s="140"/>
      <c r="AC31" s="142" t="s">
        <v>1632</v>
      </c>
      <c r="AD31" s="105" t="s">
        <v>1633</v>
      </c>
    </row>
    <row r="32" spans="1:31" s="104" customFormat="1" ht="14.45">
      <c r="A32" s="107" t="s">
        <v>1634</v>
      </c>
      <c r="B32" s="108"/>
      <c r="C32" s="108" t="s">
        <v>1635</v>
      </c>
      <c r="D32" s="108"/>
      <c r="E32" s="300"/>
      <c r="F32" s="109">
        <v>65</v>
      </c>
      <c r="G32" s="109">
        <v>890</v>
      </c>
      <c r="H32" s="109">
        <v>150</v>
      </c>
      <c r="I32" s="109">
        <v>80</v>
      </c>
      <c r="J32" s="110" t="s">
        <v>1558</v>
      </c>
      <c r="K32" s="110" t="s">
        <v>1585</v>
      </c>
      <c r="L32" s="111">
        <v>40</v>
      </c>
      <c r="M32" s="111">
        <v>150</v>
      </c>
      <c r="N32" s="111" t="s">
        <v>1559</v>
      </c>
      <c r="O32" s="112">
        <v>1</v>
      </c>
      <c r="P32" s="113">
        <v>0</v>
      </c>
      <c r="Q32" s="113" t="s">
        <v>1238</v>
      </c>
      <c r="R32" s="114">
        <v>20</v>
      </c>
      <c r="S32" s="109">
        <v>1</v>
      </c>
      <c r="T32" s="109">
        <v>3.5</v>
      </c>
      <c r="U32" s="109">
        <v>15</v>
      </c>
      <c r="V32" s="109" t="s">
        <v>1560</v>
      </c>
      <c r="W32" s="109" t="s">
        <v>1566</v>
      </c>
      <c r="X32" s="144" t="s">
        <v>1562</v>
      </c>
      <c r="Y32" s="109" t="s">
        <v>1636</v>
      </c>
      <c r="Z32" s="109"/>
      <c r="AA32" s="114"/>
      <c r="AB32" s="114"/>
      <c r="AC32" s="106"/>
      <c r="AD32" s="51" t="s">
        <v>1637</v>
      </c>
    </row>
    <row r="33" spans="1:32" s="105" customFormat="1" ht="14.45">
      <c r="A33" s="133" t="s">
        <v>1638</v>
      </c>
      <c r="B33" s="134"/>
      <c r="C33" s="134" t="s">
        <v>1639</v>
      </c>
      <c r="D33" s="134"/>
      <c r="E33" s="301"/>
      <c r="F33" s="135">
        <v>65</v>
      </c>
      <c r="G33" s="135">
        <v>890</v>
      </c>
      <c r="H33" s="135">
        <v>150</v>
      </c>
      <c r="I33" s="135">
        <v>80</v>
      </c>
      <c r="J33" s="136" t="s">
        <v>1558</v>
      </c>
      <c r="K33" s="136" t="s">
        <v>1585</v>
      </c>
      <c r="L33" s="137">
        <v>40</v>
      </c>
      <c r="M33" s="137">
        <v>150</v>
      </c>
      <c r="N33" s="137" t="s">
        <v>1559</v>
      </c>
      <c r="O33" s="138">
        <v>1</v>
      </c>
      <c r="P33" s="139">
        <v>0</v>
      </c>
      <c r="Q33" s="139" t="s">
        <v>1238</v>
      </c>
      <c r="R33" s="174">
        <v>20</v>
      </c>
      <c r="S33" s="135">
        <v>1</v>
      </c>
      <c r="T33" s="135">
        <v>3.5</v>
      </c>
      <c r="U33" s="135">
        <v>15</v>
      </c>
      <c r="V33" s="109" t="s">
        <v>1560</v>
      </c>
      <c r="W33" s="135" t="s">
        <v>1566</v>
      </c>
      <c r="X33" s="153" t="s">
        <v>1562</v>
      </c>
      <c r="Y33" s="135" t="s">
        <v>272</v>
      </c>
      <c r="Z33" s="135"/>
      <c r="AA33" s="140"/>
      <c r="AB33" s="140"/>
      <c r="AC33" s="143"/>
      <c r="AD33" s="203" t="s">
        <v>1640</v>
      </c>
    </row>
    <row r="34" spans="1:32" s="104" customFormat="1" ht="14.45">
      <c r="A34" s="107" t="s">
        <v>1641</v>
      </c>
      <c r="B34" s="108"/>
      <c r="C34" s="108" t="s">
        <v>1642</v>
      </c>
      <c r="D34" s="108"/>
      <c r="E34" s="300"/>
      <c r="F34" s="144">
        <v>65</v>
      </c>
      <c r="G34" s="144">
        <v>890</v>
      </c>
      <c r="H34" s="144">
        <v>150</v>
      </c>
      <c r="I34" s="144">
        <v>80</v>
      </c>
      <c r="J34" s="145" t="s">
        <v>1558</v>
      </c>
      <c r="K34" s="146" t="s">
        <v>1643</v>
      </c>
      <c r="L34" s="147">
        <v>40</v>
      </c>
      <c r="M34" s="148">
        <v>150</v>
      </c>
      <c r="N34" s="148" t="s">
        <v>1559</v>
      </c>
      <c r="O34" s="149">
        <v>1</v>
      </c>
      <c r="P34" s="150">
        <v>0</v>
      </c>
      <c r="Q34" s="150" t="s">
        <v>1238</v>
      </c>
      <c r="R34" s="151">
        <v>15</v>
      </c>
      <c r="S34" s="144">
        <v>1</v>
      </c>
      <c r="T34" s="144">
        <v>3.5</v>
      </c>
      <c r="U34" s="144">
        <v>15</v>
      </c>
      <c r="V34" s="109" t="s">
        <v>1560</v>
      </c>
      <c r="W34" s="144" t="s">
        <v>1566</v>
      </c>
      <c r="X34" s="144" t="s">
        <v>1562</v>
      </c>
      <c r="Y34" s="144" t="s">
        <v>272</v>
      </c>
      <c r="Z34" s="144" t="s">
        <v>1227</v>
      </c>
      <c r="AA34" s="152"/>
      <c r="AB34" s="152"/>
      <c r="AC34" s="861"/>
      <c r="AD34" s="51" t="s">
        <v>1644</v>
      </c>
    </row>
    <row r="35" spans="1:32" s="105" customFormat="1" ht="14.45">
      <c r="A35" s="133" t="s">
        <v>1645</v>
      </c>
      <c r="B35" s="134"/>
      <c r="C35" s="134" t="s">
        <v>1646</v>
      </c>
      <c r="D35" s="134"/>
      <c r="E35" s="301"/>
      <c r="F35" s="153">
        <v>65</v>
      </c>
      <c r="G35" s="153">
        <v>890</v>
      </c>
      <c r="H35" s="153">
        <v>150</v>
      </c>
      <c r="I35" s="153">
        <v>80</v>
      </c>
      <c r="J35" s="154" t="s">
        <v>1558</v>
      </c>
      <c r="K35" s="155" t="s">
        <v>1643</v>
      </c>
      <c r="L35" s="156">
        <v>40</v>
      </c>
      <c r="M35" s="157">
        <v>150</v>
      </c>
      <c r="N35" s="157" t="s">
        <v>1559</v>
      </c>
      <c r="O35" s="158">
        <v>1</v>
      </c>
      <c r="P35" s="159">
        <v>0</v>
      </c>
      <c r="Q35" s="159" t="s">
        <v>1238</v>
      </c>
      <c r="R35" s="160">
        <v>10</v>
      </c>
      <c r="S35" s="153">
        <v>1</v>
      </c>
      <c r="T35" s="153">
        <v>3.5</v>
      </c>
      <c r="U35" s="153">
        <v>15</v>
      </c>
      <c r="V35" s="109" t="s">
        <v>1560</v>
      </c>
      <c r="W35" s="153" t="s">
        <v>1566</v>
      </c>
      <c r="X35" s="153" t="s">
        <v>1562</v>
      </c>
      <c r="Y35" s="153" t="s">
        <v>272</v>
      </c>
      <c r="Z35" s="153" t="s">
        <v>1227</v>
      </c>
      <c r="AA35" s="161"/>
      <c r="AB35" s="161"/>
      <c r="AC35" s="861"/>
      <c r="AD35" s="51" t="s">
        <v>1647</v>
      </c>
    </row>
    <row r="36" spans="1:32" s="104" customFormat="1" ht="14.45">
      <c r="A36" s="107" t="s">
        <v>1648</v>
      </c>
      <c r="B36" s="108"/>
      <c r="C36" s="108" t="s">
        <v>1649</v>
      </c>
      <c r="D36" s="108"/>
      <c r="E36" s="300"/>
      <c r="F36" s="144">
        <v>65</v>
      </c>
      <c r="G36" s="144">
        <v>890</v>
      </c>
      <c r="H36" s="144">
        <v>150</v>
      </c>
      <c r="I36" s="144">
        <v>80</v>
      </c>
      <c r="J36" s="145" t="s">
        <v>1558</v>
      </c>
      <c r="K36" s="146" t="s">
        <v>1643</v>
      </c>
      <c r="L36" s="147">
        <v>40</v>
      </c>
      <c r="M36" s="148">
        <v>150</v>
      </c>
      <c r="N36" s="148" t="s">
        <v>1559</v>
      </c>
      <c r="O36" s="149">
        <v>1</v>
      </c>
      <c r="P36" s="150">
        <v>0</v>
      </c>
      <c r="Q36" s="150" t="s">
        <v>1238</v>
      </c>
      <c r="R36" s="162">
        <v>15</v>
      </c>
      <c r="S36" s="144">
        <v>1</v>
      </c>
      <c r="T36" s="144">
        <v>3.5</v>
      </c>
      <c r="U36" s="172">
        <v>13</v>
      </c>
      <c r="V36" s="109" t="s">
        <v>1560</v>
      </c>
      <c r="W36" s="144" t="s">
        <v>1566</v>
      </c>
      <c r="X36" s="144" t="s">
        <v>1562</v>
      </c>
      <c r="Y36" s="144" t="s">
        <v>1650</v>
      </c>
      <c r="Z36" s="144" t="s">
        <v>1227</v>
      </c>
      <c r="AA36" s="152"/>
      <c r="AB36" s="152"/>
      <c r="AC36" s="282"/>
    </row>
    <row r="37" spans="1:32" s="104" customFormat="1" ht="29.1">
      <c r="A37" s="107" t="s">
        <v>1651</v>
      </c>
      <c r="B37" s="108"/>
      <c r="C37" s="108" t="s">
        <v>1652</v>
      </c>
      <c r="D37" s="108"/>
      <c r="E37" s="300"/>
      <c r="F37" s="144">
        <v>65</v>
      </c>
      <c r="G37" s="144">
        <v>890</v>
      </c>
      <c r="H37" s="144">
        <v>150</v>
      </c>
      <c r="I37" s="144">
        <v>80</v>
      </c>
      <c r="J37" s="145" t="s">
        <v>1558</v>
      </c>
      <c r="K37" s="146" t="s">
        <v>1643</v>
      </c>
      <c r="L37" s="147">
        <v>40</v>
      </c>
      <c r="M37" s="148">
        <v>150</v>
      </c>
      <c r="N37" s="148" t="s">
        <v>1559</v>
      </c>
      <c r="O37" s="149">
        <v>1</v>
      </c>
      <c r="P37" s="150">
        <v>0</v>
      </c>
      <c r="Q37" s="150" t="s">
        <v>1238</v>
      </c>
      <c r="R37" s="162">
        <v>20</v>
      </c>
      <c r="S37" s="144">
        <v>1</v>
      </c>
      <c r="T37" s="144">
        <v>3.5</v>
      </c>
      <c r="U37" s="176">
        <v>15</v>
      </c>
      <c r="V37" s="109" t="s">
        <v>1560</v>
      </c>
      <c r="W37" s="44" t="s">
        <v>1653</v>
      </c>
      <c r="X37" s="144" t="s">
        <v>1562</v>
      </c>
      <c r="Y37" s="144" t="s">
        <v>272</v>
      </c>
      <c r="Z37" s="144" t="s">
        <v>1227</v>
      </c>
      <c r="AA37" s="152"/>
      <c r="AB37" s="152"/>
      <c r="AC37" s="177" t="s">
        <v>1654</v>
      </c>
    </row>
    <row r="38" spans="1:32" s="104" customFormat="1" ht="29.1">
      <c r="A38" s="107" t="s">
        <v>1655</v>
      </c>
      <c r="B38" s="108"/>
      <c r="C38" s="108" t="s">
        <v>1656</v>
      </c>
      <c r="D38" s="108"/>
      <c r="E38" s="300"/>
      <c r="F38" s="144">
        <v>65</v>
      </c>
      <c r="G38" s="144">
        <v>890</v>
      </c>
      <c r="H38" s="144">
        <v>150</v>
      </c>
      <c r="I38" s="144">
        <v>80</v>
      </c>
      <c r="J38" s="145" t="s">
        <v>1558</v>
      </c>
      <c r="K38" s="146" t="s">
        <v>1643</v>
      </c>
      <c r="L38" s="147">
        <v>40</v>
      </c>
      <c r="M38" s="148">
        <v>150</v>
      </c>
      <c r="N38" s="148" t="s">
        <v>1559</v>
      </c>
      <c r="O38" s="149">
        <v>1</v>
      </c>
      <c r="P38" s="150">
        <v>0</v>
      </c>
      <c r="Q38" s="150" t="s">
        <v>1238</v>
      </c>
      <c r="R38" s="162">
        <v>20</v>
      </c>
      <c r="S38" s="144">
        <v>1</v>
      </c>
      <c r="T38" s="144">
        <v>3.5</v>
      </c>
      <c r="U38" s="172">
        <v>7.5</v>
      </c>
      <c r="V38" s="109" t="s">
        <v>1560</v>
      </c>
      <c r="W38" s="44" t="s">
        <v>1657</v>
      </c>
      <c r="X38" s="144" t="s">
        <v>1658</v>
      </c>
      <c r="Y38" s="144" t="s">
        <v>272</v>
      </c>
      <c r="Z38" s="144" t="s">
        <v>1227</v>
      </c>
      <c r="AA38" s="152"/>
      <c r="AB38" s="152"/>
      <c r="AC38" s="177" t="s">
        <v>1654</v>
      </c>
    </row>
    <row r="39" spans="1:32" s="105" customFormat="1" ht="14.45">
      <c r="A39" s="133" t="s">
        <v>1659</v>
      </c>
      <c r="B39" s="134"/>
      <c r="C39" s="134" t="s">
        <v>1660</v>
      </c>
      <c r="D39" s="134"/>
      <c r="E39" s="301"/>
      <c r="F39" s="153">
        <v>65</v>
      </c>
      <c r="G39" s="153">
        <v>890</v>
      </c>
      <c r="H39" s="153">
        <v>150</v>
      </c>
      <c r="I39" s="153">
        <v>80</v>
      </c>
      <c r="J39" s="609" t="s">
        <v>1661</v>
      </c>
      <c r="K39" s="155" t="s">
        <v>1643</v>
      </c>
      <c r="L39" s="156">
        <v>40</v>
      </c>
      <c r="M39" s="157">
        <v>150</v>
      </c>
      <c r="N39" s="157" t="s">
        <v>1559</v>
      </c>
      <c r="O39" s="158">
        <v>1</v>
      </c>
      <c r="P39" s="159">
        <v>0</v>
      </c>
      <c r="Q39" s="159" t="s">
        <v>1238</v>
      </c>
      <c r="R39" s="164">
        <v>15</v>
      </c>
      <c r="S39" s="153">
        <v>1</v>
      </c>
      <c r="T39" s="153">
        <v>3.5</v>
      </c>
      <c r="U39" s="173">
        <v>7.5</v>
      </c>
      <c r="V39" s="109" t="s">
        <v>1560</v>
      </c>
      <c r="W39" s="180" t="s">
        <v>1657</v>
      </c>
      <c r="X39" s="153" t="s">
        <v>1562</v>
      </c>
      <c r="Y39" s="153" t="s">
        <v>272</v>
      </c>
      <c r="Z39" s="153" t="s">
        <v>1227</v>
      </c>
      <c r="AA39" s="161"/>
      <c r="AB39" s="161"/>
      <c r="AC39" s="179"/>
    </row>
    <row r="40" spans="1:32" s="104" customFormat="1" ht="14.45">
      <c r="A40" s="516" t="s">
        <v>1662</v>
      </c>
      <c r="B40" s="610"/>
      <c r="C40" s="611" t="s">
        <v>1660</v>
      </c>
      <c r="D40" s="611"/>
      <c r="E40" s="612"/>
      <c r="F40" s="144">
        <v>65</v>
      </c>
      <c r="G40" s="144">
        <v>890</v>
      </c>
      <c r="H40" s="144">
        <v>150</v>
      </c>
      <c r="I40" s="144">
        <v>80</v>
      </c>
      <c r="J40" s="145" t="s">
        <v>1558</v>
      </c>
      <c r="K40" s="146" t="s">
        <v>1643</v>
      </c>
      <c r="L40" s="147">
        <v>40</v>
      </c>
      <c r="M40" s="148">
        <v>150</v>
      </c>
      <c r="N40" s="148" t="s">
        <v>1559</v>
      </c>
      <c r="O40" s="149">
        <v>1</v>
      </c>
      <c r="P40" s="150">
        <v>0</v>
      </c>
      <c r="Q40" s="150" t="s">
        <v>1238</v>
      </c>
      <c r="R40" s="162">
        <v>15</v>
      </c>
      <c r="S40" s="144">
        <v>1</v>
      </c>
      <c r="T40" s="144">
        <v>3.5</v>
      </c>
      <c r="U40" s="176">
        <v>15</v>
      </c>
      <c r="V40" s="109" t="s">
        <v>1560</v>
      </c>
      <c r="W40" s="144" t="s">
        <v>1566</v>
      </c>
      <c r="X40" s="144" t="s">
        <v>1562</v>
      </c>
      <c r="Y40" s="44" t="s">
        <v>1663</v>
      </c>
      <c r="Z40" s="144" t="s">
        <v>1227</v>
      </c>
      <c r="AA40" s="152"/>
      <c r="AB40" s="152"/>
      <c r="AC40" s="611" t="s">
        <v>1664</v>
      </c>
      <c r="AD40" s="611" t="s">
        <v>1665</v>
      </c>
    </row>
    <row r="41" spans="1:32" s="104" customFormat="1" ht="14.45">
      <c r="A41" s="516" t="s">
        <v>1666</v>
      </c>
      <c r="B41" s="108"/>
      <c r="C41" s="108" t="s">
        <v>1667</v>
      </c>
      <c r="D41" s="108"/>
      <c r="E41" s="300"/>
      <c r="F41" s="144">
        <v>65</v>
      </c>
      <c r="G41" s="144">
        <v>890</v>
      </c>
      <c r="H41" s="144">
        <v>150</v>
      </c>
      <c r="I41" s="144">
        <v>80</v>
      </c>
      <c r="J41" s="145" t="s">
        <v>1558</v>
      </c>
      <c r="K41" s="146" t="s">
        <v>1643</v>
      </c>
      <c r="L41" s="147">
        <v>40</v>
      </c>
      <c r="M41" s="148">
        <v>150</v>
      </c>
      <c r="N41" s="148" t="s">
        <v>1559</v>
      </c>
      <c r="O41" s="149">
        <v>1</v>
      </c>
      <c r="P41" s="150">
        <v>0</v>
      </c>
      <c r="Q41" s="150" t="s">
        <v>1238</v>
      </c>
      <c r="R41" s="162">
        <v>15</v>
      </c>
      <c r="S41" s="144">
        <v>1</v>
      </c>
      <c r="T41" s="144">
        <v>3.5</v>
      </c>
      <c r="U41" s="176">
        <v>15</v>
      </c>
      <c r="V41" s="109" t="s">
        <v>1560</v>
      </c>
      <c r="W41" s="144" t="s">
        <v>1566</v>
      </c>
      <c r="X41" s="144" t="s">
        <v>1562</v>
      </c>
      <c r="Y41" s="144" t="s">
        <v>272</v>
      </c>
      <c r="Z41" s="144" t="s">
        <v>1227</v>
      </c>
      <c r="AA41" s="152"/>
      <c r="AB41" s="152"/>
      <c r="AC41" s="611" t="s">
        <v>1668</v>
      </c>
    </row>
    <row r="42" spans="1:32" s="105" customFormat="1" ht="14.45">
      <c r="A42" s="517" t="s">
        <v>1669</v>
      </c>
      <c r="B42" s="613"/>
      <c r="C42" s="609" t="s">
        <v>1670</v>
      </c>
      <c r="D42" s="609"/>
      <c r="E42" s="614"/>
      <c r="F42" s="201">
        <v>50</v>
      </c>
      <c r="G42" s="153">
        <v>890</v>
      </c>
      <c r="H42" s="153">
        <v>150</v>
      </c>
      <c r="I42" s="153">
        <v>80</v>
      </c>
      <c r="J42" s="154" t="s">
        <v>1558</v>
      </c>
      <c r="K42" s="155" t="s">
        <v>1643</v>
      </c>
      <c r="L42" s="156">
        <v>40</v>
      </c>
      <c r="M42" s="157">
        <v>150</v>
      </c>
      <c r="N42" s="157" t="s">
        <v>1559</v>
      </c>
      <c r="O42" s="158">
        <v>1</v>
      </c>
      <c r="P42" s="159">
        <v>0</v>
      </c>
      <c r="Q42" s="159" t="s">
        <v>1238</v>
      </c>
      <c r="R42" s="164">
        <v>15</v>
      </c>
      <c r="S42" s="153">
        <v>1</v>
      </c>
      <c r="T42" s="153">
        <v>3.5</v>
      </c>
      <c r="U42" s="181">
        <v>15</v>
      </c>
      <c r="V42" s="109" t="s">
        <v>1560</v>
      </c>
      <c r="W42" s="153" t="s">
        <v>1566</v>
      </c>
      <c r="X42" s="153" t="s">
        <v>1562</v>
      </c>
      <c r="Y42" s="153" t="s">
        <v>272</v>
      </c>
      <c r="Z42" s="153" t="s">
        <v>1227</v>
      </c>
      <c r="AA42" s="161"/>
      <c r="AB42" s="161"/>
      <c r="AC42" s="202" t="s">
        <v>1671</v>
      </c>
      <c r="AD42" s="203" t="s">
        <v>1672</v>
      </c>
    </row>
    <row r="43" spans="1:32" s="104" customFormat="1" ht="43.5">
      <c r="A43" s="107" t="s">
        <v>1673</v>
      </c>
      <c r="B43" s="108"/>
      <c r="C43" s="108" t="s">
        <v>1674</v>
      </c>
      <c r="D43" s="108"/>
      <c r="E43" s="300"/>
      <c r="F43" s="144">
        <v>65</v>
      </c>
      <c r="G43" s="144">
        <v>890</v>
      </c>
      <c r="H43" s="144">
        <v>150</v>
      </c>
      <c r="I43" s="144">
        <v>80</v>
      </c>
      <c r="J43" s="615" t="s">
        <v>1675</v>
      </c>
      <c r="K43" s="520" t="s">
        <v>1676</v>
      </c>
      <c r="L43" s="147">
        <v>40</v>
      </c>
      <c r="M43" s="148">
        <v>150</v>
      </c>
      <c r="N43" s="148" t="s">
        <v>1559</v>
      </c>
      <c r="O43" s="149">
        <v>1</v>
      </c>
      <c r="P43" s="150">
        <v>0</v>
      </c>
      <c r="Q43" s="150" t="s">
        <v>1238</v>
      </c>
      <c r="R43" s="162">
        <v>20</v>
      </c>
      <c r="S43" s="144">
        <v>1</v>
      </c>
      <c r="T43" s="144">
        <v>3.5</v>
      </c>
      <c r="U43" s="176">
        <v>15</v>
      </c>
      <c r="V43" s="109" t="s">
        <v>1560</v>
      </c>
      <c r="W43" s="144" t="s">
        <v>1566</v>
      </c>
      <c r="X43" s="144" t="s">
        <v>1562</v>
      </c>
      <c r="Y43" s="144" t="s">
        <v>272</v>
      </c>
      <c r="Z43" s="144" t="s">
        <v>1227</v>
      </c>
      <c r="AA43" s="152"/>
      <c r="AB43" s="152"/>
      <c r="AC43" s="177" t="s">
        <v>1677</v>
      </c>
      <c r="AD43" s="611" t="s">
        <v>1678</v>
      </c>
    </row>
    <row r="44" spans="1:32" s="104" customFormat="1" ht="29.1">
      <c r="A44" s="107" t="s">
        <v>1679</v>
      </c>
      <c r="B44" s="108"/>
      <c r="C44" s="108" t="s">
        <v>1680</v>
      </c>
      <c r="D44" s="108"/>
      <c r="E44" s="300"/>
      <c r="F44" s="144">
        <v>65</v>
      </c>
      <c r="G44" s="144">
        <v>890</v>
      </c>
      <c r="H44" s="144">
        <v>150</v>
      </c>
      <c r="I44" s="144">
        <v>80</v>
      </c>
      <c r="J44" s="145" t="s">
        <v>1675</v>
      </c>
      <c r="K44" s="207" t="s">
        <v>1676</v>
      </c>
      <c r="L44" s="147">
        <v>40</v>
      </c>
      <c r="M44" s="148">
        <v>150</v>
      </c>
      <c r="N44" s="148" t="s">
        <v>1559</v>
      </c>
      <c r="O44" s="149">
        <v>1</v>
      </c>
      <c r="P44" s="150">
        <v>0</v>
      </c>
      <c r="Q44" s="150" t="s">
        <v>1238</v>
      </c>
      <c r="R44" s="162">
        <v>20</v>
      </c>
      <c r="S44" s="144">
        <v>1</v>
      </c>
      <c r="T44" s="144">
        <v>3.5</v>
      </c>
      <c r="U44" s="176">
        <v>15</v>
      </c>
      <c r="V44" s="109" t="s">
        <v>1560</v>
      </c>
      <c r="W44" s="144" t="s">
        <v>1566</v>
      </c>
      <c r="X44" s="144" t="s">
        <v>1562</v>
      </c>
      <c r="Y44" s="611" t="s">
        <v>1650</v>
      </c>
      <c r="Z44" s="144" t="s">
        <v>1227</v>
      </c>
      <c r="AA44" s="152"/>
      <c r="AB44" s="152"/>
      <c r="AC44" s="177" t="s">
        <v>1681</v>
      </c>
      <c r="AD44" s="104" t="s">
        <v>1682</v>
      </c>
    </row>
    <row r="45" spans="1:32" s="105" customFormat="1" ht="29.1">
      <c r="A45" s="271" t="s">
        <v>1683</v>
      </c>
      <c r="B45" s="108"/>
      <c r="C45" s="108" t="s">
        <v>1684</v>
      </c>
      <c r="D45" s="108"/>
      <c r="E45" s="300"/>
      <c r="F45" s="144">
        <v>65</v>
      </c>
      <c r="G45" s="144">
        <v>890</v>
      </c>
      <c r="H45" s="144">
        <v>150</v>
      </c>
      <c r="I45" s="144">
        <v>80</v>
      </c>
      <c r="J45" s="145" t="s">
        <v>1675</v>
      </c>
      <c r="K45" s="207" t="s">
        <v>1676</v>
      </c>
      <c r="L45" s="147">
        <v>40</v>
      </c>
      <c r="M45" s="148">
        <v>150</v>
      </c>
      <c r="N45" s="148" t="s">
        <v>1559</v>
      </c>
      <c r="O45" s="149">
        <v>1</v>
      </c>
      <c r="P45" s="150">
        <v>0</v>
      </c>
      <c r="Q45" s="150" t="s">
        <v>1238</v>
      </c>
      <c r="R45" s="162">
        <v>20</v>
      </c>
      <c r="S45" s="144">
        <v>1</v>
      </c>
      <c r="T45" s="218">
        <v>1</v>
      </c>
      <c r="U45" s="176">
        <v>15</v>
      </c>
      <c r="V45" s="109" t="s">
        <v>1560</v>
      </c>
      <c r="W45" s="144" t="s">
        <v>1566</v>
      </c>
      <c r="X45" s="144" t="s">
        <v>1562</v>
      </c>
      <c r="Y45" s="144" t="s">
        <v>272</v>
      </c>
      <c r="Z45" s="144" t="s">
        <v>1227</v>
      </c>
      <c r="AA45" s="152"/>
      <c r="AB45" s="152"/>
      <c r="AC45" s="177" t="s">
        <v>1685</v>
      </c>
      <c r="AD45" s="104"/>
      <c r="AE45" s="104"/>
      <c r="AF45" s="104"/>
    </row>
    <row r="46" spans="1:32" s="104" customFormat="1" ht="29.1">
      <c r="A46" s="107" t="s">
        <v>1686</v>
      </c>
      <c r="B46" s="108"/>
      <c r="C46" s="108">
        <v>46099</v>
      </c>
      <c r="D46" s="108"/>
      <c r="E46" s="300"/>
      <c r="F46" s="144">
        <v>65</v>
      </c>
      <c r="G46" s="144">
        <v>890</v>
      </c>
      <c r="H46" s="144">
        <v>150</v>
      </c>
      <c r="I46" s="144">
        <v>80</v>
      </c>
      <c r="J46" s="145" t="s">
        <v>1675</v>
      </c>
      <c r="K46" s="207" t="s">
        <v>1676</v>
      </c>
      <c r="L46" s="147">
        <v>40</v>
      </c>
      <c r="M46" s="148">
        <v>150</v>
      </c>
      <c r="N46" s="148" t="s">
        <v>1559</v>
      </c>
      <c r="O46" s="149">
        <v>1</v>
      </c>
      <c r="P46" s="219">
        <v>0.5</v>
      </c>
      <c r="Q46" s="150" t="s">
        <v>1238</v>
      </c>
      <c r="R46" s="162">
        <v>20</v>
      </c>
      <c r="S46" s="144">
        <v>1</v>
      </c>
      <c r="T46" s="218">
        <v>1</v>
      </c>
      <c r="U46" s="176">
        <v>15</v>
      </c>
      <c r="V46" s="109" t="s">
        <v>1560</v>
      </c>
      <c r="W46" s="144" t="s">
        <v>1566</v>
      </c>
      <c r="X46" s="144" t="s">
        <v>1562</v>
      </c>
      <c r="Y46" s="144" t="s">
        <v>272</v>
      </c>
      <c r="Z46" s="144" t="s">
        <v>1227</v>
      </c>
      <c r="AA46" s="152"/>
      <c r="AB46" s="152"/>
      <c r="AC46" s="177" t="s">
        <v>1687</v>
      </c>
    </row>
    <row r="47" spans="1:32" s="104" customFormat="1" ht="29.1">
      <c r="A47" s="107" t="s">
        <v>1688</v>
      </c>
      <c r="B47" s="108"/>
      <c r="C47" s="108">
        <v>46099</v>
      </c>
      <c r="D47" s="108"/>
      <c r="E47" s="300"/>
      <c r="F47" s="144">
        <v>65</v>
      </c>
      <c r="G47" s="144">
        <v>890</v>
      </c>
      <c r="H47" s="144">
        <v>150</v>
      </c>
      <c r="I47" s="144">
        <v>80</v>
      </c>
      <c r="J47" s="145" t="s">
        <v>1675</v>
      </c>
      <c r="K47" s="207" t="s">
        <v>1676</v>
      </c>
      <c r="L47" s="147">
        <v>40</v>
      </c>
      <c r="M47" s="148">
        <v>150</v>
      </c>
      <c r="N47" s="148" t="s">
        <v>1559</v>
      </c>
      <c r="O47" s="149">
        <v>1</v>
      </c>
      <c r="P47" s="219">
        <v>0.15</v>
      </c>
      <c r="Q47" s="150" t="s">
        <v>1238</v>
      </c>
      <c r="R47" s="162">
        <v>20</v>
      </c>
      <c r="S47" s="144">
        <v>1</v>
      </c>
      <c r="T47" s="218">
        <v>1</v>
      </c>
      <c r="U47" s="176">
        <v>15</v>
      </c>
      <c r="V47" s="109" t="s">
        <v>1560</v>
      </c>
      <c r="W47" s="144" t="s">
        <v>1566</v>
      </c>
      <c r="X47" s="144" t="s">
        <v>1562</v>
      </c>
      <c r="Y47" s="144" t="s">
        <v>272</v>
      </c>
      <c r="Z47" s="144" t="s">
        <v>1227</v>
      </c>
      <c r="AA47" s="152"/>
      <c r="AB47" s="152"/>
      <c r="AC47" s="177" t="s">
        <v>212</v>
      </c>
    </row>
    <row r="48" spans="1:32" s="104" customFormat="1" ht="29.1">
      <c r="A48" s="107" t="s">
        <v>1689</v>
      </c>
      <c r="B48" s="108"/>
      <c r="C48" s="108">
        <v>46099</v>
      </c>
      <c r="D48" s="108"/>
      <c r="E48" s="300"/>
      <c r="F48" s="144">
        <v>65</v>
      </c>
      <c r="G48" s="144">
        <v>890</v>
      </c>
      <c r="H48" s="144">
        <v>150</v>
      </c>
      <c r="I48" s="144">
        <v>80</v>
      </c>
      <c r="J48" s="145" t="s">
        <v>1675</v>
      </c>
      <c r="K48" s="207" t="s">
        <v>1676</v>
      </c>
      <c r="L48" s="147">
        <v>40</v>
      </c>
      <c r="M48" s="148">
        <v>150</v>
      </c>
      <c r="N48" s="148" t="s">
        <v>1559</v>
      </c>
      <c r="O48" s="149">
        <v>1</v>
      </c>
      <c r="P48" s="219">
        <v>0.15</v>
      </c>
      <c r="Q48" s="150" t="s">
        <v>1238</v>
      </c>
      <c r="R48" s="162">
        <v>20</v>
      </c>
      <c r="S48" s="144">
        <v>1</v>
      </c>
      <c r="T48" s="172">
        <v>2</v>
      </c>
      <c r="U48" s="176">
        <v>15</v>
      </c>
      <c r="V48" s="109" t="s">
        <v>1560</v>
      </c>
      <c r="W48" s="144" t="s">
        <v>1566</v>
      </c>
      <c r="X48" s="144" t="s">
        <v>1562</v>
      </c>
      <c r="Y48" s="144" t="s">
        <v>272</v>
      </c>
      <c r="Z48" s="144" t="s">
        <v>1227</v>
      </c>
      <c r="AA48" s="152"/>
      <c r="AB48" s="152"/>
      <c r="AC48" s="177" t="s">
        <v>212</v>
      </c>
    </row>
    <row r="49" spans="1:30" s="105" customFormat="1" ht="29.1">
      <c r="A49" s="133" t="s">
        <v>1690</v>
      </c>
      <c r="B49" s="134"/>
      <c r="C49" s="134">
        <v>46100</v>
      </c>
      <c r="D49" s="134"/>
      <c r="E49" s="301"/>
      <c r="F49" s="153">
        <v>65</v>
      </c>
      <c r="G49" s="153">
        <v>890</v>
      </c>
      <c r="H49" s="153">
        <v>150</v>
      </c>
      <c r="I49" s="153">
        <v>80</v>
      </c>
      <c r="J49" s="154" t="s">
        <v>1675</v>
      </c>
      <c r="K49" s="224" t="s">
        <v>1691</v>
      </c>
      <c r="L49" s="156">
        <v>40</v>
      </c>
      <c r="M49" s="157">
        <v>150</v>
      </c>
      <c r="N49" s="157" t="s">
        <v>1559</v>
      </c>
      <c r="O49" s="158">
        <v>1</v>
      </c>
      <c r="P49" s="225">
        <v>0.5</v>
      </c>
      <c r="Q49" s="159" t="s">
        <v>1238</v>
      </c>
      <c r="R49" s="164">
        <v>20</v>
      </c>
      <c r="S49" s="153">
        <v>1</v>
      </c>
      <c r="T49" s="173">
        <v>2</v>
      </c>
      <c r="U49" s="181">
        <v>15</v>
      </c>
      <c r="V49" s="109" t="s">
        <v>1560</v>
      </c>
      <c r="W49" s="153" t="s">
        <v>1566</v>
      </c>
      <c r="X49" s="153" t="s">
        <v>1562</v>
      </c>
      <c r="Y49" s="153" t="s">
        <v>272</v>
      </c>
      <c r="Z49" s="153" t="s">
        <v>1227</v>
      </c>
      <c r="AA49" s="161"/>
      <c r="AB49" s="161"/>
      <c r="AC49" s="179" t="s">
        <v>212</v>
      </c>
    </row>
    <row r="50" spans="1:30" s="104" customFormat="1" ht="29.1">
      <c r="A50" s="107" t="s">
        <v>1692</v>
      </c>
      <c r="B50" s="108"/>
      <c r="C50" s="108">
        <v>46100</v>
      </c>
      <c r="D50" s="108"/>
      <c r="E50" s="300"/>
      <c r="F50" s="144">
        <v>65</v>
      </c>
      <c r="G50" s="144">
        <v>890</v>
      </c>
      <c r="H50" s="144">
        <v>150</v>
      </c>
      <c r="I50" s="144">
        <v>80</v>
      </c>
      <c r="J50" s="145" t="s">
        <v>1675</v>
      </c>
      <c r="K50" s="220" t="s">
        <v>1691</v>
      </c>
      <c r="L50" s="147">
        <v>40</v>
      </c>
      <c r="M50" s="148">
        <v>150</v>
      </c>
      <c r="N50" s="148" t="s">
        <v>1559</v>
      </c>
      <c r="O50" s="149">
        <v>2</v>
      </c>
      <c r="P50" s="208">
        <v>0.15</v>
      </c>
      <c r="Q50" s="150" t="s">
        <v>1238</v>
      </c>
      <c r="R50" s="162">
        <v>20</v>
      </c>
      <c r="S50" s="144">
        <v>1</v>
      </c>
      <c r="T50" s="144">
        <v>2</v>
      </c>
      <c r="U50" s="176">
        <v>15</v>
      </c>
      <c r="V50" s="109" t="s">
        <v>1560</v>
      </c>
      <c r="W50" s="144" t="s">
        <v>1566</v>
      </c>
      <c r="X50" s="144" t="s">
        <v>1562</v>
      </c>
      <c r="Y50" s="610" t="s">
        <v>272</v>
      </c>
      <c r="Z50" s="144" t="s">
        <v>1227</v>
      </c>
      <c r="AA50" s="152"/>
      <c r="AB50" s="152"/>
      <c r="AC50" s="177" t="s">
        <v>1693</v>
      </c>
      <c r="AD50" s="104" t="s">
        <v>1694</v>
      </c>
    </row>
    <row r="51" spans="1:30" s="104" customFormat="1" ht="29.1">
      <c r="A51" s="107" t="s">
        <v>1695</v>
      </c>
      <c r="B51" s="108"/>
      <c r="C51" s="108">
        <v>46100</v>
      </c>
      <c r="D51" s="108"/>
      <c r="E51" s="300"/>
      <c r="F51" s="144">
        <v>65</v>
      </c>
      <c r="G51" s="144">
        <v>890</v>
      </c>
      <c r="H51" s="144">
        <v>150</v>
      </c>
      <c r="I51" s="144">
        <v>80</v>
      </c>
      <c r="J51" s="145" t="s">
        <v>1675</v>
      </c>
      <c r="K51" s="220" t="s">
        <v>1691</v>
      </c>
      <c r="L51" s="147">
        <v>40</v>
      </c>
      <c r="M51" s="148">
        <v>150</v>
      </c>
      <c r="N51" s="148" t="s">
        <v>1559</v>
      </c>
      <c r="O51" s="149">
        <v>1</v>
      </c>
      <c r="P51" s="208">
        <v>0.15</v>
      </c>
      <c r="Q51" s="150" t="s">
        <v>1238</v>
      </c>
      <c r="R51" s="162">
        <v>20</v>
      </c>
      <c r="S51" s="144">
        <v>1</v>
      </c>
      <c r="T51" s="144">
        <v>2</v>
      </c>
      <c r="U51" s="176">
        <v>15</v>
      </c>
      <c r="V51" s="109" t="s">
        <v>1560</v>
      </c>
      <c r="W51" s="144" t="s">
        <v>1566</v>
      </c>
      <c r="X51" s="144" t="s">
        <v>1562</v>
      </c>
      <c r="Y51" s="144" t="s">
        <v>272</v>
      </c>
      <c r="Z51" s="144" t="s">
        <v>1227</v>
      </c>
      <c r="AA51" s="152"/>
      <c r="AB51" s="152"/>
      <c r="AC51" s="177" t="s">
        <v>1696</v>
      </c>
      <c r="AD51" s="104" t="s">
        <v>1697</v>
      </c>
    </row>
    <row r="52" spans="1:30" s="204" customFormat="1" ht="29.1">
      <c r="A52" s="133" t="s">
        <v>1698</v>
      </c>
      <c r="B52" s="134"/>
      <c r="C52" s="134">
        <v>46101</v>
      </c>
      <c r="D52" s="134"/>
      <c r="E52" s="301"/>
      <c r="F52" s="153">
        <v>65</v>
      </c>
      <c r="G52" s="153">
        <v>890</v>
      </c>
      <c r="H52" s="153">
        <v>150</v>
      </c>
      <c r="I52" s="153">
        <v>80</v>
      </c>
      <c r="J52" s="154" t="s">
        <v>1675</v>
      </c>
      <c r="K52" s="224" t="s">
        <v>1691</v>
      </c>
      <c r="L52" s="156">
        <v>40</v>
      </c>
      <c r="M52" s="157">
        <v>150</v>
      </c>
      <c r="N52" s="157" t="s">
        <v>1559</v>
      </c>
      <c r="O52" s="158">
        <v>1</v>
      </c>
      <c r="P52" s="209">
        <v>0.15</v>
      </c>
      <c r="Q52" s="159" t="s">
        <v>1238</v>
      </c>
      <c r="R52" s="164">
        <v>20</v>
      </c>
      <c r="S52" s="153">
        <v>1</v>
      </c>
      <c r="T52" s="153">
        <v>2</v>
      </c>
      <c r="U52" s="181">
        <v>15</v>
      </c>
      <c r="V52" s="109" t="s">
        <v>1560</v>
      </c>
      <c r="W52" s="153" t="s">
        <v>1566</v>
      </c>
      <c r="X52" s="153" t="s">
        <v>1562</v>
      </c>
      <c r="Y52" s="153" t="s">
        <v>1636</v>
      </c>
      <c r="Z52" s="153" t="s">
        <v>1227</v>
      </c>
      <c r="AA52" s="161"/>
      <c r="AB52" s="161"/>
      <c r="AC52" s="179" t="s">
        <v>1699</v>
      </c>
    </row>
    <row r="53" spans="1:30" s="104" customFormat="1" ht="29.1">
      <c r="A53" s="107" t="s">
        <v>1260</v>
      </c>
      <c r="B53" s="108"/>
      <c r="C53" s="108">
        <v>46102</v>
      </c>
      <c r="D53" s="108"/>
      <c r="E53" s="300"/>
      <c r="F53" s="144">
        <v>65</v>
      </c>
      <c r="G53" s="144">
        <v>890</v>
      </c>
      <c r="H53" s="144">
        <v>150</v>
      </c>
      <c r="I53" s="144">
        <v>80</v>
      </c>
      <c r="J53" s="146" t="s">
        <v>1700</v>
      </c>
      <c r="K53" s="146"/>
      <c r="L53" s="147">
        <v>40</v>
      </c>
      <c r="M53" s="148">
        <v>150</v>
      </c>
      <c r="N53" s="148" t="s">
        <v>1559</v>
      </c>
      <c r="O53" s="149">
        <v>1</v>
      </c>
      <c r="P53" s="150">
        <v>0</v>
      </c>
      <c r="Q53" s="150" t="s">
        <v>1238</v>
      </c>
      <c r="R53" s="162">
        <v>20</v>
      </c>
      <c r="S53" s="144">
        <v>1</v>
      </c>
      <c r="T53" s="144">
        <v>2</v>
      </c>
      <c r="U53" s="144">
        <v>15</v>
      </c>
      <c r="V53" s="109" t="s">
        <v>1560</v>
      </c>
      <c r="W53" s="144" t="s">
        <v>1566</v>
      </c>
      <c r="X53" s="144" t="s">
        <v>1562</v>
      </c>
      <c r="Y53" s="144" t="s">
        <v>272</v>
      </c>
      <c r="Z53" s="144" t="s">
        <v>1227</v>
      </c>
      <c r="AA53" s="152"/>
      <c r="AB53" s="152"/>
      <c r="AC53" s="229" t="s">
        <v>1701</v>
      </c>
      <c r="AD53" s="51" t="s">
        <v>1702</v>
      </c>
    </row>
    <row r="54" spans="1:30" s="104" customFormat="1" ht="29.1">
      <c r="A54" s="271" t="s">
        <v>1703</v>
      </c>
      <c r="B54" s="107" t="s">
        <v>1260</v>
      </c>
      <c r="C54" s="108">
        <v>46102</v>
      </c>
      <c r="D54" s="108"/>
      <c r="E54" s="521" t="s">
        <v>1704</v>
      </c>
      <c r="F54" s="144">
        <v>65</v>
      </c>
      <c r="G54" s="144">
        <v>890</v>
      </c>
      <c r="H54" s="144">
        <v>150</v>
      </c>
      <c r="I54" s="144">
        <v>80</v>
      </c>
      <c r="J54" s="146" t="s">
        <v>1705</v>
      </c>
      <c r="K54" s="146"/>
      <c r="L54" s="147">
        <v>40</v>
      </c>
      <c r="M54" s="148">
        <v>150</v>
      </c>
      <c r="N54" s="148" t="s">
        <v>1559</v>
      </c>
      <c r="O54" s="149">
        <v>1</v>
      </c>
      <c r="P54" s="150">
        <v>0</v>
      </c>
      <c r="Q54" s="150" t="s">
        <v>1238</v>
      </c>
      <c r="R54" s="162">
        <v>20</v>
      </c>
      <c r="S54" s="144">
        <v>1</v>
      </c>
      <c r="T54" s="144">
        <v>2</v>
      </c>
      <c r="U54" s="144">
        <v>15</v>
      </c>
      <c r="V54" s="109" t="s">
        <v>1560</v>
      </c>
      <c r="W54" s="144" t="s">
        <v>1566</v>
      </c>
      <c r="X54" s="144" t="s">
        <v>1562</v>
      </c>
      <c r="Y54" s="144" t="s">
        <v>272</v>
      </c>
      <c r="Z54" s="144" t="s">
        <v>1227</v>
      </c>
      <c r="AA54" s="152"/>
      <c r="AB54" s="152"/>
      <c r="AC54" s="163"/>
      <c r="AD54" s="51" t="s">
        <v>1706</v>
      </c>
    </row>
    <row r="55" spans="1:30" s="105" customFormat="1" ht="29.1">
      <c r="A55" s="133" t="s">
        <v>1707</v>
      </c>
      <c r="B55" s="107" t="s">
        <v>1260</v>
      </c>
      <c r="C55" s="134">
        <v>46102</v>
      </c>
      <c r="D55" s="108"/>
      <c r="E55" s="521" t="s">
        <v>1704</v>
      </c>
      <c r="F55" s="153">
        <v>65</v>
      </c>
      <c r="G55" s="153">
        <v>890</v>
      </c>
      <c r="H55" s="153">
        <v>150</v>
      </c>
      <c r="I55" s="153">
        <v>80</v>
      </c>
      <c r="J55" s="155" t="s">
        <v>1708</v>
      </c>
      <c r="K55" s="155"/>
      <c r="L55" s="156">
        <v>40</v>
      </c>
      <c r="M55" s="157">
        <v>150</v>
      </c>
      <c r="N55" s="157" t="s">
        <v>1559</v>
      </c>
      <c r="O55" s="158">
        <v>1</v>
      </c>
      <c r="P55" s="159">
        <v>0</v>
      </c>
      <c r="Q55" s="159" t="s">
        <v>1238</v>
      </c>
      <c r="R55" s="164">
        <v>20</v>
      </c>
      <c r="S55" s="153">
        <v>1</v>
      </c>
      <c r="T55" s="153">
        <v>2</v>
      </c>
      <c r="U55" s="153">
        <v>15</v>
      </c>
      <c r="V55" s="109" t="s">
        <v>1560</v>
      </c>
      <c r="W55" s="153" t="s">
        <v>1566</v>
      </c>
      <c r="X55" s="144" t="s">
        <v>1562</v>
      </c>
      <c r="Y55" s="153" t="s">
        <v>272</v>
      </c>
      <c r="Z55" s="153" t="s">
        <v>1227</v>
      </c>
      <c r="AA55" s="161"/>
      <c r="AB55" s="161"/>
      <c r="AC55" s="165"/>
      <c r="AD55" s="203" t="s">
        <v>1709</v>
      </c>
    </row>
    <row r="56" spans="1:30" s="243" customFormat="1" ht="29.1">
      <c r="A56" s="231" t="s">
        <v>1710</v>
      </c>
      <c r="B56" s="107" t="s">
        <v>1260</v>
      </c>
      <c r="C56" s="232">
        <v>46103</v>
      </c>
      <c r="D56" s="108"/>
      <c r="E56" s="521" t="s">
        <v>1711</v>
      </c>
      <c r="F56" s="233">
        <v>65</v>
      </c>
      <c r="G56" s="233">
        <v>890</v>
      </c>
      <c r="H56" s="233">
        <v>150</v>
      </c>
      <c r="I56" s="233">
        <v>80</v>
      </c>
      <c r="J56" s="234" t="s">
        <v>1700</v>
      </c>
      <c r="K56" s="234"/>
      <c r="L56" s="235">
        <v>40</v>
      </c>
      <c r="M56" s="236">
        <v>150</v>
      </c>
      <c r="N56" s="236" t="s">
        <v>1559</v>
      </c>
      <c r="O56" s="237">
        <v>1</v>
      </c>
      <c r="P56" s="238">
        <v>0</v>
      </c>
      <c r="Q56" s="238" t="s">
        <v>1238</v>
      </c>
      <c r="R56" s="239">
        <v>20</v>
      </c>
      <c r="S56" s="233">
        <v>1</v>
      </c>
      <c r="T56" s="240">
        <v>3</v>
      </c>
      <c r="U56" s="233">
        <v>15</v>
      </c>
      <c r="V56" s="109" t="s">
        <v>1560</v>
      </c>
      <c r="W56" s="233" t="s">
        <v>1566</v>
      </c>
      <c r="X56" s="153" t="s">
        <v>1562</v>
      </c>
      <c r="Y56" s="233" t="s">
        <v>272</v>
      </c>
      <c r="Z56" s="233" t="s">
        <v>1227</v>
      </c>
      <c r="AA56" s="241"/>
      <c r="AB56" s="241"/>
      <c r="AC56" s="242"/>
      <c r="AD56" s="248" t="s">
        <v>1712</v>
      </c>
    </row>
    <row r="57" spans="1:30" s="104" customFormat="1" ht="29.1">
      <c r="A57" s="107" t="s">
        <v>1713</v>
      </c>
      <c r="B57" s="107" t="s">
        <v>1260</v>
      </c>
      <c r="C57" s="108">
        <v>46103</v>
      </c>
      <c r="D57" s="108"/>
      <c r="E57" s="300" t="s">
        <v>1714</v>
      </c>
      <c r="F57" s="144">
        <v>65</v>
      </c>
      <c r="G57" s="144">
        <v>890</v>
      </c>
      <c r="H57" s="144">
        <v>150</v>
      </c>
      <c r="I57" s="172" t="s">
        <v>1715</v>
      </c>
      <c r="J57" s="146" t="s">
        <v>1705</v>
      </c>
      <c r="K57" s="146"/>
      <c r="L57" s="147">
        <v>40</v>
      </c>
      <c r="M57" s="148">
        <v>150</v>
      </c>
      <c r="N57" s="148" t="s">
        <v>1559</v>
      </c>
      <c r="O57" s="149">
        <v>1</v>
      </c>
      <c r="P57" s="150">
        <v>0</v>
      </c>
      <c r="Q57" s="150" t="s">
        <v>1238</v>
      </c>
      <c r="R57" s="162">
        <v>20</v>
      </c>
      <c r="S57" s="144">
        <v>1</v>
      </c>
      <c r="T57" s="144">
        <v>2</v>
      </c>
      <c r="U57" s="144">
        <v>15</v>
      </c>
      <c r="V57" s="109" t="s">
        <v>1560</v>
      </c>
      <c r="W57" s="144" t="s">
        <v>1566</v>
      </c>
      <c r="X57" s="144" t="s">
        <v>1562</v>
      </c>
      <c r="Y57" s="144" t="s">
        <v>272</v>
      </c>
      <c r="Z57" s="144" t="s">
        <v>1227</v>
      </c>
      <c r="AA57" s="152"/>
      <c r="AB57" s="152"/>
      <c r="AC57" s="163" t="s">
        <v>1716</v>
      </c>
      <c r="AD57" s="51" t="s">
        <v>1717</v>
      </c>
    </row>
    <row r="58" spans="1:30" s="105" customFormat="1" ht="43.5">
      <c r="A58" s="133" t="s">
        <v>1718</v>
      </c>
      <c r="B58" s="133" t="s">
        <v>1713</v>
      </c>
      <c r="C58" s="134">
        <v>46103</v>
      </c>
      <c r="D58" s="134"/>
      <c r="E58" s="301" t="s">
        <v>1719</v>
      </c>
      <c r="F58" s="153">
        <v>65</v>
      </c>
      <c r="G58" s="153">
        <v>890</v>
      </c>
      <c r="H58" s="153">
        <v>150</v>
      </c>
      <c r="I58" s="181" t="s">
        <v>1715</v>
      </c>
      <c r="J58" s="155" t="s">
        <v>1708</v>
      </c>
      <c r="K58" s="155"/>
      <c r="L58" s="156">
        <v>40</v>
      </c>
      <c r="M58" s="157">
        <v>150</v>
      </c>
      <c r="N58" s="157" t="s">
        <v>1559</v>
      </c>
      <c r="O58" s="158">
        <v>1</v>
      </c>
      <c r="P58" s="159">
        <v>0</v>
      </c>
      <c r="Q58" s="159" t="s">
        <v>1238</v>
      </c>
      <c r="R58" s="164">
        <v>20</v>
      </c>
      <c r="S58" s="153">
        <v>1</v>
      </c>
      <c r="T58" s="153">
        <v>2</v>
      </c>
      <c r="U58" s="173">
        <v>20</v>
      </c>
      <c r="V58" s="109" t="s">
        <v>1560</v>
      </c>
      <c r="W58" s="153" t="s">
        <v>1566</v>
      </c>
      <c r="X58" s="153" t="s">
        <v>1562</v>
      </c>
      <c r="Y58" s="153" t="s">
        <v>272</v>
      </c>
      <c r="Z58" s="153" t="s">
        <v>1227</v>
      </c>
      <c r="AA58" s="161"/>
      <c r="AB58" s="161"/>
      <c r="AC58" s="165" t="s">
        <v>1720</v>
      </c>
      <c r="AD58" s="203" t="s">
        <v>1721</v>
      </c>
    </row>
    <row r="59" spans="1:30" s="104" customFormat="1" ht="29.1">
      <c r="A59" s="107" t="s">
        <v>1722</v>
      </c>
      <c r="B59" s="107" t="s">
        <v>1713</v>
      </c>
      <c r="C59" s="108">
        <v>46104</v>
      </c>
      <c r="D59" s="108"/>
      <c r="E59" s="300" t="s">
        <v>1723</v>
      </c>
      <c r="F59" s="144">
        <v>65</v>
      </c>
      <c r="G59" s="144">
        <v>890</v>
      </c>
      <c r="H59" s="144">
        <v>150</v>
      </c>
      <c r="I59" s="176" t="s">
        <v>1715</v>
      </c>
      <c r="J59" s="146" t="s">
        <v>1724</v>
      </c>
      <c r="K59" s="146"/>
      <c r="L59" s="147">
        <v>40</v>
      </c>
      <c r="M59" s="148">
        <v>150</v>
      </c>
      <c r="N59" s="148" t="s">
        <v>1559</v>
      </c>
      <c r="O59" s="149">
        <v>1</v>
      </c>
      <c r="P59" s="150">
        <v>0</v>
      </c>
      <c r="Q59" s="150" t="s">
        <v>1238</v>
      </c>
      <c r="R59" s="162">
        <v>20</v>
      </c>
      <c r="S59" s="144">
        <v>1</v>
      </c>
      <c r="T59" s="144">
        <v>2</v>
      </c>
      <c r="U59" s="176">
        <v>15</v>
      </c>
      <c r="V59" s="109" t="s">
        <v>1560</v>
      </c>
      <c r="W59" s="172" t="s">
        <v>1725</v>
      </c>
      <c r="X59" s="144" t="s">
        <v>1562</v>
      </c>
      <c r="Y59" s="144" t="s">
        <v>272</v>
      </c>
      <c r="Z59" s="144" t="s">
        <v>1227</v>
      </c>
      <c r="AA59" s="152"/>
      <c r="AB59" s="152"/>
      <c r="AC59" s="163" t="s">
        <v>1716</v>
      </c>
      <c r="AD59" s="51" t="s">
        <v>1726</v>
      </c>
    </row>
    <row r="60" spans="1:30" s="104" customFormat="1" ht="43.5">
      <c r="A60" s="268" t="s">
        <v>1727</v>
      </c>
      <c r="B60" s="107" t="s">
        <v>1722</v>
      </c>
      <c r="C60" s="108">
        <v>46104</v>
      </c>
      <c r="D60" s="108"/>
      <c r="E60" s="300" t="s">
        <v>1728</v>
      </c>
      <c r="F60" s="144">
        <v>65</v>
      </c>
      <c r="G60" s="144">
        <v>890</v>
      </c>
      <c r="H60" s="144">
        <v>150</v>
      </c>
      <c r="I60" s="176" t="s">
        <v>1715</v>
      </c>
      <c r="J60" s="146" t="s">
        <v>1729</v>
      </c>
      <c r="K60" s="146"/>
      <c r="L60" s="244" t="s">
        <v>1236</v>
      </c>
      <c r="M60" s="148">
        <v>150</v>
      </c>
      <c r="N60" s="148" t="s">
        <v>1559</v>
      </c>
      <c r="O60" s="149">
        <v>1</v>
      </c>
      <c r="P60" s="150">
        <v>0</v>
      </c>
      <c r="Q60" s="150" t="s">
        <v>1238</v>
      </c>
      <c r="R60" s="162">
        <v>20</v>
      </c>
      <c r="S60" s="144">
        <v>1</v>
      </c>
      <c r="T60" s="144">
        <v>2</v>
      </c>
      <c r="U60" s="176">
        <v>15</v>
      </c>
      <c r="V60" s="109" t="s">
        <v>1560</v>
      </c>
      <c r="W60" s="144" t="s">
        <v>1725</v>
      </c>
      <c r="X60" s="144" t="s">
        <v>1562</v>
      </c>
      <c r="Y60" s="144" t="s">
        <v>272</v>
      </c>
      <c r="Z60" s="144" t="s">
        <v>1227</v>
      </c>
      <c r="AA60" s="152"/>
      <c r="AB60" s="152"/>
      <c r="AC60" s="163" t="s">
        <v>1730</v>
      </c>
      <c r="AD60" s="51" t="s">
        <v>1731</v>
      </c>
    </row>
    <row r="61" spans="1:30" s="105" customFormat="1" ht="29.1">
      <c r="A61" s="133" t="s">
        <v>1732</v>
      </c>
      <c r="B61" s="133" t="s">
        <v>1722</v>
      </c>
      <c r="C61" s="134">
        <v>46104</v>
      </c>
      <c r="D61" s="134"/>
      <c r="E61" s="301" t="s">
        <v>1733</v>
      </c>
      <c r="F61" s="153">
        <v>65</v>
      </c>
      <c r="G61" s="153">
        <v>890</v>
      </c>
      <c r="H61" s="153">
        <v>150</v>
      </c>
      <c r="I61" s="181" t="s">
        <v>1715</v>
      </c>
      <c r="J61" s="155" t="s">
        <v>1734</v>
      </c>
      <c r="K61" s="155"/>
      <c r="L61" s="247">
        <v>40</v>
      </c>
      <c r="M61" s="157">
        <v>150</v>
      </c>
      <c r="N61" s="157" t="s">
        <v>1559</v>
      </c>
      <c r="O61" s="158">
        <v>1</v>
      </c>
      <c r="P61" s="159">
        <v>0</v>
      </c>
      <c r="Q61" s="159" t="s">
        <v>1238</v>
      </c>
      <c r="R61" s="164">
        <v>20</v>
      </c>
      <c r="S61" s="153">
        <v>1</v>
      </c>
      <c r="T61" s="153">
        <v>2</v>
      </c>
      <c r="U61" s="181">
        <v>15</v>
      </c>
      <c r="V61" s="109" t="s">
        <v>1560</v>
      </c>
      <c r="W61" s="173" t="s">
        <v>1735</v>
      </c>
      <c r="X61" s="153" t="s">
        <v>1562</v>
      </c>
      <c r="Y61" s="153" t="s">
        <v>272</v>
      </c>
      <c r="Z61" s="153" t="s">
        <v>1227</v>
      </c>
      <c r="AA61" s="161"/>
      <c r="AB61" s="161"/>
      <c r="AC61" s="165"/>
      <c r="AD61" s="203" t="s">
        <v>1736</v>
      </c>
    </row>
    <row r="62" spans="1:30" s="104" customFormat="1" ht="29.1">
      <c r="A62" s="107" t="s">
        <v>1737</v>
      </c>
      <c r="B62" s="107" t="s">
        <v>1722</v>
      </c>
      <c r="C62" s="108">
        <v>46105</v>
      </c>
      <c r="D62" s="108"/>
      <c r="E62" s="300" t="s">
        <v>1738</v>
      </c>
      <c r="F62" s="144">
        <v>65</v>
      </c>
      <c r="G62" s="144">
        <v>890</v>
      </c>
      <c r="H62" s="144">
        <v>150</v>
      </c>
      <c r="I62" s="176" t="s">
        <v>1715</v>
      </c>
      <c r="J62" s="146" t="s">
        <v>1739</v>
      </c>
      <c r="K62" s="146"/>
      <c r="L62" s="246" t="s">
        <v>1236</v>
      </c>
      <c r="M62" s="148">
        <v>150</v>
      </c>
      <c r="N62" s="148" t="s">
        <v>1559</v>
      </c>
      <c r="O62" s="149">
        <v>1</v>
      </c>
      <c r="P62" s="150">
        <v>0</v>
      </c>
      <c r="Q62" s="150" t="s">
        <v>1238</v>
      </c>
      <c r="R62" s="151">
        <v>30</v>
      </c>
      <c r="S62" s="172">
        <v>3</v>
      </c>
      <c r="T62" s="144">
        <v>2</v>
      </c>
      <c r="U62" s="176">
        <v>15</v>
      </c>
      <c r="V62" s="109" t="s">
        <v>1560</v>
      </c>
      <c r="W62" s="144" t="s">
        <v>1725</v>
      </c>
      <c r="X62" s="144" t="s">
        <v>1562</v>
      </c>
      <c r="Y62" s="144" t="s">
        <v>272</v>
      </c>
      <c r="Z62" s="144" t="s">
        <v>1227</v>
      </c>
      <c r="AA62" s="152"/>
      <c r="AB62" s="152"/>
      <c r="AC62" s="163"/>
      <c r="AD62" s="51" t="s">
        <v>1740</v>
      </c>
    </row>
    <row r="63" spans="1:30" s="104" customFormat="1" ht="29.1">
      <c r="A63" s="107" t="s">
        <v>1741</v>
      </c>
      <c r="B63" s="107" t="s">
        <v>1737</v>
      </c>
      <c r="C63" s="108">
        <v>46105</v>
      </c>
      <c r="D63" s="108"/>
      <c r="E63" s="300" t="s">
        <v>1742</v>
      </c>
      <c r="F63" s="144">
        <v>65</v>
      </c>
      <c r="G63" s="144">
        <v>890</v>
      </c>
      <c r="H63" s="144">
        <v>150</v>
      </c>
      <c r="I63" s="176" t="s">
        <v>1715</v>
      </c>
      <c r="J63" s="146" t="s">
        <v>1739</v>
      </c>
      <c r="K63" s="146"/>
      <c r="L63" s="246" t="s">
        <v>1236</v>
      </c>
      <c r="M63" s="148">
        <v>150</v>
      </c>
      <c r="N63" s="148" t="s">
        <v>1559</v>
      </c>
      <c r="O63" s="149">
        <v>1</v>
      </c>
      <c r="P63" s="150">
        <v>0</v>
      </c>
      <c r="Q63" s="150" t="s">
        <v>1238</v>
      </c>
      <c r="R63" s="151">
        <v>10</v>
      </c>
      <c r="S63" s="172">
        <v>5</v>
      </c>
      <c r="T63" s="144">
        <v>2</v>
      </c>
      <c r="U63" s="176">
        <v>15</v>
      </c>
      <c r="V63" s="109" t="s">
        <v>1560</v>
      </c>
      <c r="W63" s="144" t="s">
        <v>1725</v>
      </c>
      <c r="X63" s="144" t="s">
        <v>1562</v>
      </c>
      <c r="Y63" s="144" t="s">
        <v>272</v>
      </c>
      <c r="Z63" s="144" t="s">
        <v>1227</v>
      </c>
      <c r="AA63" s="152"/>
      <c r="AB63" s="152"/>
      <c r="AC63" s="163"/>
      <c r="AD63" s="51" t="s">
        <v>1743</v>
      </c>
    </row>
    <row r="64" spans="1:30" s="104" customFormat="1" ht="29.1">
      <c r="A64" s="268" t="s">
        <v>1744</v>
      </c>
      <c r="B64" s="107" t="s">
        <v>1727</v>
      </c>
      <c r="C64" s="108">
        <v>46105</v>
      </c>
      <c r="D64" s="108"/>
      <c r="E64" s="300"/>
      <c r="F64" s="144">
        <v>65</v>
      </c>
      <c r="G64" s="144">
        <v>890</v>
      </c>
      <c r="H64" s="144">
        <v>150</v>
      </c>
      <c r="I64" s="176" t="s">
        <v>1715</v>
      </c>
      <c r="J64" s="146" t="s">
        <v>1739</v>
      </c>
      <c r="K64" s="146"/>
      <c r="L64" s="246" t="s">
        <v>1236</v>
      </c>
      <c r="M64" s="148">
        <v>150</v>
      </c>
      <c r="N64" s="148" t="s">
        <v>1559</v>
      </c>
      <c r="O64" s="249">
        <v>2</v>
      </c>
      <c r="P64" s="150">
        <v>0</v>
      </c>
      <c r="Q64" s="150" t="s">
        <v>1238</v>
      </c>
      <c r="R64" s="162">
        <v>20</v>
      </c>
      <c r="S64" s="144">
        <v>1</v>
      </c>
      <c r="T64" s="144">
        <v>2</v>
      </c>
      <c r="U64" s="176">
        <v>15</v>
      </c>
      <c r="V64" s="109" t="s">
        <v>1560</v>
      </c>
      <c r="W64" s="144" t="s">
        <v>1725</v>
      </c>
      <c r="X64" s="144" t="s">
        <v>1562</v>
      </c>
      <c r="Y64" s="144" t="s">
        <v>272</v>
      </c>
      <c r="Z64" s="144" t="s">
        <v>1227</v>
      </c>
      <c r="AA64" s="152"/>
      <c r="AB64" s="152"/>
      <c r="AC64" s="163"/>
      <c r="AD64" s="51" t="s">
        <v>1745</v>
      </c>
    </row>
    <row r="65" spans="1:31" s="104" customFormat="1" ht="29.1">
      <c r="A65" s="269" t="s">
        <v>1746</v>
      </c>
      <c r="B65" s="108" t="s">
        <v>1727</v>
      </c>
      <c r="C65" s="108">
        <v>46105</v>
      </c>
      <c r="D65" s="108"/>
      <c r="E65" s="300" t="s">
        <v>1747</v>
      </c>
      <c r="F65" s="144">
        <v>65</v>
      </c>
      <c r="G65" s="144">
        <v>890</v>
      </c>
      <c r="H65" s="144">
        <v>150</v>
      </c>
      <c r="I65" s="176" t="s">
        <v>1715</v>
      </c>
      <c r="J65" s="146" t="s">
        <v>1739</v>
      </c>
      <c r="K65" s="146"/>
      <c r="L65" s="246" t="s">
        <v>1236</v>
      </c>
      <c r="M65" s="148">
        <v>150</v>
      </c>
      <c r="N65" s="148" t="s">
        <v>1559</v>
      </c>
      <c r="O65" s="149">
        <v>1</v>
      </c>
      <c r="P65" s="150">
        <v>0</v>
      </c>
      <c r="Q65" s="150" t="s">
        <v>1238</v>
      </c>
      <c r="R65" s="162">
        <v>20</v>
      </c>
      <c r="S65" s="144">
        <v>1</v>
      </c>
      <c r="T65" s="144">
        <v>2</v>
      </c>
      <c r="U65" s="176">
        <v>15</v>
      </c>
      <c r="V65" s="109" t="s">
        <v>1560</v>
      </c>
      <c r="W65" s="144" t="s">
        <v>1725</v>
      </c>
      <c r="X65" s="144" t="s">
        <v>1562</v>
      </c>
      <c r="Y65" s="144" t="s">
        <v>272</v>
      </c>
      <c r="Z65" s="144" t="s">
        <v>1227</v>
      </c>
      <c r="AA65" s="152"/>
      <c r="AB65" s="152"/>
      <c r="AC65" s="163" t="s">
        <v>1748</v>
      </c>
      <c r="AD65" s="51" t="s">
        <v>1749</v>
      </c>
      <c r="AE65" s="104" t="s">
        <v>1750</v>
      </c>
    </row>
    <row r="66" spans="1:31" s="104" customFormat="1" ht="29.1">
      <c r="A66" s="269" t="s">
        <v>1751</v>
      </c>
      <c r="B66" s="108" t="s">
        <v>1727</v>
      </c>
      <c r="C66" s="108">
        <v>46106</v>
      </c>
      <c r="D66" s="108"/>
      <c r="E66" s="300" t="s">
        <v>1747</v>
      </c>
      <c r="F66" s="144">
        <v>65</v>
      </c>
      <c r="G66" s="144">
        <v>890</v>
      </c>
      <c r="H66" s="144">
        <v>150</v>
      </c>
      <c r="I66" s="176" t="s">
        <v>1715</v>
      </c>
      <c r="J66" s="264" t="s">
        <v>1752</v>
      </c>
      <c r="K66" s="146"/>
      <c r="L66" s="246" t="s">
        <v>1236</v>
      </c>
      <c r="M66" s="148">
        <v>150</v>
      </c>
      <c r="N66" s="148" t="s">
        <v>1559</v>
      </c>
      <c r="O66" s="149">
        <v>1</v>
      </c>
      <c r="P66" s="150">
        <v>0</v>
      </c>
      <c r="Q66" s="150" t="s">
        <v>1238</v>
      </c>
      <c r="R66" s="162">
        <v>20</v>
      </c>
      <c r="S66" s="144">
        <v>1</v>
      </c>
      <c r="T66" s="144">
        <v>2</v>
      </c>
      <c r="U66" s="176">
        <v>15</v>
      </c>
      <c r="V66" s="109" t="s">
        <v>1560</v>
      </c>
      <c r="W66" s="144" t="s">
        <v>1725</v>
      </c>
      <c r="X66" s="144" t="s">
        <v>1562</v>
      </c>
      <c r="Y66" s="144" t="s">
        <v>1753</v>
      </c>
      <c r="Z66" s="144" t="s">
        <v>1227</v>
      </c>
      <c r="AA66" s="152"/>
      <c r="AB66" s="152"/>
      <c r="AC66" s="611" t="s">
        <v>1754</v>
      </c>
      <c r="AE66" s="104" t="s">
        <v>1750</v>
      </c>
    </row>
    <row r="67" spans="1:31" s="104" customFormat="1" ht="29.1">
      <c r="A67" s="269" t="s">
        <v>1755</v>
      </c>
      <c r="B67" s="108" t="s">
        <v>1727</v>
      </c>
      <c r="C67" s="108">
        <v>46106</v>
      </c>
      <c r="D67" s="108"/>
      <c r="E67" s="300" t="s">
        <v>1747</v>
      </c>
      <c r="F67" s="144">
        <v>65</v>
      </c>
      <c r="G67" s="144">
        <v>890</v>
      </c>
      <c r="H67" s="144">
        <v>150</v>
      </c>
      <c r="I67" s="176" t="s">
        <v>1715</v>
      </c>
      <c r="J67" s="146" t="s">
        <v>1705</v>
      </c>
      <c r="K67" s="146"/>
      <c r="L67" s="246" t="s">
        <v>1236</v>
      </c>
      <c r="M67" s="148">
        <v>150</v>
      </c>
      <c r="N67" s="148" t="s">
        <v>1559</v>
      </c>
      <c r="O67" s="149">
        <v>1</v>
      </c>
      <c r="P67" s="150">
        <v>0</v>
      </c>
      <c r="Q67" s="150" t="s">
        <v>1238</v>
      </c>
      <c r="R67" s="162">
        <v>20</v>
      </c>
      <c r="S67" s="144">
        <v>1</v>
      </c>
      <c r="T67" s="144">
        <v>2</v>
      </c>
      <c r="U67" s="176">
        <v>15</v>
      </c>
      <c r="V67" s="109" t="s">
        <v>1560</v>
      </c>
      <c r="W67" s="144" t="s">
        <v>1725</v>
      </c>
      <c r="X67" s="144" t="s">
        <v>1562</v>
      </c>
      <c r="Y67" s="144" t="s">
        <v>272</v>
      </c>
      <c r="Z67" s="144" t="s">
        <v>1227</v>
      </c>
      <c r="AA67" s="152"/>
      <c r="AB67" s="152"/>
      <c r="AC67" s="163" t="s">
        <v>1748</v>
      </c>
      <c r="AE67" s="104" t="s">
        <v>1750</v>
      </c>
    </row>
    <row r="68" spans="1:31" s="104" customFormat="1" ht="29.1">
      <c r="A68" s="107" t="s">
        <v>1756</v>
      </c>
      <c r="B68" s="108" t="s">
        <v>1727</v>
      </c>
      <c r="C68" s="108">
        <v>46108</v>
      </c>
      <c r="D68" s="108"/>
      <c r="E68" s="300" t="s">
        <v>1747</v>
      </c>
      <c r="F68" s="144">
        <v>65</v>
      </c>
      <c r="G68" s="144">
        <v>890</v>
      </c>
      <c r="H68" s="144">
        <v>150</v>
      </c>
      <c r="I68" s="176" t="s">
        <v>1715</v>
      </c>
      <c r="J68" s="146" t="s">
        <v>1708</v>
      </c>
      <c r="K68" s="146"/>
      <c r="L68" s="246" t="s">
        <v>1236</v>
      </c>
      <c r="M68" s="148">
        <v>150</v>
      </c>
      <c r="N68" s="148" t="s">
        <v>1559</v>
      </c>
      <c r="O68" s="149">
        <v>1</v>
      </c>
      <c r="P68" s="150">
        <v>0</v>
      </c>
      <c r="Q68" s="150" t="s">
        <v>1238</v>
      </c>
      <c r="R68" s="162">
        <v>20</v>
      </c>
      <c r="S68" s="144">
        <v>1</v>
      </c>
      <c r="T68" s="144">
        <v>2</v>
      </c>
      <c r="U68" s="176">
        <v>15</v>
      </c>
      <c r="V68" s="109" t="s">
        <v>1560</v>
      </c>
      <c r="W68" s="144" t="s">
        <v>1725</v>
      </c>
      <c r="X68" s="144" t="s">
        <v>1562</v>
      </c>
      <c r="Y68" s="144" t="s">
        <v>272</v>
      </c>
      <c r="Z68" s="144" t="s">
        <v>1227</v>
      </c>
      <c r="AA68" s="152"/>
      <c r="AB68" s="152"/>
      <c r="AC68" s="611" t="s">
        <v>1757</v>
      </c>
      <c r="AD68" s="51" t="s">
        <v>1758</v>
      </c>
    </row>
    <row r="69" spans="1:31" s="104" customFormat="1" ht="29.1">
      <c r="A69" s="516" t="s">
        <v>1759</v>
      </c>
      <c r="B69" s="108" t="s">
        <v>1727</v>
      </c>
      <c r="C69" s="108">
        <v>46108</v>
      </c>
      <c r="D69" s="108"/>
      <c r="E69" s="300" t="s">
        <v>1747</v>
      </c>
      <c r="F69" s="144">
        <v>65</v>
      </c>
      <c r="G69" s="144">
        <v>890</v>
      </c>
      <c r="H69" s="144">
        <v>150</v>
      </c>
      <c r="I69" s="176" t="s">
        <v>1715</v>
      </c>
      <c r="J69" s="146" t="s">
        <v>1724</v>
      </c>
      <c r="K69" s="146"/>
      <c r="L69" s="246" t="s">
        <v>1236</v>
      </c>
      <c r="M69" s="148">
        <v>150</v>
      </c>
      <c r="N69" s="148" t="s">
        <v>1559</v>
      </c>
      <c r="O69" s="149">
        <v>1</v>
      </c>
      <c r="P69" s="150">
        <v>0</v>
      </c>
      <c r="Q69" s="150" t="s">
        <v>1238</v>
      </c>
      <c r="R69" s="162">
        <v>20</v>
      </c>
      <c r="S69" s="144">
        <v>1</v>
      </c>
      <c r="T69" s="144">
        <v>2</v>
      </c>
      <c r="U69" s="176">
        <v>15</v>
      </c>
      <c r="V69" s="109" t="s">
        <v>1560</v>
      </c>
      <c r="W69" s="144" t="s">
        <v>1725</v>
      </c>
      <c r="X69" s="144" t="s">
        <v>1562</v>
      </c>
      <c r="Y69" s="144" t="s">
        <v>272</v>
      </c>
      <c r="Z69" s="144" t="s">
        <v>1227</v>
      </c>
      <c r="AA69" s="152"/>
      <c r="AB69" s="152"/>
      <c r="AC69" s="611" t="s">
        <v>1760</v>
      </c>
      <c r="AD69" s="51" t="s">
        <v>1761</v>
      </c>
    </row>
    <row r="70" spans="1:31" s="104" customFormat="1" ht="29.1">
      <c r="A70" s="516" t="s">
        <v>1762</v>
      </c>
      <c r="B70" s="108" t="s">
        <v>1727</v>
      </c>
      <c r="C70" s="108">
        <v>46109</v>
      </c>
      <c r="D70" s="108"/>
      <c r="E70" s="300" t="s">
        <v>1747</v>
      </c>
      <c r="F70" s="144">
        <v>65</v>
      </c>
      <c r="G70" s="144">
        <v>890</v>
      </c>
      <c r="H70" s="144">
        <v>150</v>
      </c>
      <c r="I70" s="176" t="s">
        <v>1715</v>
      </c>
      <c r="J70" s="146" t="s">
        <v>1724</v>
      </c>
      <c r="K70" s="146"/>
      <c r="L70" s="246" t="s">
        <v>1236</v>
      </c>
      <c r="M70" s="148">
        <v>150</v>
      </c>
      <c r="N70" s="148" t="s">
        <v>1559</v>
      </c>
      <c r="O70" s="149">
        <v>1</v>
      </c>
      <c r="P70" s="150">
        <v>0</v>
      </c>
      <c r="Q70" s="150" t="s">
        <v>1238</v>
      </c>
      <c r="R70" s="162">
        <v>20</v>
      </c>
      <c r="S70" s="144">
        <v>1</v>
      </c>
      <c r="T70" s="144">
        <v>2</v>
      </c>
      <c r="U70" s="176">
        <v>15</v>
      </c>
      <c r="V70" s="109" t="s">
        <v>1560</v>
      </c>
      <c r="W70" s="144" t="s">
        <v>1725</v>
      </c>
      <c r="X70" s="144" t="s">
        <v>1562</v>
      </c>
      <c r="Y70" s="144" t="s">
        <v>272</v>
      </c>
      <c r="Z70" s="144" t="s">
        <v>1227</v>
      </c>
      <c r="AA70" s="152"/>
      <c r="AB70" s="152"/>
      <c r="AC70" s="611" t="s">
        <v>1763</v>
      </c>
      <c r="AD70" s="51" t="s">
        <v>1764</v>
      </c>
    </row>
    <row r="71" spans="1:31" s="104" customFormat="1" ht="29.1">
      <c r="A71" s="516" t="s">
        <v>1765</v>
      </c>
      <c r="B71" s="108" t="s">
        <v>1762</v>
      </c>
      <c r="C71" s="108">
        <v>46111</v>
      </c>
      <c r="D71" s="108"/>
      <c r="E71" s="300" t="s">
        <v>1766</v>
      </c>
      <c r="F71" s="144">
        <v>65</v>
      </c>
      <c r="G71" s="144">
        <v>890</v>
      </c>
      <c r="H71" s="144">
        <v>150</v>
      </c>
      <c r="I71" s="176" t="s">
        <v>1715</v>
      </c>
      <c r="J71" s="146" t="s">
        <v>1724</v>
      </c>
      <c r="K71" s="146"/>
      <c r="L71" s="246" t="s">
        <v>1236</v>
      </c>
      <c r="M71" s="148">
        <v>150</v>
      </c>
      <c r="N71" s="148" t="s">
        <v>1559</v>
      </c>
      <c r="O71" s="149">
        <v>1</v>
      </c>
      <c r="P71" s="150">
        <v>0</v>
      </c>
      <c r="Q71" s="150" t="s">
        <v>1238</v>
      </c>
      <c r="R71" s="151">
        <v>30</v>
      </c>
      <c r="S71" s="144">
        <v>1</v>
      </c>
      <c r="T71" s="144">
        <v>2</v>
      </c>
      <c r="U71" s="176">
        <v>15</v>
      </c>
      <c r="V71" s="109" t="s">
        <v>1560</v>
      </c>
      <c r="W71" s="144" t="s">
        <v>1725</v>
      </c>
      <c r="X71" s="144" t="s">
        <v>1562</v>
      </c>
      <c r="Y71" s="144" t="s">
        <v>272</v>
      </c>
      <c r="Z71" s="144" t="s">
        <v>1227</v>
      </c>
      <c r="AA71" s="152"/>
      <c r="AB71" s="152"/>
      <c r="AC71" s="51" t="s">
        <v>1767</v>
      </c>
      <c r="AD71" s="51" t="s">
        <v>1767</v>
      </c>
    </row>
    <row r="72" spans="1:31" s="104" customFormat="1" ht="29.1">
      <c r="A72" s="516" t="s">
        <v>1768</v>
      </c>
      <c r="B72" s="108" t="s">
        <v>1762</v>
      </c>
      <c r="C72" s="108">
        <v>46111</v>
      </c>
      <c r="D72" s="108"/>
      <c r="E72" s="300" t="s">
        <v>1766</v>
      </c>
      <c r="F72" s="144">
        <v>65</v>
      </c>
      <c r="G72" s="144">
        <v>890</v>
      </c>
      <c r="H72" s="144">
        <v>150</v>
      </c>
      <c r="I72" s="176" t="s">
        <v>1715</v>
      </c>
      <c r="J72" s="146" t="s">
        <v>1724</v>
      </c>
      <c r="K72" s="146"/>
      <c r="L72" s="246" t="s">
        <v>1236</v>
      </c>
      <c r="M72" s="148">
        <v>150</v>
      </c>
      <c r="N72" s="148" t="s">
        <v>1559</v>
      </c>
      <c r="O72" s="149">
        <v>1</v>
      </c>
      <c r="P72" s="150">
        <v>0</v>
      </c>
      <c r="Q72" s="150" t="s">
        <v>1238</v>
      </c>
      <c r="R72" s="151">
        <v>10</v>
      </c>
      <c r="S72" s="144">
        <v>1</v>
      </c>
      <c r="T72" s="144">
        <v>2</v>
      </c>
      <c r="U72" s="176">
        <v>15</v>
      </c>
      <c r="V72" s="109" t="s">
        <v>1560</v>
      </c>
      <c r="W72" s="144" t="s">
        <v>1725</v>
      </c>
      <c r="X72" s="144" t="s">
        <v>1562</v>
      </c>
      <c r="Y72" s="144" t="s">
        <v>272</v>
      </c>
      <c r="Z72" s="144" t="s">
        <v>1227</v>
      </c>
      <c r="AA72" s="152"/>
      <c r="AB72" s="152"/>
      <c r="AC72" s="104" t="s">
        <v>1769</v>
      </c>
      <c r="AD72" s="104" t="s">
        <v>1769</v>
      </c>
    </row>
    <row r="73" spans="1:31" s="104" customFormat="1" ht="29.1">
      <c r="A73" s="516" t="s">
        <v>1770</v>
      </c>
      <c r="B73" s="108" t="s">
        <v>1765</v>
      </c>
      <c r="C73" s="108">
        <v>46112</v>
      </c>
      <c r="D73" s="108"/>
      <c r="E73" s="300" t="s">
        <v>1771</v>
      </c>
      <c r="F73" s="144">
        <v>65</v>
      </c>
      <c r="G73" s="144">
        <v>890</v>
      </c>
      <c r="H73" s="144">
        <v>150</v>
      </c>
      <c r="I73" s="176" t="s">
        <v>1715</v>
      </c>
      <c r="J73" s="146" t="s">
        <v>1724</v>
      </c>
      <c r="K73" s="146"/>
      <c r="L73" s="246" t="s">
        <v>1236</v>
      </c>
      <c r="M73" s="148">
        <v>150</v>
      </c>
      <c r="N73" s="148" t="s">
        <v>1559</v>
      </c>
      <c r="O73" s="149">
        <v>1</v>
      </c>
      <c r="P73" s="150">
        <v>0</v>
      </c>
      <c r="Q73" s="150" t="s">
        <v>1238</v>
      </c>
      <c r="R73" s="162">
        <v>30</v>
      </c>
      <c r="S73" s="144">
        <v>1</v>
      </c>
      <c r="T73" s="144">
        <v>2</v>
      </c>
      <c r="U73" s="176">
        <v>15</v>
      </c>
      <c r="V73" s="109" t="s">
        <v>1560</v>
      </c>
      <c r="W73" s="274" t="s">
        <v>1772</v>
      </c>
      <c r="X73" s="144" t="s">
        <v>1562</v>
      </c>
      <c r="Y73" s="144" t="s">
        <v>272</v>
      </c>
      <c r="Z73" s="144" t="s">
        <v>1227</v>
      </c>
      <c r="AA73" s="152"/>
      <c r="AB73" s="152"/>
      <c r="AC73" s="51" t="s">
        <v>1773</v>
      </c>
      <c r="AD73" s="51" t="s">
        <v>1773</v>
      </c>
    </row>
    <row r="74" spans="1:31" s="104" customFormat="1" ht="29.1">
      <c r="A74" s="516" t="s">
        <v>1774</v>
      </c>
      <c r="B74" s="108" t="s">
        <v>1765</v>
      </c>
      <c r="C74" s="108">
        <v>46112</v>
      </c>
      <c r="D74" s="108"/>
      <c r="E74" s="300" t="s">
        <v>1771</v>
      </c>
      <c r="F74" s="144">
        <v>65</v>
      </c>
      <c r="G74" s="144">
        <v>890</v>
      </c>
      <c r="H74" s="144">
        <v>150</v>
      </c>
      <c r="I74" s="176" t="s">
        <v>1715</v>
      </c>
      <c r="J74" s="146" t="s">
        <v>1724</v>
      </c>
      <c r="K74" s="146"/>
      <c r="L74" s="246" t="s">
        <v>1236</v>
      </c>
      <c r="M74" s="148">
        <v>150</v>
      </c>
      <c r="N74" s="148" t="s">
        <v>1559</v>
      </c>
      <c r="O74" s="149">
        <v>1</v>
      </c>
      <c r="P74" s="150">
        <v>0</v>
      </c>
      <c r="Q74" s="150" t="s">
        <v>1238</v>
      </c>
      <c r="R74" s="162">
        <v>30</v>
      </c>
      <c r="S74" s="144">
        <v>1</v>
      </c>
      <c r="T74" s="144">
        <v>2</v>
      </c>
      <c r="U74" s="176">
        <v>15</v>
      </c>
      <c r="V74" s="109" t="s">
        <v>1560</v>
      </c>
      <c r="W74" s="274" t="s">
        <v>1775</v>
      </c>
      <c r="X74" s="144" t="s">
        <v>1562</v>
      </c>
      <c r="Y74" s="144" t="s">
        <v>272</v>
      </c>
      <c r="Z74" s="144" t="s">
        <v>1227</v>
      </c>
      <c r="AA74" s="152"/>
      <c r="AB74" s="152"/>
      <c r="AC74" s="51" t="s">
        <v>1776</v>
      </c>
      <c r="AD74" s="51" t="s">
        <v>1776</v>
      </c>
    </row>
    <row r="75" spans="1:31" s="104" customFormat="1" ht="29.1">
      <c r="A75" s="516" t="s">
        <v>1777</v>
      </c>
      <c r="B75" s="108" t="s">
        <v>1765</v>
      </c>
      <c r="C75" s="108">
        <v>46112</v>
      </c>
      <c r="D75" s="108"/>
      <c r="E75" s="300" t="s">
        <v>1778</v>
      </c>
      <c r="F75" s="144">
        <v>65</v>
      </c>
      <c r="G75" s="144">
        <v>890</v>
      </c>
      <c r="H75" s="144">
        <v>150</v>
      </c>
      <c r="I75" s="176" t="s">
        <v>1715</v>
      </c>
      <c r="J75" s="146" t="s">
        <v>1724</v>
      </c>
      <c r="K75" s="146"/>
      <c r="L75" s="246" t="s">
        <v>1236</v>
      </c>
      <c r="M75" s="148">
        <v>150</v>
      </c>
      <c r="N75" s="148" t="s">
        <v>1559</v>
      </c>
      <c r="O75" s="149">
        <v>1</v>
      </c>
      <c r="P75" s="150">
        <v>0</v>
      </c>
      <c r="Q75" s="150" t="s">
        <v>1238</v>
      </c>
      <c r="R75" s="162">
        <v>30</v>
      </c>
      <c r="S75" s="144">
        <v>1</v>
      </c>
      <c r="T75" s="144">
        <v>2</v>
      </c>
      <c r="U75" s="176">
        <v>15</v>
      </c>
      <c r="V75" s="109" t="s">
        <v>1560</v>
      </c>
      <c r="W75" s="274" t="s">
        <v>1779</v>
      </c>
      <c r="X75" s="144" t="s">
        <v>1562</v>
      </c>
      <c r="Y75" s="144" t="s">
        <v>272</v>
      </c>
      <c r="Z75" s="144" t="s">
        <v>1227</v>
      </c>
      <c r="AA75" s="152"/>
      <c r="AB75" s="152"/>
      <c r="AC75" s="51" t="s">
        <v>1780</v>
      </c>
      <c r="AD75" s="51" t="s">
        <v>1780</v>
      </c>
    </row>
    <row r="76" spans="1:31" s="104" customFormat="1" ht="29.1">
      <c r="A76" s="516" t="s">
        <v>1781</v>
      </c>
      <c r="B76" s="108" t="s">
        <v>1765</v>
      </c>
      <c r="C76" s="108">
        <v>46112</v>
      </c>
      <c r="D76" s="108"/>
      <c r="E76" s="300" t="s">
        <v>1778</v>
      </c>
      <c r="F76" s="144">
        <v>65</v>
      </c>
      <c r="G76" s="144">
        <v>890</v>
      </c>
      <c r="H76" s="144">
        <v>150</v>
      </c>
      <c r="I76" s="176" t="s">
        <v>1715</v>
      </c>
      <c r="J76" s="146" t="s">
        <v>1724</v>
      </c>
      <c r="K76" s="146"/>
      <c r="L76" s="246" t="s">
        <v>1236</v>
      </c>
      <c r="M76" s="148">
        <v>150</v>
      </c>
      <c r="N76" s="148" t="s">
        <v>1559</v>
      </c>
      <c r="O76" s="149">
        <v>1</v>
      </c>
      <c r="P76" s="150">
        <v>0</v>
      </c>
      <c r="Q76" s="150" t="s">
        <v>1238</v>
      </c>
      <c r="R76" s="162">
        <v>30</v>
      </c>
      <c r="S76" s="144">
        <v>1</v>
      </c>
      <c r="T76" s="144">
        <v>2</v>
      </c>
      <c r="U76" s="176">
        <v>15</v>
      </c>
      <c r="V76" s="109" t="s">
        <v>1560</v>
      </c>
      <c r="W76" s="274" t="s">
        <v>1782</v>
      </c>
      <c r="X76" s="144" t="s">
        <v>1562</v>
      </c>
      <c r="Y76" s="144" t="s">
        <v>272</v>
      </c>
      <c r="Z76" s="144" t="s">
        <v>1227</v>
      </c>
      <c r="AA76" s="152"/>
      <c r="AB76" s="152"/>
      <c r="AC76" s="611"/>
      <c r="AD76" s="51" t="s">
        <v>1783</v>
      </c>
    </row>
    <row r="77" spans="1:31" s="104" customFormat="1" ht="29.1">
      <c r="A77" s="516" t="s">
        <v>1784</v>
      </c>
      <c r="B77" s="108" t="s">
        <v>1765</v>
      </c>
      <c r="C77" s="108">
        <v>46113</v>
      </c>
      <c r="D77" s="108"/>
      <c r="E77" s="300" t="s">
        <v>1778</v>
      </c>
      <c r="F77" s="144">
        <v>65</v>
      </c>
      <c r="G77" s="144">
        <v>890</v>
      </c>
      <c r="H77" s="144">
        <v>150</v>
      </c>
      <c r="I77" s="176" t="s">
        <v>1715</v>
      </c>
      <c r="J77" s="146" t="s">
        <v>1724</v>
      </c>
      <c r="K77" s="146"/>
      <c r="L77" s="275" t="s">
        <v>1785</v>
      </c>
      <c r="M77" s="148">
        <v>150</v>
      </c>
      <c r="N77" s="148" t="s">
        <v>1559</v>
      </c>
      <c r="O77" s="149">
        <v>1</v>
      </c>
      <c r="P77" s="150">
        <v>0</v>
      </c>
      <c r="Q77" s="150" t="s">
        <v>1238</v>
      </c>
      <c r="R77" s="162">
        <v>30</v>
      </c>
      <c r="S77" s="144">
        <v>1</v>
      </c>
      <c r="T77" s="144">
        <v>2</v>
      </c>
      <c r="U77" s="176">
        <v>15</v>
      </c>
      <c r="V77" s="109" t="s">
        <v>1560</v>
      </c>
      <c r="W77" s="273" t="s">
        <v>1779</v>
      </c>
      <c r="X77" s="144" t="s">
        <v>1562</v>
      </c>
      <c r="Y77" s="144" t="s">
        <v>272</v>
      </c>
      <c r="Z77" s="144" t="s">
        <v>1227</v>
      </c>
      <c r="AA77" s="152"/>
      <c r="AB77" s="152"/>
      <c r="AC77" s="611"/>
      <c r="AD77" s="51" t="s">
        <v>1786</v>
      </c>
    </row>
    <row r="78" spans="1:31" s="106" customFormat="1" ht="29.1">
      <c r="A78" s="516" t="s">
        <v>1787</v>
      </c>
      <c r="B78" s="108" t="s">
        <v>1765</v>
      </c>
      <c r="C78" s="108">
        <v>46113</v>
      </c>
      <c r="D78" s="108"/>
      <c r="E78" s="300" t="s">
        <v>1788</v>
      </c>
      <c r="F78" s="144">
        <v>65</v>
      </c>
      <c r="G78" s="144">
        <v>890</v>
      </c>
      <c r="H78" s="144">
        <v>150</v>
      </c>
      <c r="I78" s="176" t="s">
        <v>1715</v>
      </c>
      <c r="J78" s="146" t="s">
        <v>1724</v>
      </c>
      <c r="K78" s="146"/>
      <c r="L78" s="246" t="s">
        <v>1236</v>
      </c>
      <c r="M78" s="148">
        <v>150</v>
      </c>
      <c r="N78" s="148" t="s">
        <v>1559</v>
      </c>
      <c r="O78" s="149">
        <v>1</v>
      </c>
      <c r="P78" s="150">
        <v>0</v>
      </c>
      <c r="Q78" s="150" t="s">
        <v>1238</v>
      </c>
      <c r="R78" s="152">
        <v>30</v>
      </c>
      <c r="S78" s="144">
        <v>1</v>
      </c>
      <c r="T78" s="144">
        <v>2</v>
      </c>
      <c r="U78" s="176">
        <v>15</v>
      </c>
      <c r="V78" s="109" t="s">
        <v>1560</v>
      </c>
      <c r="W78" s="144" t="s">
        <v>1789</v>
      </c>
      <c r="X78" s="144" t="s">
        <v>1562</v>
      </c>
      <c r="Y78" s="144" t="s">
        <v>272</v>
      </c>
      <c r="Z78" s="144" t="s">
        <v>1227</v>
      </c>
      <c r="AA78" s="152"/>
      <c r="AB78" s="152"/>
      <c r="AC78" s="51"/>
      <c r="AD78" s="51" t="s">
        <v>1790</v>
      </c>
      <c r="AE78" s="104"/>
    </row>
    <row r="79" spans="1:31" s="106" customFormat="1" ht="29.1">
      <c r="A79" s="516" t="s">
        <v>1791</v>
      </c>
      <c r="B79" s="108" t="s">
        <v>1765</v>
      </c>
      <c r="C79" s="108">
        <v>46113</v>
      </c>
      <c r="D79" s="108"/>
      <c r="E79" s="300" t="s">
        <v>1778</v>
      </c>
      <c r="F79" s="144">
        <v>65</v>
      </c>
      <c r="G79" s="144">
        <v>890</v>
      </c>
      <c r="H79" s="144">
        <v>150</v>
      </c>
      <c r="I79" s="176" t="s">
        <v>1715</v>
      </c>
      <c r="J79" s="146" t="s">
        <v>1724</v>
      </c>
      <c r="K79" s="146"/>
      <c r="L79" s="275" t="s">
        <v>1792</v>
      </c>
      <c r="M79" s="148">
        <v>150</v>
      </c>
      <c r="N79" s="148" t="s">
        <v>1559</v>
      </c>
      <c r="O79" s="149">
        <v>1</v>
      </c>
      <c r="P79" s="150">
        <v>0</v>
      </c>
      <c r="Q79" s="150" t="s">
        <v>1238</v>
      </c>
      <c r="R79" s="162">
        <v>30</v>
      </c>
      <c r="S79" s="144">
        <v>1</v>
      </c>
      <c r="T79" s="144">
        <v>2</v>
      </c>
      <c r="U79" s="176">
        <v>15</v>
      </c>
      <c r="V79" s="109" t="s">
        <v>1560</v>
      </c>
      <c r="W79" s="273" t="s">
        <v>1779</v>
      </c>
      <c r="X79" s="144" t="s">
        <v>1562</v>
      </c>
      <c r="Y79" s="144" t="s">
        <v>272</v>
      </c>
      <c r="Z79" s="144" t="s">
        <v>1227</v>
      </c>
      <c r="AA79" s="152"/>
      <c r="AB79" s="152"/>
      <c r="AC79" s="611"/>
      <c r="AD79" s="51" t="s">
        <v>1793</v>
      </c>
      <c r="AE79" s="104"/>
    </row>
    <row r="80" spans="1:31" s="106" customFormat="1" ht="29.1">
      <c r="A80" s="516" t="s">
        <v>1794</v>
      </c>
      <c r="B80" s="108" t="s">
        <v>1762</v>
      </c>
      <c r="C80" s="108">
        <v>46114</v>
      </c>
      <c r="D80" s="108"/>
      <c r="E80" s="300" t="s">
        <v>1795</v>
      </c>
      <c r="F80" s="144">
        <v>65</v>
      </c>
      <c r="G80" s="514">
        <v>850</v>
      </c>
      <c r="H80" s="144">
        <v>150</v>
      </c>
      <c r="I80" s="176" t="s">
        <v>1715</v>
      </c>
      <c r="J80" s="146" t="s">
        <v>1724</v>
      </c>
      <c r="K80" s="146"/>
      <c r="L80" s="246" t="s">
        <v>1236</v>
      </c>
      <c r="M80" s="148">
        <v>150</v>
      </c>
      <c r="N80" s="148" t="s">
        <v>1559</v>
      </c>
      <c r="O80" s="149">
        <v>1</v>
      </c>
      <c r="P80" s="150">
        <v>0</v>
      </c>
      <c r="Q80" s="150" t="s">
        <v>1238</v>
      </c>
      <c r="R80" s="162">
        <v>20</v>
      </c>
      <c r="S80" s="144">
        <v>1</v>
      </c>
      <c r="T80" s="144">
        <v>2</v>
      </c>
      <c r="U80" s="176">
        <v>15</v>
      </c>
      <c r="V80" s="109" t="s">
        <v>1560</v>
      </c>
      <c r="W80" s="144" t="s">
        <v>1725</v>
      </c>
      <c r="X80" s="144" t="s">
        <v>1562</v>
      </c>
      <c r="Y80" s="144" t="s">
        <v>272</v>
      </c>
      <c r="Z80" s="144" t="s">
        <v>1227</v>
      </c>
      <c r="AA80" s="152"/>
      <c r="AB80" s="152"/>
      <c r="AC80" s="611" t="s">
        <v>1796</v>
      </c>
      <c r="AD80" s="51" t="s">
        <v>1797</v>
      </c>
      <c r="AE80" s="104"/>
    </row>
    <row r="81" spans="1:31" s="106" customFormat="1" ht="29.1">
      <c r="A81" s="516" t="s">
        <v>1798</v>
      </c>
      <c r="B81" s="108" t="s">
        <v>1762</v>
      </c>
      <c r="C81" s="108">
        <v>46114</v>
      </c>
      <c r="D81" s="108"/>
      <c r="E81" s="522" t="s">
        <v>1799</v>
      </c>
      <c r="F81" s="144">
        <v>65</v>
      </c>
      <c r="G81" s="514">
        <v>850</v>
      </c>
      <c r="H81" s="144">
        <v>150</v>
      </c>
      <c r="I81" s="176" t="s">
        <v>1715</v>
      </c>
      <c r="J81" s="146" t="s">
        <v>1724</v>
      </c>
      <c r="K81" s="146"/>
      <c r="L81" s="246" t="s">
        <v>1236</v>
      </c>
      <c r="M81" s="148">
        <v>150</v>
      </c>
      <c r="N81" s="148" t="s">
        <v>1559</v>
      </c>
      <c r="O81" s="149">
        <v>1</v>
      </c>
      <c r="P81" s="150">
        <v>0</v>
      </c>
      <c r="Q81" s="150" t="s">
        <v>1238</v>
      </c>
      <c r="R81" s="162">
        <v>20</v>
      </c>
      <c r="S81" s="144">
        <v>1</v>
      </c>
      <c r="T81" s="144">
        <v>2</v>
      </c>
      <c r="U81" s="176">
        <v>15</v>
      </c>
      <c r="V81" s="109" t="s">
        <v>1560</v>
      </c>
      <c r="W81" s="144" t="s">
        <v>1725</v>
      </c>
      <c r="X81" s="144" t="s">
        <v>1562</v>
      </c>
      <c r="Y81" s="144" t="s">
        <v>272</v>
      </c>
      <c r="Z81" s="144" t="s">
        <v>1227</v>
      </c>
      <c r="AA81" s="152"/>
      <c r="AB81" s="152"/>
      <c r="AC81" s="611" t="s">
        <v>1800</v>
      </c>
      <c r="AD81" s="51" t="s">
        <v>1801</v>
      </c>
      <c r="AE81" s="104"/>
    </row>
    <row r="82" spans="1:31" s="104" customFormat="1" ht="29.1">
      <c r="A82" s="516" t="s">
        <v>1802</v>
      </c>
      <c r="B82" s="610" t="s">
        <v>1727</v>
      </c>
      <c r="C82" s="108">
        <v>46114</v>
      </c>
      <c r="D82" s="108"/>
      <c r="E82" s="594" t="s">
        <v>1803</v>
      </c>
      <c r="F82" s="144">
        <v>65</v>
      </c>
      <c r="G82" s="144">
        <v>890</v>
      </c>
      <c r="H82" s="144">
        <v>150</v>
      </c>
      <c r="I82" s="176" t="s">
        <v>1715</v>
      </c>
      <c r="J82" s="146" t="s">
        <v>1729</v>
      </c>
      <c r="K82" s="146"/>
      <c r="L82" s="147" t="s">
        <v>1236</v>
      </c>
      <c r="M82" s="148">
        <v>150</v>
      </c>
      <c r="N82" s="148" t="s">
        <v>1559</v>
      </c>
      <c r="O82" s="149">
        <v>1</v>
      </c>
      <c r="P82" s="150">
        <v>0</v>
      </c>
      <c r="Q82" s="150" t="s">
        <v>1238</v>
      </c>
      <c r="R82" s="162">
        <v>20</v>
      </c>
      <c r="S82" s="144">
        <v>1</v>
      </c>
      <c r="T82" s="144">
        <v>2</v>
      </c>
      <c r="U82" s="176">
        <v>15</v>
      </c>
      <c r="V82" s="109" t="s">
        <v>1560</v>
      </c>
      <c r="W82" s="144" t="s">
        <v>1725</v>
      </c>
      <c r="X82" s="144" t="s">
        <v>1562</v>
      </c>
      <c r="Y82" s="144" t="s">
        <v>272</v>
      </c>
      <c r="Z82" s="144" t="s">
        <v>1227</v>
      </c>
      <c r="AA82" s="152"/>
      <c r="AB82" s="152"/>
      <c r="AC82" s="163"/>
      <c r="AD82" s="51" t="s">
        <v>1804</v>
      </c>
    </row>
    <row r="83" spans="1:31" s="104" customFormat="1" ht="29.1">
      <c r="A83" s="516" t="s">
        <v>1805</v>
      </c>
      <c r="B83" s="107" t="s">
        <v>1727</v>
      </c>
      <c r="C83" s="108">
        <v>46114</v>
      </c>
      <c r="D83" s="108"/>
      <c r="E83" s="300" t="s">
        <v>1806</v>
      </c>
      <c r="F83" s="144">
        <v>65</v>
      </c>
      <c r="G83" s="144">
        <v>890</v>
      </c>
      <c r="H83" s="144">
        <v>150</v>
      </c>
      <c r="I83" s="176" t="s">
        <v>1715</v>
      </c>
      <c r="J83" s="146" t="s">
        <v>1729</v>
      </c>
      <c r="K83" s="146"/>
      <c r="L83" s="147" t="s">
        <v>1236</v>
      </c>
      <c r="M83" s="148">
        <v>150</v>
      </c>
      <c r="N83" s="148" t="s">
        <v>1559</v>
      </c>
      <c r="O83" s="149">
        <v>1</v>
      </c>
      <c r="P83" s="150">
        <v>0</v>
      </c>
      <c r="Q83" s="150" t="s">
        <v>1238</v>
      </c>
      <c r="R83" s="162">
        <v>20</v>
      </c>
      <c r="S83" s="144">
        <v>1</v>
      </c>
      <c r="T83" s="144">
        <v>2</v>
      </c>
      <c r="U83" s="176">
        <v>15</v>
      </c>
      <c r="V83" s="109" t="s">
        <v>1560</v>
      </c>
      <c r="W83" s="273" t="s">
        <v>1807</v>
      </c>
      <c r="X83" s="144" t="s">
        <v>1562</v>
      </c>
      <c r="Y83" s="144" t="s">
        <v>272</v>
      </c>
      <c r="Z83" s="144" t="s">
        <v>1227</v>
      </c>
      <c r="AA83" s="152"/>
      <c r="AB83" s="152"/>
      <c r="AC83" s="163"/>
      <c r="AD83" s="51" t="s">
        <v>1808</v>
      </c>
    </row>
    <row r="84" spans="1:31" s="104" customFormat="1" ht="29.1">
      <c r="A84" s="516" t="s">
        <v>1809</v>
      </c>
      <c r="B84" s="107" t="s">
        <v>1260</v>
      </c>
      <c r="C84" s="108">
        <v>46115</v>
      </c>
      <c r="D84" s="108"/>
      <c r="E84" s="300" t="s">
        <v>1810</v>
      </c>
      <c r="F84" s="144">
        <v>65</v>
      </c>
      <c r="G84" s="144">
        <v>890</v>
      </c>
      <c r="H84" s="144">
        <v>150</v>
      </c>
      <c r="I84" s="176" t="s">
        <v>1715</v>
      </c>
      <c r="J84" s="146" t="s">
        <v>1729</v>
      </c>
      <c r="K84" s="146"/>
      <c r="L84" s="147" t="s">
        <v>1236</v>
      </c>
      <c r="M84" s="148">
        <v>150</v>
      </c>
      <c r="N84" s="148" t="s">
        <v>1559</v>
      </c>
      <c r="O84" s="149">
        <v>1</v>
      </c>
      <c r="P84" s="150">
        <v>0</v>
      </c>
      <c r="Q84" s="150" t="s">
        <v>1238</v>
      </c>
      <c r="R84" s="162">
        <v>20</v>
      </c>
      <c r="S84" s="144">
        <v>1</v>
      </c>
      <c r="T84" s="144">
        <v>2</v>
      </c>
      <c r="U84" s="176">
        <v>15</v>
      </c>
      <c r="V84" s="109" t="s">
        <v>1560</v>
      </c>
      <c r="W84" s="273" t="s">
        <v>1566</v>
      </c>
      <c r="X84" s="144" t="s">
        <v>1562</v>
      </c>
      <c r="Y84" s="144" t="s">
        <v>272</v>
      </c>
      <c r="Z84" s="144" t="s">
        <v>1227</v>
      </c>
      <c r="AA84" s="152"/>
      <c r="AB84" s="152"/>
      <c r="AC84" s="163"/>
      <c r="AD84" s="51" t="s">
        <v>1811</v>
      </c>
    </row>
    <row r="85" spans="1:31" s="104" customFormat="1" ht="29.1">
      <c r="A85" s="516" t="s">
        <v>1812</v>
      </c>
      <c r="B85" s="107" t="s">
        <v>1727</v>
      </c>
      <c r="C85" s="108">
        <v>46115</v>
      </c>
      <c r="D85" s="108"/>
      <c r="E85" s="300" t="s">
        <v>1813</v>
      </c>
      <c r="F85" s="144">
        <v>65</v>
      </c>
      <c r="G85" s="144">
        <v>890</v>
      </c>
      <c r="H85" s="144">
        <v>150</v>
      </c>
      <c r="I85" s="176" t="s">
        <v>1715</v>
      </c>
      <c r="J85" s="264" t="s">
        <v>1752</v>
      </c>
      <c r="K85" s="146"/>
      <c r="L85" s="147" t="s">
        <v>1236</v>
      </c>
      <c r="M85" s="148">
        <v>150</v>
      </c>
      <c r="N85" s="148" t="s">
        <v>1559</v>
      </c>
      <c r="O85" s="149">
        <v>1</v>
      </c>
      <c r="P85" s="150">
        <v>0</v>
      </c>
      <c r="Q85" s="150" t="s">
        <v>1238</v>
      </c>
      <c r="R85" s="162">
        <v>20</v>
      </c>
      <c r="S85" s="144">
        <v>1</v>
      </c>
      <c r="T85" s="144">
        <v>2</v>
      </c>
      <c r="U85" s="176">
        <v>15</v>
      </c>
      <c r="V85" s="109" t="s">
        <v>1560</v>
      </c>
      <c r="W85" s="273" t="s">
        <v>1814</v>
      </c>
      <c r="X85" s="144" t="s">
        <v>1562</v>
      </c>
      <c r="Y85" s="144" t="s">
        <v>272</v>
      </c>
      <c r="Z85" s="144" t="s">
        <v>1227</v>
      </c>
      <c r="AA85" s="152"/>
      <c r="AB85" s="152"/>
      <c r="AC85" s="163"/>
      <c r="AD85" s="51" t="s">
        <v>1815</v>
      </c>
    </row>
    <row r="86" spans="1:31" s="105" customFormat="1" ht="29.1">
      <c r="A86" s="517" t="s">
        <v>1816</v>
      </c>
      <c r="B86" s="133" t="s">
        <v>1727</v>
      </c>
      <c r="C86" s="134">
        <v>46115</v>
      </c>
      <c r="D86" s="134"/>
      <c r="E86" s="301" t="s">
        <v>1813</v>
      </c>
      <c r="F86" s="173">
        <v>75</v>
      </c>
      <c r="G86" s="153">
        <v>890</v>
      </c>
      <c r="H86" s="153">
        <v>150</v>
      </c>
      <c r="I86" s="181" t="s">
        <v>1715</v>
      </c>
      <c r="J86" s="154" t="s">
        <v>1817</v>
      </c>
      <c r="K86" s="155"/>
      <c r="L86" s="156" t="s">
        <v>1236</v>
      </c>
      <c r="M86" s="157">
        <v>150</v>
      </c>
      <c r="N86" s="157" t="s">
        <v>1559</v>
      </c>
      <c r="O86" s="158">
        <v>1</v>
      </c>
      <c r="P86" s="159">
        <v>0</v>
      </c>
      <c r="Q86" s="159" t="s">
        <v>1238</v>
      </c>
      <c r="R86" s="164">
        <v>20</v>
      </c>
      <c r="S86" s="153">
        <v>1</v>
      </c>
      <c r="T86" s="153">
        <v>2</v>
      </c>
      <c r="U86" s="181">
        <v>15</v>
      </c>
      <c r="V86" s="109" t="s">
        <v>1560</v>
      </c>
      <c r="W86" s="296" t="s">
        <v>1814</v>
      </c>
      <c r="X86" s="153" t="s">
        <v>1562</v>
      </c>
      <c r="Y86" s="153" t="s">
        <v>272</v>
      </c>
      <c r="Z86" s="153" t="s">
        <v>1227</v>
      </c>
      <c r="AA86" s="161"/>
      <c r="AB86" s="161"/>
      <c r="AC86" s="165"/>
      <c r="AD86" s="203" t="s">
        <v>1818</v>
      </c>
    </row>
    <row r="87" spans="1:31" s="298" customFormat="1" ht="43.5">
      <c r="A87" s="107" t="s">
        <v>1819</v>
      </c>
      <c r="B87" s="108" t="s">
        <v>1820</v>
      </c>
      <c r="C87" s="108">
        <v>46116</v>
      </c>
      <c r="D87" s="108"/>
      <c r="E87" s="300" t="s">
        <v>1821</v>
      </c>
      <c r="F87" s="144">
        <v>65</v>
      </c>
      <c r="G87" s="144">
        <v>890</v>
      </c>
      <c r="H87" s="144">
        <v>150</v>
      </c>
      <c r="I87" s="144">
        <v>80</v>
      </c>
      <c r="J87" s="616" t="s">
        <v>1822</v>
      </c>
      <c r="K87" s="523" t="s">
        <v>1643</v>
      </c>
      <c r="L87" s="147">
        <v>40</v>
      </c>
      <c r="M87" s="148">
        <v>150</v>
      </c>
      <c r="N87" s="148" t="s">
        <v>1559</v>
      </c>
      <c r="O87" s="149">
        <v>1</v>
      </c>
      <c r="P87" s="150">
        <v>0</v>
      </c>
      <c r="Q87" s="150" t="s">
        <v>1238</v>
      </c>
      <c r="R87" s="162">
        <v>20</v>
      </c>
      <c r="S87" s="144">
        <v>1</v>
      </c>
      <c r="T87" s="218">
        <v>7.5</v>
      </c>
      <c r="U87" s="176">
        <v>15</v>
      </c>
      <c r="V87" s="109" t="s">
        <v>1560</v>
      </c>
      <c r="W87" s="144" t="s">
        <v>1566</v>
      </c>
      <c r="X87" s="144" t="s">
        <v>1562</v>
      </c>
      <c r="Y87" s="144" t="s">
        <v>272</v>
      </c>
      <c r="Z87" s="144" t="s">
        <v>1227</v>
      </c>
      <c r="AA87" s="152"/>
      <c r="AB87" s="152"/>
      <c r="AC87" s="297"/>
      <c r="AD87" s="617" t="s">
        <v>1823</v>
      </c>
    </row>
    <row r="88" spans="1:31" s="298" customFormat="1" ht="43.5">
      <c r="A88" s="107" t="s">
        <v>1824</v>
      </c>
      <c r="B88" s="299" t="s">
        <v>1820</v>
      </c>
      <c r="C88" s="108">
        <v>46116</v>
      </c>
      <c r="D88" s="108"/>
      <c r="E88" s="300" t="s">
        <v>1821</v>
      </c>
      <c r="F88" s="144">
        <v>65</v>
      </c>
      <c r="G88" s="144">
        <v>890</v>
      </c>
      <c r="H88" s="144">
        <v>150</v>
      </c>
      <c r="I88" s="144">
        <v>80</v>
      </c>
      <c r="J88" s="616" t="s">
        <v>1822</v>
      </c>
      <c r="K88" s="523" t="s">
        <v>1643</v>
      </c>
      <c r="L88" s="147">
        <v>40</v>
      </c>
      <c r="M88" s="148">
        <v>150</v>
      </c>
      <c r="N88" s="148" t="s">
        <v>1559</v>
      </c>
      <c r="O88" s="149">
        <v>1</v>
      </c>
      <c r="P88" s="150">
        <v>0</v>
      </c>
      <c r="Q88" s="150" t="s">
        <v>1238</v>
      </c>
      <c r="R88" s="162">
        <v>20</v>
      </c>
      <c r="S88" s="144">
        <v>1</v>
      </c>
      <c r="T88" s="218">
        <v>3.5</v>
      </c>
      <c r="U88" s="176">
        <v>15</v>
      </c>
      <c r="V88" s="109" t="s">
        <v>1560</v>
      </c>
      <c r="W88" s="144" t="s">
        <v>1566</v>
      </c>
      <c r="X88" s="144" t="s">
        <v>1562</v>
      </c>
      <c r="Y88" s="144" t="s">
        <v>272</v>
      </c>
      <c r="Z88" s="144" t="s">
        <v>1227</v>
      </c>
      <c r="AA88" s="152"/>
      <c r="AB88" s="152"/>
      <c r="AC88" s="297"/>
      <c r="AD88" s="617" t="s">
        <v>1825</v>
      </c>
    </row>
    <row r="89" spans="1:31" s="298" customFormat="1" ht="43.5">
      <c r="A89" s="107" t="s">
        <v>1826</v>
      </c>
      <c r="B89" s="299" t="s">
        <v>1820</v>
      </c>
      <c r="C89" s="108">
        <v>46116</v>
      </c>
      <c r="D89" s="108"/>
      <c r="E89" s="300" t="s">
        <v>1821</v>
      </c>
      <c r="F89" s="144">
        <v>65</v>
      </c>
      <c r="G89" s="144">
        <v>890</v>
      </c>
      <c r="H89" s="144">
        <v>150</v>
      </c>
      <c r="I89" s="218">
        <v>40</v>
      </c>
      <c r="J89" s="616" t="s">
        <v>1822</v>
      </c>
      <c r="K89" s="524" t="s">
        <v>1827</v>
      </c>
      <c r="L89" s="147">
        <v>40</v>
      </c>
      <c r="M89" s="148">
        <v>150</v>
      </c>
      <c r="N89" s="148" t="s">
        <v>1559</v>
      </c>
      <c r="O89" s="149">
        <v>1</v>
      </c>
      <c r="P89" s="150">
        <v>0</v>
      </c>
      <c r="Q89" s="150" t="s">
        <v>1238</v>
      </c>
      <c r="R89" s="162">
        <v>20</v>
      </c>
      <c r="S89" s="144">
        <v>1</v>
      </c>
      <c r="T89" s="144">
        <v>3.5</v>
      </c>
      <c r="U89" s="176">
        <v>15</v>
      </c>
      <c r="V89" s="109" t="s">
        <v>1560</v>
      </c>
      <c r="W89" s="172" t="s">
        <v>1828</v>
      </c>
      <c r="X89" s="144" t="s">
        <v>1562</v>
      </c>
      <c r="Y89" s="144" t="s">
        <v>272</v>
      </c>
      <c r="Z89" s="144" t="s">
        <v>1227</v>
      </c>
      <c r="AA89" s="152"/>
      <c r="AB89" s="152"/>
      <c r="AC89" s="297"/>
      <c r="AD89" s="617" t="s">
        <v>1829</v>
      </c>
    </row>
    <row r="90" spans="1:31" s="298" customFormat="1" ht="43.5">
      <c r="A90" s="107" t="s">
        <v>1830</v>
      </c>
      <c r="B90" s="108" t="s">
        <v>1826</v>
      </c>
      <c r="C90" s="108">
        <v>46117</v>
      </c>
      <c r="D90" s="108"/>
      <c r="E90" s="300" t="s">
        <v>1831</v>
      </c>
      <c r="F90" s="172">
        <v>10</v>
      </c>
      <c r="G90" s="144">
        <v>890</v>
      </c>
      <c r="H90" s="144">
        <v>150</v>
      </c>
      <c r="I90" s="144">
        <v>40</v>
      </c>
      <c r="J90" s="616" t="s">
        <v>1822</v>
      </c>
      <c r="K90" s="616" t="s">
        <v>1827</v>
      </c>
      <c r="L90" s="147">
        <v>40</v>
      </c>
      <c r="M90" s="148">
        <v>150</v>
      </c>
      <c r="N90" s="148" t="s">
        <v>1559</v>
      </c>
      <c r="O90" s="149">
        <v>1</v>
      </c>
      <c r="P90" s="150">
        <v>0</v>
      </c>
      <c r="Q90" s="150" t="s">
        <v>1238</v>
      </c>
      <c r="R90" s="162">
        <v>20</v>
      </c>
      <c r="S90" s="144">
        <v>1</v>
      </c>
      <c r="T90" s="144">
        <v>3.5</v>
      </c>
      <c r="U90" s="176">
        <v>15</v>
      </c>
      <c r="V90" s="109" t="s">
        <v>1560</v>
      </c>
      <c r="W90" s="144" t="s">
        <v>1828</v>
      </c>
      <c r="X90" s="144" t="s">
        <v>1562</v>
      </c>
      <c r="Y90" s="144" t="s">
        <v>272</v>
      </c>
      <c r="Z90" s="144" t="s">
        <v>1227</v>
      </c>
      <c r="AA90" s="152"/>
      <c r="AB90" s="152"/>
      <c r="AC90" s="297"/>
      <c r="AD90" s="617" t="s">
        <v>1832</v>
      </c>
    </row>
    <row r="91" spans="1:31" s="298" customFormat="1" ht="43.5">
      <c r="A91" s="107" t="s">
        <v>1833</v>
      </c>
      <c r="B91" s="108" t="s">
        <v>1826</v>
      </c>
      <c r="C91" s="108">
        <v>46117</v>
      </c>
      <c r="D91" s="108"/>
      <c r="E91" s="300" t="s">
        <v>1831</v>
      </c>
      <c r="F91" s="172">
        <v>20</v>
      </c>
      <c r="G91" s="144">
        <v>890</v>
      </c>
      <c r="H91" s="172">
        <v>300</v>
      </c>
      <c r="I91" s="172">
        <v>80</v>
      </c>
      <c r="J91" s="616" t="s">
        <v>1822</v>
      </c>
      <c r="K91" s="616" t="s">
        <v>1827</v>
      </c>
      <c r="L91" s="147">
        <v>80</v>
      </c>
      <c r="M91" s="148">
        <v>150</v>
      </c>
      <c r="N91" s="148" t="s">
        <v>1559</v>
      </c>
      <c r="O91" s="249">
        <v>2</v>
      </c>
      <c r="P91" s="150">
        <v>0</v>
      </c>
      <c r="Q91" s="150" t="s">
        <v>1238</v>
      </c>
      <c r="R91" s="151">
        <v>40</v>
      </c>
      <c r="S91" s="144">
        <v>1</v>
      </c>
      <c r="T91" s="144">
        <v>3.5</v>
      </c>
      <c r="U91" s="176">
        <v>15</v>
      </c>
      <c r="V91" s="109" t="s">
        <v>1560</v>
      </c>
      <c r="W91" s="144" t="s">
        <v>1828</v>
      </c>
      <c r="X91" s="144" t="s">
        <v>1562</v>
      </c>
      <c r="Y91" s="144" t="s">
        <v>272</v>
      </c>
      <c r="Z91" s="144" t="s">
        <v>1227</v>
      </c>
      <c r="AA91" s="152"/>
      <c r="AB91" s="152"/>
      <c r="AC91" s="297"/>
      <c r="AD91" s="617"/>
    </row>
    <row r="92" spans="1:31" s="298" customFormat="1" ht="43.5">
      <c r="A92" s="107" t="s">
        <v>1834</v>
      </c>
      <c r="B92" s="108" t="s">
        <v>1826</v>
      </c>
      <c r="C92" s="108">
        <v>46117</v>
      </c>
      <c r="D92" s="108"/>
      <c r="E92" s="300" t="s">
        <v>1831</v>
      </c>
      <c r="F92" s="172">
        <v>10</v>
      </c>
      <c r="G92" s="144">
        <v>890</v>
      </c>
      <c r="H92" s="144">
        <v>150</v>
      </c>
      <c r="I92" s="144">
        <v>40</v>
      </c>
      <c r="J92" s="616" t="s">
        <v>1822</v>
      </c>
      <c r="K92" s="616" t="s">
        <v>1827</v>
      </c>
      <c r="L92" s="147">
        <v>40</v>
      </c>
      <c r="M92" s="148">
        <v>150</v>
      </c>
      <c r="N92" s="148" t="s">
        <v>1559</v>
      </c>
      <c r="O92" s="149">
        <v>1</v>
      </c>
      <c r="P92" s="150">
        <v>0</v>
      </c>
      <c r="Q92" s="150" t="s">
        <v>1238</v>
      </c>
      <c r="R92" s="162">
        <v>20</v>
      </c>
      <c r="S92" s="144">
        <v>1</v>
      </c>
      <c r="T92" s="144">
        <v>3.5</v>
      </c>
      <c r="U92" s="176">
        <v>15</v>
      </c>
      <c r="V92" s="109" t="s">
        <v>1560</v>
      </c>
      <c r="W92" s="144" t="s">
        <v>1828</v>
      </c>
      <c r="X92" s="144" t="s">
        <v>1562</v>
      </c>
      <c r="Y92" s="144" t="s">
        <v>272</v>
      </c>
      <c r="Z92" s="144" t="s">
        <v>1227</v>
      </c>
      <c r="AA92" s="152"/>
      <c r="AB92" s="152"/>
      <c r="AC92" s="297" t="s">
        <v>1835</v>
      </c>
      <c r="AD92" s="51" t="s">
        <v>1836</v>
      </c>
    </row>
    <row r="93" spans="1:31" s="298" customFormat="1" ht="43.5">
      <c r="A93" s="107" t="s">
        <v>1837</v>
      </c>
      <c r="B93" s="108" t="s">
        <v>1826</v>
      </c>
      <c r="C93" s="108">
        <v>46118</v>
      </c>
      <c r="D93" s="108"/>
      <c r="E93" s="300" t="s">
        <v>1831</v>
      </c>
      <c r="F93" s="172">
        <v>10</v>
      </c>
      <c r="G93" s="144">
        <v>890</v>
      </c>
      <c r="H93" s="144">
        <v>150</v>
      </c>
      <c r="I93" s="144">
        <v>40</v>
      </c>
      <c r="J93" s="616" t="s">
        <v>1822</v>
      </c>
      <c r="K93" s="616" t="s">
        <v>1827</v>
      </c>
      <c r="L93" s="147">
        <v>40</v>
      </c>
      <c r="M93" s="148">
        <v>150</v>
      </c>
      <c r="N93" s="148" t="s">
        <v>1559</v>
      </c>
      <c r="O93" s="149">
        <v>1</v>
      </c>
      <c r="P93" s="150">
        <v>0</v>
      </c>
      <c r="Q93" s="150" t="s">
        <v>1238</v>
      </c>
      <c r="R93" s="162">
        <v>20</v>
      </c>
      <c r="S93" s="144">
        <v>1</v>
      </c>
      <c r="T93" s="144">
        <v>3.5</v>
      </c>
      <c r="U93" s="176">
        <v>15</v>
      </c>
      <c r="V93" s="109" t="s">
        <v>1560</v>
      </c>
      <c r="W93" s="144" t="s">
        <v>1828</v>
      </c>
      <c r="X93" s="144" t="s">
        <v>1562</v>
      </c>
      <c r="Y93" s="144" t="s">
        <v>272</v>
      </c>
      <c r="Z93" s="144" t="s">
        <v>1227</v>
      </c>
      <c r="AA93" s="152"/>
      <c r="AB93" s="152"/>
      <c r="AC93" s="297" t="s">
        <v>1838</v>
      </c>
      <c r="AD93" s="51" t="s">
        <v>1836</v>
      </c>
    </row>
    <row r="94" spans="1:31" s="298" customFormat="1" ht="43.5">
      <c r="A94" s="107" t="s">
        <v>1839</v>
      </c>
      <c r="B94" s="108" t="s">
        <v>1826</v>
      </c>
      <c r="C94" s="108">
        <v>46118</v>
      </c>
      <c r="D94" s="108"/>
      <c r="E94" s="300" t="s">
        <v>1840</v>
      </c>
      <c r="F94" s="176">
        <v>10</v>
      </c>
      <c r="G94" s="144">
        <v>890</v>
      </c>
      <c r="H94" s="144">
        <v>150</v>
      </c>
      <c r="I94" s="144">
        <v>40</v>
      </c>
      <c r="J94" s="616" t="s">
        <v>1822</v>
      </c>
      <c r="K94" s="616" t="s">
        <v>1827</v>
      </c>
      <c r="L94" s="147">
        <v>40</v>
      </c>
      <c r="M94" s="148">
        <v>150</v>
      </c>
      <c r="N94" s="148" t="s">
        <v>1559</v>
      </c>
      <c r="O94" s="149">
        <v>1</v>
      </c>
      <c r="P94" s="150">
        <v>0</v>
      </c>
      <c r="Q94" s="150" t="s">
        <v>1238</v>
      </c>
      <c r="R94" s="162">
        <v>20</v>
      </c>
      <c r="S94" s="144">
        <v>1</v>
      </c>
      <c r="T94" s="172" t="s">
        <v>1841</v>
      </c>
      <c r="U94" s="176">
        <v>15</v>
      </c>
      <c r="V94" s="109" t="s">
        <v>1560</v>
      </c>
      <c r="W94" s="144" t="s">
        <v>1828</v>
      </c>
      <c r="X94" s="144" t="s">
        <v>1562</v>
      </c>
      <c r="Y94" s="144" t="s">
        <v>272</v>
      </c>
      <c r="Z94" s="144" t="s">
        <v>1227</v>
      </c>
      <c r="AA94" s="152"/>
      <c r="AB94" s="152"/>
      <c r="AC94" s="297"/>
      <c r="AD94" s="51" t="s">
        <v>1842</v>
      </c>
    </row>
    <row r="95" spans="1:31" s="298" customFormat="1" ht="43.5">
      <c r="A95" s="107" t="s">
        <v>1843</v>
      </c>
      <c r="B95" s="108" t="s">
        <v>1826</v>
      </c>
      <c r="C95" s="108">
        <v>46119</v>
      </c>
      <c r="D95" s="108"/>
      <c r="E95" s="300" t="s">
        <v>1840</v>
      </c>
      <c r="F95" s="176">
        <v>10</v>
      </c>
      <c r="G95" s="144">
        <v>890</v>
      </c>
      <c r="H95" s="144">
        <v>150</v>
      </c>
      <c r="I95" s="144">
        <v>40</v>
      </c>
      <c r="J95" s="616" t="s">
        <v>1822</v>
      </c>
      <c r="K95" s="616" t="s">
        <v>1827</v>
      </c>
      <c r="L95" s="147">
        <v>40</v>
      </c>
      <c r="M95" s="148">
        <v>150</v>
      </c>
      <c r="N95" s="148" t="s">
        <v>1559</v>
      </c>
      <c r="O95" s="149">
        <v>1</v>
      </c>
      <c r="P95" s="150">
        <v>0</v>
      </c>
      <c r="Q95" s="150" t="s">
        <v>1238</v>
      </c>
      <c r="R95" s="162">
        <v>20</v>
      </c>
      <c r="S95" s="144">
        <v>1</v>
      </c>
      <c r="T95" s="172" t="s">
        <v>1844</v>
      </c>
      <c r="U95" s="176">
        <v>15</v>
      </c>
      <c r="V95" s="109" t="s">
        <v>1560</v>
      </c>
      <c r="W95" s="144" t="s">
        <v>1828</v>
      </c>
      <c r="X95" s="144" t="s">
        <v>1562</v>
      </c>
      <c r="Y95" s="144" t="s">
        <v>272</v>
      </c>
      <c r="Z95" s="144" t="s">
        <v>1227</v>
      </c>
      <c r="AA95" s="152"/>
      <c r="AB95" s="152"/>
      <c r="AC95" s="297"/>
      <c r="AD95" s="51" t="s">
        <v>1845</v>
      </c>
    </row>
    <row r="96" spans="1:31" s="298" customFormat="1" ht="43.5">
      <c r="A96" s="107" t="s">
        <v>1846</v>
      </c>
      <c r="B96" s="108" t="s">
        <v>1826</v>
      </c>
      <c r="C96" s="108">
        <v>46119</v>
      </c>
      <c r="D96" s="108"/>
      <c r="E96" s="300" t="s">
        <v>1840</v>
      </c>
      <c r="F96" s="176">
        <v>10</v>
      </c>
      <c r="G96" s="144">
        <v>890</v>
      </c>
      <c r="H96" s="144">
        <v>150</v>
      </c>
      <c r="I96" s="144">
        <v>40</v>
      </c>
      <c r="J96" s="616" t="s">
        <v>1822</v>
      </c>
      <c r="K96" s="616" t="s">
        <v>1827</v>
      </c>
      <c r="L96" s="147">
        <v>40</v>
      </c>
      <c r="M96" s="148">
        <v>150</v>
      </c>
      <c r="N96" s="148" t="s">
        <v>1559</v>
      </c>
      <c r="O96" s="149">
        <v>1</v>
      </c>
      <c r="P96" s="150">
        <v>0</v>
      </c>
      <c r="Q96" s="150" t="s">
        <v>1238</v>
      </c>
      <c r="R96" s="162">
        <v>20</v>
      </c>
      <c r="S96" s="144">
        <v>1</v>
      </c>
      <c r="T96" s="172">
        <v>7.5</v>
      </c>
      <c r="U96" s="176">
        <v>15</v>
      </c>
      <c r="V96" s="109" t="s">
        <v>1560</v>
      </c>
      <c r="W96" s="144" t="s">
        <v>1828</v>
      </c>
      <c r="X96" s="144" t="s">
        <v>1562</v>
      </c>
      <c r="Y96" s="144" t="s">
        <v>272</v>
      </c>
      <c r="Z96" s="144" t="s">
        <v>1227</v>
      </c>
      <c r="AA96" s="152"/>
      <c r="AB96" s="152"/>
      <c r="AC96" s="297"/>
      <c r="AD96" s="51" t="s">
        <v>1847</v>
      </c>
      <c r="AE96" s="298" t="s">
        <v>1848</v>
      </c>
    </row>
    <row r="97" spans="1:32" s="319" customFormat="1" ht="43.5">
      <c r="A97" s="133" t="s">
        <v>1849</v>
      </c>
      <c r="B97" s="134" t="s">
        <v>1826</v>
      </c>
      <c r="C97" s="134">
        <v>46119</v>
      </c>
      <c r="D97" s="134"/>
      <c r="E97" s="301" t="s">
        <v>1840</v>
      </c>
      <c r="F97" s="181">
        <v>10</v>
      </c>
      <c r="G97" s="153">
        <v>890</v>
      </c>
      <c r="H97" s="153">
        <v>150</v>
      </c>
      <c r="I97" s="153">
        <v>40</v>
      </c>
      <c r="J97" s="618" t="s">
        <v>1822</v>
      </c>
      <c r="K97" s="618" t="s">
        <v>1850</v>
      </c>
      <c r="L97" s="156">
        <v>40</v>
      </c>
      <c r="M97" s="157">
        <v>150</v>
      </c>
      <c r="N97" s="157" t="s">
        <v>1559</v>
      </c>
      <c r="O97" s="158">
        <v>1</v>
      </c>
      <c r="P97" s="159">
        <v>0</v>
      </c>
      <c r="Q97" s="159" t="s">
        <v>1238</v>
      </c>
      <c r="R97" s="164">
        <v>20</v>
      </c>
      <c r="S97" s="153">
        <v>1</v>
      </c>
      <c r="T97" s="173">
        <v>7.5</v>
      </c>
      <c r="U97" s="181">
        <v>15</v>
      </c>
      <c r="V97" s="109" t="s">
        <v>1560</v>
      </c>
      <c r="W97" s="153" t="s">
        <v>1828</v>
      </c>
      <c r="X97" s="144" t="s">
        <v>1562</v>
      </c>
      <c r="Y97" s="153" t="s">
        <v>272</v>
      </c>
      <c r="Z97" s="153" t="s">
        <v>1227</v>
      </c>
      <c r="AA97" s="161"/>
      <c r="AB97" s="161"/>
      <c r="AC97" s="320"/>
      <c r="AD97" s="203" t="s">
        <v>1847</v>
      </c>
    </row>
    <row r="98" spans="1:32" s="243" customFormat="1" ht="43.5">
      <c r="A98" s="324" t="s">
        <v>1851</v>
      </c>
      <c r="B98" s="231" t="s">
        <v>1727</v>
      </c>
      <c r="C98" s="232">
        <v>46119</v>
      </c>
      <c r="D98" s="232"/>
      <c r="E98" s="321" t="s">
        <v>1728</v>
      </c>
      <c r="F98" s="240">
        <v>10</v>
      </c>
      <c r="G98" s="233">
        <v>890</v>
      </c>
      <c r="H98" s="233">
        <v>150</v>
      </c>
      <c r="I98" s="322" t="s">
        <v>1715</v>
      </c>
      <c r="J98" s="234" t="s">
        <v>1852</v>
      </c>
      <c r="K98" s="234" t="s">
        <v>1853</v>
      </c>
      <c r="L98" s="323" t="s">
        <v>1236</v>
      </c>
      <c r="M98" s="236">
        <v>150</v>
      </c>
      <c r="N98" s="236" t="s">
        <v>1559</v>
      </c>
      <c r="O98" s="237">
        <v>1</v>
      </c>
      <c r="P98" s="238">
        <v>0</v>
      </c>
      <c r="Q98" s="238" t="s">
        <v>1238</v>
      </c>
      <c r="R98" s="239">
        <v>20</v>
      </c>
      <c r="S98" s="233">
        <v>1</v>
      </c>
      <c r="T98" s="233">
        <v>2</v>
      </c>
      <c r="U98" s="322">
        <v>15</v>
      </c>
      <c r="V98" s="109" t="s">
        <v>1560</v>
      </c>
      <c r="W98" s="233" t="s">
        <v>1725</v>
      </c>
      <c r="X98" s="144" t="s">
        <v>1562</v>
      </c>
      <c r="Y98" s="233" t="s">
        <v>272</v>
      </c>
      <c r="Z98" s="233" t="s">
        <v>1227</v>
      </c>
      <c r="AA98" s="241"/>
      <c r="AB98" s="241"/>
      <c r="AC98" s="242" t="s">
        <v>1854</v>
      </c>
      <c r="AD98" s="248" t="s">
        <v>1855</v>
      </c>
    </row>
    <row r="99" spans="1:32" s="104" customFormat="1" ht="29.1">
      <c r="A99" s="324" t="s">
        <v>1856</v>
      </c>
      <c r="B99" s="231" t="s">
        <v>1727</v>
      </c>
      <c r="C99" s="232">
        <v>46120</v>
      </c>
      <c r="D99" s="232"/>
      <c r="E99" s="321" t="s">
        <v>1728</v>
      </c>
      <c r="F99" s="240">
        <v>10</v>
      </c>
      <c r="G99" s="233">
        <v>890</v>
      </c>
      <c r="H99" s="233">
        <v>150</v>
      </c>
      <c r="I99" s="322" t="s">
        <v>1715</v>
      </c>
      <c r="J99" s="234" t="s">
        <v>1234</v>
      </c>
      <c r="K99" s="234" t="s">
        <v>1853</v>
      </c>
      <c r="L99" s="235" t="s">
        <v>1236</v>
      </c>
      <c r="M99" s="236">
        <v>150</v>
      </c>
      <c r="N99" s="236" t="s">
        <v>1559</v>
      </c>
      <c r="O99" s="237">
        <v>1</v>
      </c>
      <c r="P99" s="238">
        <v>0</v>
      </c>
      <c r="Q99" s="238" t="s">
        <v>1238</v>
      </c>
      <c r="R99" s="239">
        <v>20</v>
      </c>
      <c r="S99" s="233">
        <v>1</v>
      </c>
      <c r="T99" s="525" t="s">
        <v>1844</v>
      </c>
      <c r="U99" s="322">
        <v>15</v>
      </c>
      <c r="V99" s="109" t="s">
        <v>1560</v>
      </c>
      <c r="W99" s="233" t="s">
        <v>1725</v>
      </c>
      <c r="X99" s="144" t="s">
        <v>1562</v>
      </c>
      <c r="Y99" s="233" t="s">
        <v>272</v>
      </c>
      <c r="Z99" s="233" t="s">
        <v>1227</v>
      </c>
      <c r="AA99" s="241"/>
      <c r="AB99" s="241"/>
      <c r="AC99" s="242" t="s">
        <v>1857</v>
      </c>
      <c r="AD99" s="248" t="s">
        <v>1858</v>
      </c>
      <c r="AE99" s="243"/>
      <c r="AF99" s="243"/>
    </row>
    <row r="100" spans="1:32" s="104" customFormat="1" ht="29.1">
      <c r="A100" s="324" t="s">
        <v>1859</v>
      </c>
      <c r="B100" s="231" t="s">
        <v>1727</v>
      </c>
      <c r="C100" s="232">
        <v>46120</v>
      </c>
      <c r="D100" s="232"/>
      <c r="E100" s="321" t="s">
        <v>1728</v>
      </c>
      <c r="F100" s="526">
        <v>10</v>
      </c>
      <c r="G100" s="233">
        <v>890</v>
      </c>
      <c r="H100" s="233">
        <v>150</v>
      </c>
      <c r="I100" s="322" t="s">
        <v>1715</v>
      </c>
      <c r="J100" s="234" t="s">
        <v>1234</v>
      </c>
      <c r="K100" s="234" t="s">
        <v>1853</v>
      </c>
      <c r="L100" s="235" t="s">
        <v>1236</v>
      </c>
      <c r="M100" s="236">
        <v>150</v>
      </c>
      <c r="N100" s="236" t="s">
        <v>1559</v>
      </c>
      <c r="O100" s="237">
        <v>1</v>
      </c>
      <c r="P100" s="238">
        <v>0</v>
      </c>
      <c r="Q100" s="238" t="s">
        <v>1238</v>
      </c>
      <c r="R100" s="239">
        <v>20</v>
      </c>
      <c r="S100" s="233">
        <v>1</v>
      </c>
      <c r="T100" s="525">
        <v>6</v>
      </c>
      <c r="U100" s="322">
        <v>15</v>
      </c>
      <c r="V100" s="109" t="s">
        <v>1560</v>
      </c>
      <c r="W100" s="233" t="s">
        <v>1725</v>
      </c>
      <c r="X100" s="153" t="s">
        <v>1562</v>
      </c>
      <c r="Y100" s="233" t="s">
        <v>272</v>
      </c>
      <c r="Z100" s="233" t="s">
        <v>1227</v>
      </c>
      <c r="AA100" s="241"/>
      <c r="AB100" s="241"/>
      <c r="AC100" s="242" t="s">
        <v>1857</v>
      </c>
      <c r="AD100" s="248" t="s">
        <v>1860</v>
      </c>
      <c r="AE100" s="243"/>
      <c r="AF100" s="243"/>
    </row>
    <row r="101" spans="1:32" s="104" customFormat="1" ht="29.1">
      <c r="A101" s="511" t="s">
        <v>1861</v>
      </c>
      <c r="B101" s="519" t="s">
        <v>1727</v>
      </c>
      <c r="C101" s="527">
        <v>46120</v>
      </c>
      <c r="D101" s="527"/>
      <c r="E101" s="528" t="s">
        <v>1728</v>
      </c>
      <c r="F101" s="529">
        <v>10</v>
      </c>
      <c r="G101" s="530">
        <v>850</v>
      </c>
      <c r="H101" s="531">
        <v>150</v>
      </c>
      <c r="I101" s="532" t="s">
        <v>1715</v>
      </c>
      <c r="J101" s="356" t="s">
        <v>1234</v>
      </c>
      <c r="K101" s="356" t="s">
        <v>1853</v>
      </c>
      <c r="L101" s="337" t="s">
        <v>1236</v>
      </c>
      <c r="M101" s="533">
        <v>150</v>
      </c>
      <c r="N101" s="533" t="s">
        <v>1559</v>
      </c>
      <c r="O101" s="534">
        <v>1</v>
      </c>
      <c r="P101" s="535">
        <v>0</v>
      </c>
      <c r="Q101" s="535" t="s">
        <v>1238</v>
      </c>
      <c r="R101" s="536">
        <v>20</v>
      </c>
      <c r="S101" s="531">
        <v>1</v>
      </c>
      <c r="T101" s="333">
        <v>6</v>
      </c>
      <c r="U101" s="532">
        <v>15</v>
      </c>
      <c r="V101" s="109" t="s">
        <v>1560</v>
      </c>
      <c r="W101" s="531" t="s">
        <v>1725</v>
      </c>
      <c r="X101" s="144" t="s">
        <v>1562</v>
      </c>
      <c r="Y101" s="531" t="s">
        <v>272</v>
      </c>
      <c r="Z101" s="531" t="s">
        <v>1227</v>
      </c>
      <c r="AA101" s="537"/>
      <c r="AB101" s="537"/>
      <c r="AC101" s="538" t="s">
        <v>1857</v>
      </c>
      <c r="AD101" s="539" t="s">
        <v>1862</v>
      </c>
      <c r="AE101" s="540"/>
      <c r="AF101" s="540"/>
    </row>
    <row r="102" spans="1:32" s="104" customFormat="1" ht="29.1">
      <c r="A102" s="332" t="s">
        <v>1863</v>
      </c>
      <c r="B102" s="107" t="s">
        <v>1727</v>
      </c>
      <c r="C102" s="108">
        <v>46121</v>
      </c>
      <c r="D102" s="108"/>
      <c r="E102" s="300" t="s">
        <v>1728</v>
      </c>
      <c r="F102" s="172">
        <v>30</v>
      </c>
      <c r="G102" s="144">
        <v>890</v>
      </c>
      <c r="H102" s="144">
        <v>150</v>
      </c>
      <c r="I102" s="176" t="s">
        <v>1715</v>
      </c>
      <c r="J102" s="146" t="s">
        <v>1234</v>
      </c>
      <c r="K102" s="146" t="s">
        <v>1853</v>
      </c>
      <c r="L102" s="147" t="s">
        <v>1236</v>
      </c>
      <c r="M102" s="148">
        <v>150</v>
      </c>
      <c r="N102" s="148" t="s">
        <v>1559</v>
      </c>
      <c r="O102" s="149">
        <v>1</v>
      </c>
      <c r="P102" s="150">
        <v>0</v>
      </c>
      <c r="Q102" s="150" t="s">
        <v>1238</v>
      </c>
      <c r="R102" s="162">
        <v>20</v>
      </c>
      <c r="S102" s="144">
        <v>1</v>
      </c>
      <c r="T102" s="333">
        <v>6</v>
      </c>
      <c r="U102" s="176">
        <v>15</v>
      </c>
      <c r="V102" s="109" t="s">
        <v>1560</v>
      </c>
      <c r="W102" s="144" t="s">
        <v>1725</v>
      </c>
      <c r="X102" s="144" t="s">
        <v>1562</v>
      </c>
      <c r="Y102" s="144" t="s">
        <v>272</v>
      </c>
      <c r="Z102" s="144" t="s">
        <v>1227</v>
      </c>
      <c r="AA102" s="152"/>
      <c r="AB102" s="152"/>
      <c r="AC102" s="163" t="s">
        <v>1857</v>
      </c>
      <c r="AD102" s="51" t="s">
        <v>1864</v>
      </c>
    </row>
    <row r="103" spans="1:32" s="105" customFormat="1" ht="29.1">
      <c r="A103" s="512" t="s">
        <v>1865</v>
      </c>
      <c r="B103" s="133" t="s">
        <v>1727</v>
      </c>
      <c r="C103" s="134">
        <v>46121</v>
      </c>
      <c r="D103" s="134"/>
      <c r="E103" s="301" t="s">
        <v>1728</v>
      </c>
      <c r="F103" s="173">
        <v>60</v>
      </c>
      <c r="G103" s="153">
        <v>890</v>
      </c>
      <c r="H103" s="153">
        <v>150</v>
      </c>
      <c r="I103" s="181" t="s">
        <v>1715</v>
      </c>
      <c r="J103" s="155" t="s">
        <v>1234</v>
      </c>
      <c r="K103" s="155" t="s">
        <v>1853</v>
      </c>
      <c r="L103" s="156" t="s">
        <v>1236</v>
      </c>
      <c r="M103" s="157">
        <v>150</v>
      </c>
      <c r="N103" s="157" t="s">
        <v>1559</v>
      </c>
      <c r="O103" s="158">
        <v>1</v>
      </c>
      <c r="P103" s="159">
        <v>0</v>
      </c>
      <c r="Q103" s="159" t="s">
        <v>1238</v>
      </c>
      <c r="R103" s="164">
        <v>20</v>
      </c>
      <c r="S103" s="153">
        <v>1</v>
      </c>
      <c r="T103" s="541">
        <v>6</v>
      </c>
      <c r="U103" s="181">
        <v>15</v>
      </c>
      <c r="V103" s="109" t="s">
        <v>1560</v>
      </c>
      <c r="W103" s="153" t="s">
        <v>1725</v>
      </c>
      <c r="X103" s="153" t="s">
        <v>1562</v>
      </c>
      <c r="Y103" s="153" t="s">
        <v>272</v>
      </c>
      <c r="Z103" s="153" t="s">
        <v>1227</v>
      </c>
      <c r="AA103" s="161"/>
      <c r="AB103" s="161"/>
      <c r="AC103" s="165" t="s">
        <v>1857</v>
      </c>
      <c r="AD103" s="203" t="s">
        <v>1866</v>
      </c>
    </row>
    <row r="104" spans="1:32" s="104" customFormat="1" ht="29.1">
      <c r="A104" s="332" t="s">
        <v>1867</v>
      </c>
      <c r="B104" s="610" t="s">
        <v>1865</v>
      </c>
      <c r="C104" s="108">
        <v>46121</v>
      </c>
      <c r="D104" s="108"/>
      <c r="E104" s="617" t="s">
        <v>1868</v>
      </c>
      <c r="F104" s="176">
        <v>60</v>
      </c>
      <c r="G104" s="144">
        <v>890</v>
      </c>
      <c r="H104" s="144">
        <v>150</v>
      </c>
      <c r="I104" s="176" t="s">
        <v>1715</v>
      </c>
      <c r="J104" s="356" t="s">
        <v>1234</v>
      </c>
      <c r="K104" s="146" t="s">
        <v>1853</v>
      </c>
      <c r="L104" s="147" t="s">
        <v>1236</v>
      </c>
      <c r="M104" s="148">
        <v>150</v>
      </c>
      <c r="N104" s="148" t="s">
        <v>1559</v>
      </c>
      <c r="O104" s="149">
        <v>1</v>
      </c>
      <c r="P104" s="150">
        <v>0</v>
      </c>
      <c r="Q104" s="150" t="s">
        <v>1238</v>
      </c>
      <c r="R104" s="162">
        <v>20</v>
      </c>
      <c r="S104" s="172">
        <v>10</v>
      </c>
      <c r="T104" s="333">
        <v>6</v>
      </c>
      <c r="U104" s="176">
        <v>15</v>
      </c>
      <c r="V104" s="109" t="s">
        <v>1560</v>
      </c>
      <c r="W104" s="144" t="s">
        <v>1725</v>
      </c>
      <c r="X104" s="144" t="s">
        <v>1562</v>
      </c>
      <c r="Y104" s="144" t="s">
        <v>272</v>
      </c>
      <c r="Z104" s="144" t="s">
        <v>1227</v>
      </c>
      <c r="AA104" s="152"/>
      <c r="AB104" s="152"/>
      <c r="AC104" s="163" t="s">
        <v>1857</v>
      </c>
      <c r="AD104" s="51" t="s">
        <v>1869</v>
      </c>
    </row>
    <row r="105" spans="1:32" s="104" customFormat="1" ht="29.1">
      <c r="A105" s="332" t="s">
        <v>1870</v>
      </c>
      <c r="B105" s="107" t="s">
        <v>1865</v>
      </c>
      <c r="C105" s="108">
        <v>46121</v>
      </c>
      <c r="D105" s="108"/>
      <c r="E105" s="300" t="s">
        <v>1871</v>
      </c>
      <c r="F105" s="176">
        <v>60</v>
      </c>
      <c r="G105" s="144">
        <v>890</v>
      </c>
      <c r="H105" s="144">
        <v>150</v>
      </c>
      <c r="I105" s="176" t="s">
        <v>1715</v>
      </c>
      <c r="J105" s="146" t="s">
        <v>1234</v>
      </c>
      <c r="K105" s="146" t="s">
        <v>1853</v>
      </c>
      <c r="L105" s="147" t="s">
        <v>1236</v>
      </c>
      <c r="M105" s="148">
        <v>150</v>
      </c>
      <c r="N105" s="148" t="s">
        <v>1559</v>
      </c>
      <c r="O105" s="149">
        <v>1</v>
      </c>
      <c r="P105" s="150">
        <v>0</v>
      </c>
      <c r="Q105" s="150" t="s">
        <v>1238</v>
      </c>
      <c r="R105" s="162">
        <v>20</v>
      </c>
      <c r="S105" s="172">
        <v>1</v>
      </c>
      <c r="T105" s="333">
        <v>6</v>
      </c>
      <c r="U105" s="176">
        <v>15</v>
      </c>
      <c r="V105" s="109" t="s">
        <v>1560</v>
      </c>
      <c r="W105" s="144" t="s">
        <v>1725</v>
      </c>
      <c r="X105" s="144" t="s">
        <v>1562</v>
      </c>
      <c r="Y105" s="144" t="s">
        <v>272</v>
      </c>
      <c r="Z105" s="144" t="s">
        <v>1227</v>
      </c>
      <c r="AA105" s="152"/>
      <c r="AB105" s="152"/>
      <c r="AC105" s="163" t="s">
        <v>1857</v>
      </c>
      <c r="AD105" s="51" t="s">
        <v>1872</v>
      </c>
    </row>
    <row r="106" spans="1:32" s="104" customFormat="1" ht="29.1">
      <c r="A106" s="332" t="s">
        <v>1873</v>
      </c>
      <c r="B106" s="107" t="s">
        <v>1865</v>
      </c>
      <c r="C106" s="108">
        <v>46122</v>
      </c>
      <c r="D106" s="108"/>
      <c r="E106" s="300" t="s">
        <v>1871</v>
      </c>
      <c r="F106" s="176">
        <v>60</v>
      </c>
      <c r="G106" s="144">
        <v>890</v>
      </c>
      <c r="H106" s="144">
        <v>150</v>
      </c>
      <c r="I106" s="176" t="s">
        <v>1715</v>
      </c>
      <c r="J106" s="146" t="s">
        <v>1234</v>
      </c>
      <c r="K106" s="146" t="s">
        <v>1853</v>
      </c>
      <c r="L106" s="147" t="s">
        <v>1236</v>
      </c>
      <c r="M106" s="148">
        <v>150</v>
      </c>
      <c r="N106" s="148" t="s">
        <v>1559</v>
      </c>
      <c r="O106" s="149">
        <v>1</v>
      </c>
      <c r="P106" s="150">
        <v>0</v>
      </c>
      <c r="Q106" s="150" t="s">
        <v>1238</v>
      </c>
      <c r="R106" s="162">
        <v>20</v>
      </c>
      <c r="S106" s="144">
        <v>1</v>
      </c>
      <c r="T106" s="333">
        <v>6</v>
      </c>
      <c r="U106" s="176">
        <v>15</v>
      </c>
      <c r="V106" s="109" t="s">
        <v>1560</v>
      </c>
      <c r="W106" s="144" t="s">
        <v>1725</v>
      </c>
      <c r="X106" s="144" t="s">
        <v>1562</v>
      </c>
      <c r="Y106" s="144" t="s">
        <v>272</v>
      </c>
      <c r="Z106" s="144" t="s">
        <v>1227</v>
      </c>
      <c r="AA106" s="152"/>
      <c r="AB106" s="152"/>
      <c r="AC106" s="163" t="s">
        <v>1857</v>
      </c>
      <c r="AD106" s="51" t="s">
        <v>1874</v>
      </c>
    </row>
    <row r="107" spans="1:32" s="104" customFormat="1" ht="29.1">
      <c r="A107" s="332" t="s">
        <v>1875</v>
      </c>
      <c r="B107" s="107" t="s">
        <v>1865</v>
      </c>
      <c r="C107" s="108">
        <v>46122</v>
      </c>
      <c r="D107" s="108"/>
      <c r="E107" s="300" t="s">
        <v>1871</v>
      </c>
      <c r="F107" s="176">
        <v>60</v>
      </c>
      <c r="G107" s="144">
        <v>890</v>
      </c>
      <c r="H107" s="144">
        <v>150</v>
      </c>
      <c r="I107" s="176" t="s">
        <v>1715</v>
      </c>
      <c r="J107" s="146" t="s">
        <v>1234</v>
      </c>
      <c r="K107" s="146" t="s">
        <v>1853</v>
      </c>
      <c r="L107" s="147" t="s">
        <v>1236</v>
      </c>
      <c r="M107" s="148">
        <v>150</v>
      </c>
      <c r="N107" s="148" t="s">
        <v>1559</v>
      </c>
      <c r="O107" s="149">
        <v>1</v>
      </c>
      <c r="P107" s="150">
        <v>0</v>
      </c>
      <c r="Q107" s="150" t="s">
        <v>1238</v>
      </c>
      <c r="R107" s="162">
        <v>20</v>
      </c>
      <c r="S107" s="144">
        <v>1</v>
      </c>
      <c r="T107" s="333">
        <v>6</v>
      </c>
      <c r="U107" s="176">
        <v>15</v>
      </c>
      <c r="V107" s="109" t="s">
        <v>1560</v>
      </c>
      <c r="W107" s="144" t="s">
        <v>1725</v>
      </c>
      <c r="X107" s="144" t="s">
        <v>1562</v>
      </c>
      <c r="Y107" s="144" t="s">
        <v>272</v>
      </c>
      <c r="Z107" s="144" t="s">
        <v>1227</v>
      </c>
      <c r="AA107" s="152"/>
      <c r="AB107" s="152"/>
      <c r="AC107" s="163" t="s">
        <v>1857</v>
      </c>
      <c r="AD107" s="51" t="s">
        <v>1876</v>
      </c>
    </row>
    <row r="108" spans="1:32" s="104" customFormat="1" ht="29.1">
      <c r="A108" s="332" t="s">
        <v>1877</v>
      </c>
      <c r="B108" s="107" t="s">
        <v>1865</v>
      </c>
      <c r="C108" s="108">
        <v>46122</v>
      </c>
      <c r="D108" s="108"/>
      <c r="E108" s="300" t="s">
        <v>1871</v>
      </c>
      <c r="F108" s="176">
        <v>60</v>
      </c>
      <c r="G108" s="144">
        <v>890</v>
      </c>
      <c r="H108" s="144">
        <v>150</v>
      </c>
      <c r="I108" s="176" t="s">
        <v>1715</v>
      </c>
      <c r="J108" s="146" t="s">
        <v>1234</v>
      </c>
      <c r="K108" s="146" t="s">
        <v>1853</v>
      </c>
      <c r="L108" s="147" t="s">
        <v>1236</v>
      </c>
      <c r="M108" s="148">
        <v>150</v>
      </c>
      <c r="N108" s="148" t="s">
        <v>1559</v>
      </c>
      <c r="O108" s="149">
        <v>1</v>
      </c>
      <c r="P108" s="150">
        <v>0</v>
      </c>
      <c r="Q108" s="150" t="s">
        <v>1238</v>
      </c>
      <c r="R108" s="162">
        <v>20</v>
      </c>
      <c r="S108" s="144">
        <v>1</v>
      </c>
      <c r="T108" s="333">
        <v>6</v>
      </c>
      <c r="U108" s="176">
        <v>15</v>
      </c>
      <c r="V108" s="109" t="s">
        <v>1560</v>
      </c>
      <c r="W108" s="144" t="s">
        <v>1725</v>
      </c>
      <c r="X108" s="144" t="s">
        <v>1562</v>
      </c>
      <c r="Y108" s="144" t="s">
        <v>272</v>
      </c>
      <c r="Z108" s="144" t="s">
        <v>1227</v>
      </c>
      <c r="AA108" s="152"/>
      <c r="AB108" s="152"/>
      <c r="AC108" s="163" t="s">
        <v>1857</v>
      </c>
      <c r="AD108" s="51" t="s">
        <v>1878</v>
      </c>
    </row>
    <row r="109" spans="1:32" s="104" customFormat="1" ht="29.1">
      <c r="A109" s="332" t="s">
        <v>1879</v>
      </c>
      <c r="B109" s="107" t="s">
        <v>1865</v>
      </c>
      <c r="C109" s="108">
        <v>46123</v>
      </c>
      <c r="D109" s="108"/>
      <c r="E109" s="300" t="s">
        <v>1871</v>
      </c>
      <c r="F109" s="176">
        <v>60</v>
      </c>
      <c r="G109" s="144">
        <v>890</v>
      </c>
      <c r="H109" s="144">
        <v>150</v>
      </c>
      <c r="I109" s="176" t="s">
        <v>1715</v>
      </c>
      <c r="J109" s="146" t="s">
        <v>1234</v>
      </c>
      <c r="K109" s="146" t="s">
        <v>1853</v>
      </c>
      <c r="L109" s="147" t="s">
        <v>1236</v>
      </c>
      <c r="M109" s="148">
        <v>150</v>
      </c>
      <c r="N109" s="148" t="s">
        <v>1559</v>
      </c>
      <c r="O109" s="149">
        <v>1</v>
      </c>
      <c r="P109" s="150">
        <v>0</v>
      </c>
      <c r="Q109" s="150" t="s">
        <v>1238</v>
      </c>
      <c r="R109" s="162">
        <v>20</v>
      </c>
      <c r="S109" s="144">
        <v>1</v>
      </c>
      <c r="T109" s="333">
        <v>6</v>
      </c>
      <c r="U109" s="176">
        <v>15</v>
      </c>
      <c r="V109" s="109" t="s">
        <v>1560</v>
      </c>
      <c r="W109" s="172" t="s">
        <v>1880</v>
      </c>
      <c r="X109" s="144" t="s">
        <v>1562</v>
      </c>
      <c r="Y109" s="144" t="s">
        <v>272</v>
      </c>
      <c r="Z109" s="144" t="s">
        <v>1227</v>
      </c>
      <c r="AA109" s="152"/>
      <c r="AB109" s="152"/>
      <c r="AC109" s="163" t="s">
        <v>1857</v>
      </c>
      <c r="AD109" s="51" t="s">
        <v>1878</v>
      </c>
    </row>
    <row r="110" spans="1:32" s="104" customFormat="1" ht="29.1">
      <c r="A110" s="332" t="s">
        <v>1881</v>
      </c>
      <c r="B110" s="107" t="s">
        <v>1865</v>
      </c>
      <c r="C110" s="108">
        <v>46124</v>
      </c>
      <c r="D110" s="108"/>
      <c r="E110" s="300" t="s">
        <v>1871</v>
      </c>
      <c r="F110" s="176">
        <v>60</v>
      </c>
      <c r="G110" s="144">
        <v>890</v>
      </c>
      <c r="H110" s="144">
        <v>150</v>
      </c>
      <c r="I110" s="176" t="s">
        <v>1715</v>
      </c>
      <c r="J110" s="220" t="s">
        <v>1852</v>
      </c>
      <c r="K110" s="146" t="s">
        <v>1853</v>
      </c>
      <c r="L110" s="147" t="s">
        <v>1236</v>
      </c>
      <c r="M110" s="148">
        <v>150</v>
      </c>
      <c r="N110" s="148" t="s">
        <v>1559</v>
      </c>
      <c r="O110" s="149">
        <v>1</v>
      </c>
      <c r="P110" s="150">
        <v>0</v>
      </c>
      <c r="Q110" s="150" t="s">
        <v>1238</v>
      </c>
      <c r="R110" s="162">
        <v>20</v>
      </c>
      <c r="S110" s="144">
        <v>1</v>
      </c>
      <c r="T110" s="333">
        <v>6</v>
      </c>
      <c r="U110" s="176">
        <v>15</v>
      </c>
      <c r="V110" s="109" t="s">
        <v>1560</v>
      </c>
      <c r="W110" s="144" t="s">
        <v>1725</v>
      </c>
      <c r="X110" s="144" t="s">
        <v>1562</v>
      </c>
      <c r="Y110" s="144" t="s">
        <v>272</v>
      </c>
      <c r="Z110" s="144" t="s">
        <v>1227</v>
      </c>
      <c r="AA110" s="152"/>
      <c r="AB110" s="152"/>
      <c r="AC110" s="163" t="s">
        <v>1857</v>
      </c>
      <c r="AD110" s="51" t="s">
        <v>1882</v>
      </c>
    </row>
    <row r="111" spans="1:32" s="104" customFormat="1" ht="29.1">
      <c r="A111" s="332" t="s">
        <v>1883</v>
      </c>
      <c r="B111" s="107" t="s">
        <v>1865</v>
      </c>
      <c r="C111" s="108">
        <v>46124</v>
      </c>
      <c r="D111" s="108"/>
      <c r="E111" s="300" t="s">
        <v>1871</v>
      </c>
      <c r="F111" s="176">
        <v>60</v>
      </c>
      <c r="G111" s="144">
        <v>890</v>
      </c>
      <c r="H111" s="144">
        <v>150</v>
      </c>
      <c r="I111" s="176" t="s">
        <v>1715</v>
      </c>
      <c r="J111" s="146" t="s">
        <v>1234</v>
      </c>
      <c r="K111" s="146" t="s">
        <v>1853</v>
      </c>
      <c r="L111" s="147" t="s">
        <v>1236</v>
      </c>
      <c r="M111" s="148">
        <v>150</v>
      </c>
      <c r="N111" s="148" t="s">
        <v>1559</v>
      </c>
      <c r="O111" s="149">
        <v>1</v>
      </c>
      <c r="P111" s="150">
        <v>0</v>
      </c>
      <c r="Q111" s="150" t="s">
        <v>1238</v>
      </c>
      <c r="R111" s="162">
        <v>20</v>
      </c>
      <c r="S111" s="144">
        <v>1</v>
      </c>
      <c r="T111" s="333">
        <v>6</v>
      </c>
      <c r="U111" s="176">
        <v>15</v>
      </c>
      <c r="V111" s="109" t="s">
        <v>1560</v>
      </c>
      <c r="W111" s="144" t="s">
        <v>1725</v>
      </c>
      <c r="X111" s="144" t="s">
        <v>1562</v>
      </c>
      <c r="Y111" s="144" t="s">
        <v>272</v>
      </c>
      <c r="Z111" s="144" t="s">
        <v>1227</v>
      </c>
      <c r="AA111" s="152"/>
      <c r="AB111" s="152"/>
      <c r="AC111" s="163" t="s">
        <v>1857</v>
      </c>
      <c r="AD111" s="51" t="s">
        <v>1884</v>
      </c>
    </row>
    <row r="112" spans="1:32" s="104" customFormat="1" ht="29.1">
      <c r="A112" s="332" t="s">
        <v>1885</v>
      </c>
      <c r="B112" s="107" t="s">
        <v>1865</v>
      </c>
      <c r="C112" s="108">
        <v>46124</v>
      </c>
      <c r="D112" s="108"/>
      <c r="E112" s="300" t="s">
        <v>1886</v>
      </c>
      <c r="F112" s="176">
        <v>60</v>
      </c>
      <c r="G112" s="144">
        <v>890</v>
      </c>
      <c r="H112" s="144">
        <v>150</v>
      </c>
      <c r="I112" s="176" t="s">
        <v>1715</v>
      </c>
      <c r="J112" s="146" t="s">
        <v>1234</v>
      </c>
      <c r="K112" s="146" t="s">
        <v>1853</v>
      </c>
      <c r="L112" s="147" t="s">
        <v>1236</v>
      </c>
      <c r="M112" s="148">
        <v>150</v>
      </c>
      <c r="N112" s="148" t="s">
        <v>1559</v>
      </c>
      <c r="O112" s="149">
        <v>1</v>
      </c>
      <c r="P112" s="150">
        <v>0</v>
      </c>
      <c r="Q112" s="150" t="s">
        <v>1238</v>
      </c>
      <c r="R112" s="162">
        <v>20</v>
      </c>
      <c r="S112" s="144">
        <v>1</v>
      </c>
      <c r="T112" s="333">
        <v>6</v>
      </c>
      <c r="U112" s="176">
        <v>15</v>
      </c>
      <c r="V112" s="109" t="s">
        <v>1560</v>
      </c>
      <c r="W112" s="274" t="s">
        <v>1887</v>
      </c>
      <c r="X112" s="144" t="s">
        <v>1562</v>
      </c>
      <c r="Y112" s="144" t="s">
        <v>272</v>
      </c>
      <c r="Z112" s="144" t="s">
        <v>1227</v>
      </c>
      <c r="AA112" s="152"/>
      <c r="AB112" s="152"/>
      <c r="AC112" s="163" t="s">
        <v>1857</v>
      </c>
      <c r="AD112" s="51" t="s">
        <v>1888</v>
      </c>
    </row>
    <row r="113" spans="1:31" s="104" customFormat="1" ht="29.1">
      <c r="A113" s="332" t="s">
        <v>1889</v>
      </c>
      <c r="B113" s="107" t="s">
        <v>1865</v>
      </c>
      <c r="C113" s="108">
        <v>46125</v>
      </c>
      <c r="D113" s="108"/>
      <c r="E113" s="300" t="s">
        <v>1886</v>
      </c>
      <c r="F113" s="176">
        <v>60</v>
      </c>
      <c r="G113" s="144">
        <v>890</v>
      </c>
      <c r="H113" s="144">
        <v>150</v>
      </c>
      <c r="I113" s="176" t="s">
        <v>1715</v>
      </c>
      <c r="J113" s="146" t="s">
        <v>1234</v>
      </c>
      <c r="K113" s="146" t="s">
        <v>1853</v>
      </c>
      <c r="L113" s="147" t="s">
        <v>1236</v>
      </c>
      <c r="M113" s="148">
        <v>150</v>
      </c>
      <c r="N113" s="148" t="s">
        <v>1559</v>
      </c>
      <c r="O113" s="149">
        <v>1</v>
      </c>
      <c r="P113" s="150">
        <v>0</v>
      </c>
      <c r="Q113" s="150" t="s">
        <v>1238</v>
      </c>
      <c r="R113" s="162">
        <v>20</v>
      </c>
      <c r="S113" s="144">
        <v>1</v>
      </c>
      <c r="T113" s="333">
        <v>6</v>
      </c>
      <c r="U113" s="176">
        <v>15</v>
      </c>
      <c r="V113" s="109" t="s">
        <v>1560</v>
      </c>
      <c r="W113" s="274" t="s">
        <v>1735</v>
      </c>
      <c r="X113" s="144" t="s">
        <v>1562</v>
      </c>
      <c r="Y113" s="144" t="s">
        <v>272</v>
      </c>
      <c r="Z113" s="144" t="s">
        <v>1227</v>
      </c>
      <c r="AA113" s="152"/>
      <c r="AB113" s="152"/>
      <c r="AC113" s="163" t="s">
        <v>1857</v>
      </c>
      <c r="AD113" s="51" t="s">
        <v>1890</v>
      </c>
    </row>
    <row r="114" spans="1:31" s="104" customFormat="1" ht="29.1">
      <c r="A114" s="332" t="s">
        <v>1891</v>
      </c>
      <c r="B114" s="107" t="s">
        <v>1865</v>
      </c>
      <c r="C114" s="108">
        <v>46125</v>
      </c>
      <c r="D114" s="108"/>
      <c r="E114" s="300" t="s">
        <v>1886</v>
      </c>
      <c r="F114" s="176">
        <v>60</v>
      </c>
      <c r="G114" s="144">
        <v>890</v>
      </c>
      <c r="H114" s="144">
        <v>150</v>
      </c>
      <c r="I114" s="176" t="s">
        <v>1715</v>
      </c>
      <c r="J114" s="146" t="s">
        <v>1234</v>
      </c>
      <c r="K114" s="146" t="s">
        <v>1853</v>
      </c>
      <c r="L114" s="147" t="s">
        <v>1236</v>
      </c>
      <c r="M114" s="148">
        <v>150</v>
      </c>
      <c r="N114" s="148" t="s">
        <v>1559</v>
      </c>
      <c r="O114" s="149">
        <v>1</v>
      </c>
      <c r="P114" s="150">
        <v>0</v>
      </c>
      <c r="Q114" s="150" t="s">
        <v>1238</v>
      </c>
      <c r="R114" s="162">
        <v>20</v>
      </c>
      <c r="S114" s="144">
        <v>1</v>
      </c>
      <c r="T114" s="333">
        <v>6</v>
      </c>
      <c r="U114" s="176">
        <v>15</v>
      </c>
      <c r="V114" s="109" t="s">
        <v>1560</v>
      </c>
      <c r="W114" s="274" t="s">
        <v>1892</v>
      </c>
      <c r="X114" s="144" t="s">
        <v>1562</v>
      </c>
      <c r="Y114" s="144" t="s">
        <v>272</v>
      </c>
      <c r="Z114" s="144" t="s">
        <v>1227</v>
      </c>
      <c r="AA114" s="152"/>
      <c r="AB114" s="152"/>
      <c r="AC114" s="163" t="s">
        <v>1857</v>
      </c>
      <c r="AD114" s="51" t="s">
        <v>1893</v>
      </c>
    </row>
    <row r="115" spans="1:31" s="104" customFormat="1" ht="29.1">
      <c r="A115" s="332" t="s">
        <v>1894</v>
      </c>
      <c r="B115" s="107" t="s">
        <v>1865</v>
      </c>
      <c r="C115" s="108">
        <v>46125</v>
      </c>
      <c r="D115" s="108"/>
      <c r="E115" s="300" t="s">
        <v>1886</v>
      </c>
      <c r="F115" s="176">
        <v>60</v>
      </c>
      <c r="G115" s="144">
        <v>890</v>
      </c>
      <c r="H115" s="144">
        <v>150</v>
      </c>
      <c r="I115" s="176" t="s">
        <v>1715</v>
      </c>
      <c r="J115" s="146" t="s">
        <v>1234</v>
      </c>
      <c r="K115" s="146" t="s">
        <v>1853</v>
      </c>
      <c r="L115" s="147" t="s">
        <v>1236</v>
      </c>
      <c r="M115" s="148">
        <v>150</v>
      </c>
      <c r="N115" s="148" t="s">
        <v>1559</v>
      </c>
      <c r="O115" s="149">
        <v>1</v>
      </c>
      <c r="P115" s="150">
        <v>0</v>
      </c>
      <c r="Q115" s="150" t="s">
        <v>1238</v>
      </c>
      <c r="R115" s="162">
        <v>20</v>
      </c>
      <c r="S115" s="144">
        <v>1</v>
      </c>
      <c r="T115" s="333">
        <v>6</v>
      </c>
      <c r="U115" s="176">
        <v>15</v>
      </c>
      <c r="V115" s="109" t="s">
        <v>1560</v>
      </c>
      <c r="W115" s="274" t="s">
        <v>1895</v>
      </c>
      <c r="X115" s="144" t="s">
        <v>1562</v>
      </c>
      <c r="Y115" s="144" t="s">
        <v>272</v>
      </c>
      <c r="Z115" s="144" t="s">
        <v>1227</v>
      </c>
      <c r="AA115" s="152"/>
      <c r="AB115" s="152"/>
      <c r="AC115" s="163" t="s">
        <v>1857</v>
      </c>
      <c r="AD115" s="51" t="s">
        <v>1896</v>
      </c>
    </row>
    <row r="116" spans="1:31" s="104" customFormat="1" ht="29.1">
      <c r="A116" s="332" t="s">
        <v>1897</v>
      </c>
      <c r="B116" s="107" t="s">
        <v>1865</v>
      </c>
      <c r="C116" s="108">
        <v>46130</v>
      </c>
      <c r="D116" s="108"/>
      <c r="E116" s="300" t="s">
        <v>1886</v>
      </c>
      <c r="F116" s="176">
        <v>60</v>
      </c>
      <c r="G116" s="144">
        <v>890</v>
      </c>
      <c r="H116" s="144">
        <v>150</v>
      </c>
      <c r="I116" s="176" t="s">
        <v>1715</v>
      </c>
      <c r="J116" s="146" t="s">
        <v>1234</v>
      </c>
      <c r="K116" s="146" t="s">
        <v>1853</v>
      </c>
      <c r="L116" s="147" t="s">
        <v>1236</v>
      </c>
      <c r="M116" s="148">
        <v>150</v>
      </c>
      <c r="N116" s="148" t="s">
        <v>1559</v>
      </c>
      <c r="O116" s="149">
        <v>1</v>
      </c>
      <c r="P116" s="150">
        <v>0</v>
      </c>
      <c r="Q116" s="150" t="s">
        <v>1238</v>
      </c>
      <c r="R116" s="162">
        <v>20</v>
      </c>
      <c r="S116" s="144">
        <v>1</v>
      </c>
      <c r="T116" s="333">
        <v>6</v>
      </c>
      <c r="U116" s="176">
        <v>15</v>
      </c>
      <c r="V116" s="109" t="s">
        <v>1560</v>
      </c>
      <c r="W116" s="274" t="s">
        <v>1898</v>
      </c>
      <c r="X116" s="144" t="s">
        <v>1562</v>
      </c>
      <c r="Y116" s="144" t="s">
        <v>272</v>
      </c>
      <c r="Z116" s="144" t="s">
        <v>1227</v>
      </c>
      <c r="AA116" s="152"/>
      <c r="AB116" s="152"/>
      <c r="AC116" s="163" t="s">
        <v>1857</v>
      </c>
      <c r="AD116" s="51" t="s">
        <v>1899</v>
      </c>
    </row>
    <row r="117" spans="1:31" s="104" customFormat="1" ht="29.1">
      <c r="A117" s="332" t="s">
        <v>1900</v>
      </c>
      <c r="B117" s="107" t="s">
        <v>1897</v>
      </c>
      <c r="C117" s="108">
        <v>46130</v>
      </c>
      <c r="D117" s="108"/>
      <c r="E117" s="300" t="s">
        <v>1886</v>
      </c>
      <c r="F117" s="176">
        <v>60</v>
      </c>
      <c r="G117" s="144">
        <v>890</v>
      </c>
      <c r="H117" s="144">
        <v>150</v>
      </c>
      <c r="I117" s="172" t="s">
        <v>1901</v>
      </c>
      <c r="J117" s="146" t="s">
        <v>1234</v>
      </c>
      <c r="K117" s="146" t="s">
        <v>1853</v>
      </c>
      <c r="L117" s="147" t="s">
        <v>1236</v>
      </c>
      <c r="M117" s="148">
        <v>150</v>
      </c>
      <c r="N117" s="148" t="s">
        <v>1559</v>
      </c>
      <c r="O117" s="149">
        <v>1</v>
      </c>
      <c r="P117" s="150">
        <v>0</v>
      </c>
      <c r="Q117" s="150" t="s">
        <v>1238</v>
      </c>
      <c r="R117" s="162">
        <v>20</v>
      </c>
      <c r="S117" s="144">
        <v>1</v>
      </c>
      <c r="T117" s="333">
        <v>6</v>
      </c>
      <c r="U117" s="176">
        <v>15</v>
      </c>
      <c r="V117" s="109" t="s">
        <v>1560</v>
      </c>
      <c r="W117" s="335" t="s">
        <v>1898</v>
      </c>
      <c r="X117" s="144" t="s">
        <v>1562</v>
      </c>
      <c r="Y117" s="144" t="s">
        <v>272</v>
      </c>
      <c r="Z117" s="144" t="s">
        <v>1227</v>
      </c>
      <c r="AA117" s="152"/>
      <c r="AB117" s="152"/>
      <c r="AC117" s="163" t="s">
        <v>1857</v>
      </c>
      <c r="AD117" s="51" t="s">
        <v>1902</v>
      </c>
    </row>
    <row r="118" spans="1:31" s="104" customFormat="1" ht="29.1">
      <c r="A118" s="332" t="s">
        <v>1903</v>
      </c>
      <c r="B118" s="107" t="s">
        <v>1897</v>
      </c>
      <c r="C118" s="108">
        <v>46130</v>
      </c>
      <c r="D118" s="108"/>
      <c r="E118" s="300" t="s">
        <v>1886</v>
      </c>
      <c r="F118" s="176">
        <v>60</v>
      </c>
      <c r="G118" s="144">
        <v>890</v>
      </c>
      <c r="H118" s="144">
        <v>150</v>
      </c>
      <c r="I118" s="172" t="s">
        <v>1904</v>
      </c>
      <c r="J118" s="146" t="s">
        <v>1234</v>
      </c>
      <c r="K118" s="146" t="s">
        <v>1853</v>
      </c>
      <c r="L118" s="147" t="s">
        <v>1236</v>
      </c>
      <c r="M118" s="148">
        <v>150</v>
      </c>
      <c r="N118" s="148" t="s">
        <v>1559</v>
      </c>
      <c r="O118" s="149">
        <v>1</v>
      </c>
      <c r="P118" s="150">
        <v>0</v>
      </c>
      <c r="Q118" s="150" t="s">
        <v>1238</v>
      </c>
      <c r="R118" s="162">
        <v>20</v>
      </c>
      <c r="S118" s="144">
        <v>1</v>
      </c>
      <c r="T118" s="333">
        <v>6</v>
      </c>
      <c r="U118" s="176">
        <v>15</v>
      </c>
      <c r="V118" s="109" t="s">
        <v>1560</v>
      </c>
      <c r="W118" s="274" t="s">
        <v>1905</v>
      </c>
      <c r="X118" s="144" t="s">
        <v>1562</v>
      </c>
      <c r="Y118" s="144" t="s">
        <v>272</v>
      </c>
      <c r="Z118" s="144" t="s">
        <v>1227</v>
      </c>
      <c r="AA118" s="152"/>
      <c r="AB118" s="152"/>
      <c r="AC118" s="163" t="s">
        <v>1857</v>
      </c>
      <c r="AD118" s="51" t="s">
        <v>1906</v>
      </c>
    </row>
    <row r="119" spans="1:31" s="104" customFormat="1" ht="29.1">
      <c r="A119" s="332" t="s">
        <v>1907</v>
      </c>
      <c r="B119" s="107" t="s">
        <v>1865</v>
      </c>
      <c r="C119" s="108">
        <v>46131</v>
      </c>
      <c r="D119" s="108"/>
      <c r="E119" s="300" t="s">
        <v>1886</v>
      </c>
      <c r="F119" s="176">
        <v>60</v>
      </c>
      <c r="G119" s="144">
        <v>890</v>
      </c>
      <c r="H119" s="144">
        <v>150</v>
      </c>
      <c r="I119" s="176" t="s">
        <v>1715</v>
      </c>
      <c r="J119" s="146" t="s">
        <v>1234</v>
      </c>
      <c r="K119" s="146" t="s">
        <v>1853</v>
      </c>
      <c r="L119" s="147" t="s">
        <v>1236</v>
      </c>
      <c r="M119" s="148">
        <v>150</v>
      </c>
      <c r="N119" s="148" t="s">
        <v>1559</v>
      </c>
      <c r="O119" s="149">
        <v>1</v>
      </c>
      <c r="P119" s="150">
        <v>0</v>
      </c>
      <c r="Q119" s="150" t="s">
        <v>1238</v>
      </c>
      <c r="R119" s="162">
        <v>20</v>
      </c>
      <c r="S119" s="144">
        <v>1</v>
      </c>
      <c r="T119" s="333">
        <v>6</v>
      </c>
      <c r="U119" s="176">
        <v>15</v>
      </c>
      <c r="V119" s="109" t="s">
        <v>1560</v>
      </c>
      <c r="W119" s="274" t="s">
        <v>1905</v>
      </c>
      <c r="X119" s="144" t="s">
        <v>1562</v>
      </c>
      <c r="Y119" s="144" t="s">
        <v>272</v>
      </c>
      <c r="Z119" s="144" t="s">
        <v>1227</v>
      </c>
      <c r="AA119" s="152"/>
      <c r="AB119" s="152"/>
      <c r="AC119" s="163" t="s">
        <v>1857</v>
      </c>
      <c r="AD119" s="51" t="s">
        <v>1908</v>
      </c>
    </row>
    <row r="120" spans="1:31" s="104" customFormat="1" ht="29.1">
      <c r="A120" s="332" t="s">
        <v>1909</v>
      </c>
      <c r="B120" s="107" t="s">
        <v>1897</v>
      </c>
      <c r="C120" s="108">
        <v>46131</v>
      </c>
      <c r="D120" s="108"/>
      <c r="E120" s="300" t="s">
        <v>1886</v>
      </c>
      <c r="F120" s="172">
        <v>90</v>
      </c>
      <c r="G120" s="144">
        <v>890</v>
      </c>
      <c r="H120" s="144">
        <v>150</v>
      </c>
      <c r="I120" s="176" t="s">
        <v>1715</v>
      </c>
      <c r="J120" s="146" t="s">
        <v>1234</v>
      </c>
      <c r="K120" s="146" t="s">
        <v>1853</v>
      </c>
      <c r="L120" s="147" t="s">
        <v>1236</v>
      </c>
      <c r="M120" s="148">
        <v>150</v>
      </c>
      <c r="N120" s="515" t="s">
        <v>1559</v>
      </c>
      <c r="O120" s="149">
        <v>1</v>
      </c>
      <c r="P120" s="150">
        <v>0</v>
      </c>
      <c r="Q120" s="150" t="s">
        <v>1238</v>
      </c>
      <c r="R120" s="162">
        <v>20</v>
      </c>
      <c r="S120" s="144">
        <v>1</v>
      </c>
      <c r="T120" s="333">
        <v>6</v>
      </c>
      <c r="U120" s="176">
        <v>15</v>
      </c>
      <c r="V120" s="109" t="s">
        <v>1560</v>
      </c>
      <c r="W120" s="335" t="s">
        <v>1898</v>
      </c>
      <c r="X120" s="144" t="s">
        <v>1562</v>
      </c>
      <c r="Y120" s="144" t="s">
        <v>272</v>
      </c>
      <c r="Z120" s="144" t="s">
        <v>1227</v>
      </c>
      <c r="AA120" s="152"/>
      <c r="AB120" s="152"/>
      <c r="AC120" s="163" t="s">
        <v>1857</v>
      </c>
      <c r="AD120" s="51" t="s">
        <v>1910</v>
      </c>
    </row>
    <row r="121" spans="1:31" s="104" customFormat="1" ht="29.1">
      <c r="A121" s="332" t="s">
        <v>1911</v>
      </c>
      <c r="B121" s="107" t="s">
        <v>1897</v>
      </c>
      <c r="C121" s="108">
        <v>46131</v>
      </c>
      <c r="D121" s="108"/>
      <c r="E121" s="300" t="s">
        <v>1886</v>
      </c>
      <c r="F121" s="172">
        <v>200</v>
      </c>
      <c r="G121" s="144">
        <v>890</v>
      </c>
      <c r="H121" s="144">
        <v>150</v>
      </c>
      <c r="I121" s="176" t="s">
        <v>1715</v>
      </c>
      <c r="J121" s="146" t="s">
        <v>1234</v>
      </c>
      <c r="K121" s="146" t="s">
        <v>1853</v>
      </c>
      <c r="L121" s="147" t="s">
        <v>1236</v>
      </c>
      <c r="M121" s="148">
        <v>150</v>
      </c>
      <c r="N121" s="148" t="s">
        <v>1559</v>
      </c>
      <c r="O121" s="149">
        <v>1</v>
      </c>
      <c r="P121" s="150">
        <v>0</v>
      </c>
      <c r="Q121" s="150" t="s">
        <v>1238</v>
      </c>
      <c r="R121" s="162">
        <v>20</v>
      </c>
      <c r="S121" s="144">
        <v>1</v>
      </c>
      <c r="T121" s="333">
        <v>6</v>
      </c>
      <c r="U121" s="176">
        <v>15</v>
      </c>
      <c r="V121" s="109" t="s">
        <v>1560</v>
      </c>
      <c r="W121" s="335" t="s">
        <v>1898</v>
      </c>
      <c r="X121" s="144" t="s">
        <v>1562</v>
      </c>
      <c r="Y121" s="144" t="s">
        <v>272</v>
      </c>
      <c r="Z121" s="144" t="s">
        <v>1227</v>
      </c>
      <c r="AA121" s="152"/>
      <c r="AB121" s="152"/>
      <c r="AC121" s="163" t="s">
        <v>1857</v>
      </c>
      <c r="AD121" s="51" t="s">
        <v>1912</v>
      </c>
      <c r="AE121" s="104" t="s">
        <v>1913</v>
      </c>
    </row>
    <row r="122" spans="1:31" s="104" customFormat="1" ht="29.1">
      <c r="A122" s="332" t="s">
        <v>1914</v>
      </c>
      <c r="B122" s="107" t="s">
        <v>1897</v>
      </c>
      <c r="C122" s="108">
        <v>46132</v>
      </c>
      <c r="D122" s="108"/>
      <c r="E122" s="300" t="s">
        <v>1886</v>
      </c>
      <c r="F122" s="172">
        <v>200</v>
      </c>
      <c r="G122" s="144">
        <v>890</v>
      </c>
      <c r="H122" s="144">
        <v>150</v>
      </c>
      <c r="I122" s="176" t="s">
        <v>1715</v>
      </c>
      <c r="J122" s="146" t="s">
        <v>1234</v>
      </c>
      <c r="K122" s="146" t="s">
        <v>1853</v>
      </c>
      <c r="L122" s="147" t="s">
        <v>1236</v>
      </c>
      <c r="M122" s="336">
        <v>220</v>
      </c>
      <c r="N122" s="148" t="s">
        <v>1559</v>
      </c>
      <c r="O122" s="149">
        <v>1</v>
      </c>
      <c r="P122" s="150">
        <v>0</v>
      </c>
      <c r="Q122" s="150" t="s">
        <v>1238</v>
      </c>
      <c r="R122" s="162">
        <v>20</v>
      </c>
      <c r="S122" s="144">
        <v>1</v>
      </c>
      <c r="T122" s="333">
        <v>6</v>
      </c>
      <c r="U122" s="176">
        <v>15</v>
      </c>
      <c r="V122" s="109" t="s">
        <v>1560</v>
      </c>
      <c r="W122" s="335" t="s">
        <v>1898</v>
      </c>
      <c r="X122" s="144" t="s">
        <v>1562</v>
      </c>
      <c r="Y122" s="144" t="s">
        <v>272</v>
      </c>
      <c r="Z122" s="144" t="s">
        <v>1227</v>
      </c>
      <c r="AA122" s="152"/>
      <c r="AB122" s="152"/>
      <c r="AC122" s="163" t="s">
        <v>1857</v>
      </c>
      <c r="AD122" s="51" t="s">
        <v>1915</v>
      </c>
      <c r="AE122" s="104" t="s">
        <v>1916</v>
      </c>
    </row>
    <row r="123" spans="1:31" s="104" customFormat="1" ht="29.1">
      <c r="A123" s="332" t="s">
        <v>1917</v>
      </c>
      <c r="B123" s="107" t="s">
        <v>1897</v>
      </c>
      <c r="C123" s="108">
        <v>46132</v>
      </c>
      <c r="D123" s="108"/>
      <c r="E123" s="300" t="s">
        <v>1886</v>
      </c>
      <c r="F123" s="176">
        <v>60</v>
      </c>
      <c r="G123" s="144">
        <v>890</v>
      </c>
      <c r="H123" s="144">
        <v>150</v>
      </c>
      <c r="I123" s="176" t="s">
        <v>1715</v>
      </c>
      <c r="J123" s="146" t="s">
        <v>1234</v>
      </c>
      <c r="K123" s="146" t="s">
        <v>1853</v>
      </c>
      <c r="L123" s="147" t="s">
        <v>1236</v>
      </c>
      <c r="M123" s="339">
        <v>150</v>
      </c>
      <c r="N123" s="148" t="s">
        <v>1559</v>
      </c>
      <c r="O123" s="149">
        <v>1</v>
      </c>
      <c r="P123" s="150">
        <v>0</v>
      </c>
      <c r="Q123" s="150" t="s">
        <v>1238</v>
      </c>
      <c r="R123" s="162">
        <v>20</v>
      </c>
      <c r="S123" s="144">
        <v>1</v>
      </c>
      <c r="T123" s="333">
        <v>6</v>
      </c>
      <c r="U123" s="172">
        <v>17</v>
      </c>
      <c r="V123" s="109" t="s">
        <v>1560</v>
      </c>
      <c r="W123" s="335" t="s">
        <v>1898</v>
      </c>
      <c r="X123" s="144" t="s">
        <v>1562</v>
      </c>
      <c r="Y123" s="144" t="s">
        <v>272</v>
      </c>
      <c r="Z123" s="144" t="s">
        <v>1227</v>
      </c>
      <c r="AA123" s="152"/>
      <c r="AB123" s="152"/>
      <c r="AC123" s="163" t="s">
        <v>1857</v>
      </c>
      <c r="AD123" s="51" t="s">
        <v>1918</v>
      </c>
    </row>
    <row r="124" spans="1:31" s="104" customFormat="1" ht="29.1">
      <c r="A124" s="518" t="s">
        <v>1919</v>
      </c>
      <c r="B124" s="107" t="s">
        <v>1897</v>
      </c>
      <c r="C124" s="108">
        <v>46132</v>
      </c>
      <c r="D124" s="108"/>
      <c r="E124" s="300" t="s">
        <v>1886</v>
      </c>
      <c r="F124" s="172">
        <v>55</v>
      </c>
      <c r="G124" s="144">
        <v>890</v>
      </c>
      <c r="H124" s="144">
        <v>150</v>
      </c>
      <c r="I124" s="176" t="s">
        <v>1715</v>
      </c>
      <c r="J124" s="146" t="s">
        <v>1234</v>
      </c>
      <c r="K124" s="146" t="s">
        <v>1853</v>
      </c>
      <c r="L124" s="147" t="s">
        <v>1236</v>
      </c>
      <c r="M124" s="339">
        <v>150</v>
      </c>
      <c r="N124" s="148" t="s">
        <v>1559</v>
      </c>
      <c r="O124" s="149">
        <v>1</v>
      </c>
      <c r="P124" s="150">
        <v>0</v>
      </c>
      <c r="Q124" s="150" t="s">
        <v>1238</v>
      </c>
      <c r="R124" s="162">
        <v>20</v>
      </c>
      <c r="S124" s="144">
        <v>1</v>
      </c>
      <c r="T124" s="333">
        <v>6</v>
      </c>
      <c r="U124" s="176">
        <v>15</v>
      </c>
      <c r="V124" s="109" t="s">
        <v>1560</v>
      </c>
      <c r="W124" s="335" t="s">
        <v>1898</v>
      </c>
      <c r="X124" s="144" t="s">
        <v>1562</v>
      </c>
      <c r="Y124" s="144" t="s">
        <v>272</v>
      </c>
      <c r="Z124" s="144" t="s">
        <v>1227</v>
      </c>
      <c r="AA124" s="152"/>
      <c r="AB124" s="152"/>
      <c r="AC124" s="163" t="s">
        <v>1857</v>
      </c>
      <c r="AD124" s="51" t="s">
        <v>1920</v>
      </c>
    </row>
    <row r="125" spans="1:31" s="104" customFormat="1" ht="29.1">
      <c r="A125" s="347" t="s">
        <v>1921</v>
      </c>
      <c r="B125" s="610" t="s">
        <v>1919</v>
      </c>
      <c r="C125" s="108">
        <v>46133</v>
      </c>
      <c r="D125" s="108"/>
      <c r="E125" s="300" t="s">
        <v>1886</v>
      </c>
      <c r="F125" s="176">
        <v>55</v>
      </c>
      <c r="G125" s="144">
        <v>890</v>
      </c>
      <c r="H125" s="144">
        <v>150</v>
      </c>
      <c r="I125" s="176" t="s">
        <v>1715</v>
      </c>
      <c r="J125" s="146" t="s">
        <v>1234</v>
      </c>
      <c r="K125" s="146" t="s">
        <v>1853</v>
      </c>
      <c r="L125" s="147" t="s">
        <v>1236</v>
      </c>
      <c r="M125" s="339">
        <v>150</v>
      </c>
      <c r="N125" s="148" t="s">
        <v>1559</v>
      </c>
      <c r="O125" s="149">
        <v>1</v>
      </c>
      <c r="P125" s="150">
        <v>0</v>
      </c>
      <c r="Q125" s="150" t="s">
        <v>1238</v>
      </c>
      <c r="R125" s="162">
        <v>20</v>
      </c>
      <c r="S125" s="144">
        <v>1</v>
      </c>
      <c r="T125" s="172">
        <v>7</v>
      </c>
      <c r="U125" s="176">
        <v>15</v>
      </c>
      <c r="V125" s="109" t="s">
        <v>1560</v>
      </c>
      <c r="W125" s="335" t="s">
        <v>1898</v>
      </c>
      <c r="X125" s="144" t="s">
        <v>1562</v>
      </c>
      <c r="Y125" s="144" t="s">
        <v>272</v>
      </c>
      <c r="Z125" s="144" t="s">
        <v>1227</v>
      </c>
      <c r="AA125" s="152"/>
      <c r="AB125" s="152"/>
      <c r="AC125" s="163" t="s">
        <v>1857</v>
      </c>
      <c r="AD125" s="51" t="s">
        <v>1922</v>
      </c>
    </row>
    <row r="126" spans="1:31" s="104" customFormat="1" ht="29.1">
      <c r="A126" s="347" t="s">
        <v>1923</v>
      </c>
      <c r="B126" s="610" t="s">
        <v>1919</v>
      </c>
      <c r="C126" s="108">
        <v>46133</v>
      </c>
      <c r="D126" s="108"/>
      <c r="E126" s="300" t="s">
        <v>1886</v>
      </c>
      <c r="F126" s="176">
        <v>55</v>
      </c>
      <c r="G126" s="144">
        <v>890</v>
      </c>
      <c r="H126" s="144">
        <v>150</v>
      </c>
      <c r="I126" s="176" t="s">
        <v>1715</v>
      </c>
      <c r="J126" s="146" t="s">
        <v>1234</v>
      </c>
      <c r="K126" s="146" t="s">
        <v>1853</v>
      </c>
      <c r="L126" s="147" t="s">
        <v>1236</v>
      </c>
      <c r="M126" s="339">
        <v>150</v>
      </c>
      <c r="N126" s="148" t="s">
        <v>1559</v>
      </c>
      <c r="O126" s="149">
        <v>1</v>
      </c>
      <c r="P126" s="150">
        <v>0</v>
      </c>
      <c r="Q126" s="150" t="s">
        <v>1238</v>
      </c>
      <c r="R126" s="162">
        <v>20</v>
      </c>
      <c r="S126" s="144">
        <v>1</v>
      </c>
      <c r="T126" s="172">
        <v>5</v>
      </c>
      <c r="U126" s="176">
        <v>15</v>
      </c>
      <c r="V126" s="109" t="s">
        <v>1560</v>
      </c>
      <c r="W126" s="335" t="s">
        <v>1898</v>
      </c>
      <c r="X126" s="144" t="s">
        <v>1562</v>
      </c>
      <c r="Y126" s="144" t="s">
        <v>272</v>
      </c>
      <c r="Z126" s="144" t="s">
        <v>1227</v>
      </c>
      <c r="AA126" s="152"/>
      <c r="AB126" s="152"/>
      <c r="AC126" s="163" t="s">
        <v>1857</v>
      </c>
      <c r="AD126" s="51" t="s">
        <v>1924</v>
      </c>
    </row>
    <row r="127" spans="1:31" s="104" customFormat="1" ht="29.45" customHeight="1">
      <c r="A127" s="332" t="s">
        <v>1925</v>
      </c>
      <c r="B127" s="610" t="s">
        <v>1923</v>
      </c>
      <c r="C127" s="108">
        <v>46133</v>
      </c>
      <c r="D127" s="108"/>
      <c r="E127" s="617" t="s">
        <v>1926</v>
      </c>
      <c r="F127" s="176">
        <v>55</v>
      </c>
      <c r="G127" s="144">
        <v>890</v>
      </c>
      <c r="H127" s="144">
        <v>150</v>
      </c>
      <c r="I127" s="176" t="s">
        <v>1715</v>
      </c>
      <c r="J127" s="146" t="s">
        <v>1234</v>
      </c>
      <c r="K127" s="146" t="s">
        <v>1853</v>
      </c>
      <c r="L127" s="147" t="s">
        <v>1236</v>
      </c>
      <c r="M127" s="339">
        <v>150</v>
      </c>
      <c r="N127" s="148" t="s">
        <v>1559</v>
      </c>
      <c r="O127" s="149">
        <v>1</v>
      </c>
      <c r="P127" s="150">
        <v>0</v>
      </c>
      <c r="Q127" s="150" t="s">
        <v>1238</v>
      </c>
      <c r="R127" s="162">
        <v>20</v>
      </c>
      <c r="S127" s="144">
        <v>1</v>
      </c>
      <c r="T127" s="176">
        <v>5</v>
      </c>
      <c r="U127" s="172">
        <v>16</v>
      </c>
      <c r="V127" s="109" t="s">
        <v>1560</v>
      </c>
      <c r="W127" s="335" t="s">
        <v>1898</v>
      </c>
      <c r="X127" s="144" t="s">
        <v>1562</v>
      </c>
      <c r="Y127" s="144" t="s">
        <v>272</v>
      </c>
      <c r="Z127" s="144" t="s">
        <v>1227</v>
      </c>
      <c r="AA127" s="152"/>
      <c r="AB127" s="152"/>
      <c r="AC127" s="163" t="s">
        <v>1857</v>
      </c>
      <c r="AD127" s="51" t="s">
        <v>1927</v>
      </c>
    </row>
    <row r="128" spans="1:31" s="104" customFormat="1" ht="29.1">
      <c r="A128" s="332" t="s">
        <v>1928</v>
      </c>
      <c r="B128" s="107" t="s">
        <v>1923</v>
      </c>
      <c r="C128" s="108">
        <v>46133</v>
      </c>
      <c r="D128" s="108"/>
      <c r="E128" s="300" t="s">
        <v>1926</v>
      </c>
      <c r="F128" s="176">
        <v>55</v>
      </c>
      <c r="G128" s="144">
        <v>890</v>
      </c>
      <c r="H128" s="144">
        <v>150</v>
      </c>
      <c r="I128" s="176" t="s">
        <v>1715</v>
      </c>
      <c r="J128" s="146" t="s">
        <v>1234</v>
      </c>
      <c r="K128" s="146" t="s">
        <v>1853</v>
      </c>
      <c r="L128" s="147" t="s">
        <v>1236</v>
      </c>
      <c r="M128" s="339">
        <v>150</v>
      </c>
      <c r="N128" s="148" t="s">
        <v>1559</v>
      </c>
      <c r="O128" s="149">
        <v>1</v>
      </c>
      <c r="P128" s="150">
        <v>0</v>
      </c>
      <c r="Q128" s="150" t="s">
        <v>1238</v>
      </c>
      <c r="R128" s="162">
        <v>20</v>
      </c>
      <c r="S128" s="144">
        <v>1</v>
      </c>
      <c r="T128" s="176">
        <v>5</v>
      </c>
      <c r="U128" s="172">
        <v>17</v>
      </c>
      <c r="V128" s="109" t="s">
        <v>1560</v>
      </c>
      <c r="W128" s="335" t="s">
        <v>1898</v>
      </c>
      <c r="X128" s="144" t="s">
        <v>1562</v>
      </c>
      <c r="Y128" s="144" t="s">
        <v>272</v>
      </c>
      <c r="Z128" s="144" t="s">
        <v>1227</v>
      </c>
      <c r="AA128" s="152"/>
      <c r="AB128" s="152"/>
      <c r="AC128" s="163" t="s">
        <v>1857</v>
      </c>
      <c r="AD128" s="51" t="s">
        <v>1929</v>
      </c>
    </row>
    <row r="129" spans="1:31" s="104" customFormat="1" ht="29.1">
      <c r="A129" s="398" t="s">
        <v>1930</v>
      </c>
      <c r="B129" s="107" t="s">
        <v>1923</v>
      </c>
      <c r="C129" s="108">
        <v>46133</v>
      </c>
      <c r="D129" s="108"/>
      <c r="E129" s="300" t="s">
        <v>1926</v>
      </c>
      <c r="F129" s="176">
        <v>55</v>
      </c>
      <c r="G129" s="144">
        <v>890</v>
      </c>
      <c r="H129" s="144">
        <v>150</v>
      </c>
      <c r="I129" s="176" t="s">
        <v>1715</v>
      </c>
      <c r="J129" s="146" t="s">
        <v>1234</v>
      </c>
      <c r="K129" s="146" t="s">
        <v>1853</v>
      </c>
      <c r="L129" s="147" t="s">
        <v>1236</v>
      </c>
      <c r="M129" s="339">
        <v>150</v>
      </c>
      <c r="N129" s="148" t="s">
        <v>1559</v>
      </c>
      <c r="O129" s="149">
        <v>1</v>
      </c>
      <c r="P129" s="150">
        <v>0</v>
      </c>
      <c r="Q129" s="150" t="s">
        <v>1238</v>
      </c>
      <c r="R129" s="162">
        <v>20</v>
      </c>
      <c r="S129" s="144">
        <v>1</v>
      </c>
      <c r="T129" s="176">
        <v>5</v>
      </c>
      <c r="U129" s="176">
        <v>16</v>
      </c>
      <c r="V129" s="109" t="s">
        <v>1560</v>
      </c>
      <c r="W129" s="274" t="s">
        <v>1931</v>
      </c>
      <c r="X129" s="144" t="s">
        <v>1562</v>
      </c>
      <c r="Y129" s="144" t="s">
        <v>272</v>
      </c>
      <c r="Z129" s="144" t="s">
        <v>1227</v>
      </c>
      <c r="AA129" s="152"/>
      <c r="AB129" s="152"/>
      <c r="AC129" s="163" t="s">
        <v>1857</v>
      </c>
      <c r="AD129" s="51" t="s">
        <v>1932</v>
      </c>
    </row>
    <row r="130" spans="1:31" s="104" customFormat="1" ht="29.1">
      <c r="A130" s="513" t="s">
        <v>1933</v>
      </c>
      <c r="B130" s="107" t="s">
        <v>1923</v>
      </c>
      <c r="C130" s="108">
        <v>46133</v>
      </c>
      <c r="D130" s="108"/>
      <c r="E130" s="300" t="s">
        <v>1926</v>
      </c>
      <c r="F130" s="176">
        <v>55</v>
      </c>
      <c r="G130" s="144">
        <v>890</v>
      </c>
      <c r="H130" s="144">
        <v>150</v>
      </c>
      <c r="I130" s="176" t="s">
        <v>1715</v>
      </c>
      <c r="J130" s="146" t="s">
        <v>1234</v>
      </c>
      <c r="K130" s="146" t="s">
        <v>1853</v>
      </c>
      <c r="L130" s="147" t="s">
        <v>1236</v>
      </c>
      <c r="M130" s="339">
        <v>150</v>
      </c>
      <c r="N130" s="148" t="s">
        <v>1559</v>
      </c>
      <c r="O130" s="149">
        <v>1</v>
      </c>
      <c r="P130" s="150">
        <v>0</v>
      </c>
      <c r="Q130" s="150" t="s">
        <v>1238</v>
      </c>
      <c r="R130" s="162">
        <v>20</v>
      </c>
      <c r="S130" s="172">
        <v>10</v>
      </c>
      <c r="T130" s="176">
        <v>5</v>
      </c>
      <c r="U130" s="176">
        <v>16</v>
      </c>
      <c r="V130" s="109" t="s">
        <v>1560</v>
      </c>
      <c r="W130" s="619" t="s">
        <v>1931</v>
      </c>
      <c r="X130" s="144" t="s">
        <v>1562</v>
      </c>
      <c r="Y130" s="144" t="s">
        <v>272</v>
      </c>
      <c r="Z130" s="144" t="s">
        <v>1227</v>
      </c>
      <c r="AA130" s="152"/>
      <c r="AB130" s="152"/>
      <c r="AC130" s="163" t="s">
        <v>1857</v>
      </c>
      <c r="AD130" s="51" t="s">
        <v>1934</v>
      </c>
    </row>
    <row r="131" spans="1:31" s="104" customFormat="1" ht="29.1">
      <c r="A131" s="332" t="s">
        <v>1935</v>
      </c>
      <c r="B131" s="107" t="s">
        <v>1923</v>
      </c>
      <c r="C131" s="108">
        <v>46133</v>
      </c>
      <c r="D131" s="108"/>
      <c r="E131" s="300" t="s">
        <v>1926</v>
      </c>
      <c r="F131" s="172">
        <v>60</v>
      </c>
      <c r="G131" s="144">
        <v>890</v>
      </c>
      <c r="H131" s="144">
        <v>150</v>
      </c>
      <c r="I131" s="176" t="s">
        <v>1715</v>
      </c>
      <c r="J131" s="146" t="s">
        <v>1234</v>
      </c>
      <c r="K131" s="146" t="s">
        <v>1853</v>
      </c>
      <c r="L131" s="147" t="s">
        <v>1236</v>
      </c>
      <c r="M131" s="339">
        <v>150</v>
      </c>
      <c r="N131" s="148" t="s">
        <v>1559</v>
      </c>
      <c r="O131" s="149">
        <v>1</v>
      </c>
      <c r="P131" s="150">
        <v>0</v>
      </c>
      <c r="Q131" s="150" t="s">
        <v>1238</v>
      </c>
      <c r="R131" s="162">
        <v>20</v>
      </c>
      <c r="S131" s="172">
        <v>10</v>
      </c>
      <c r="T131" s="172">
        <v>6</v>
      </c>
      <c r="U131" s="176">
        <v>16</v>
      </c>
      <c r="V131" s="109" t="s">
        <v>1560</v>
      </c>
      <c r="W131" s="274" t="s">
        <v>1898</v>
      </c>
      <c r="X131" s="144" t="s">
        <v>1562</v>
      </c>
      <c r="Y131" s="144" t="s">
        <v>272</v>
      </c>
      <c r="Z131" s="144" t="s">
        <v>1227</v>
      </c>
      <c r="AA131" s="152"/>
      <c r="AB131" s="152"/>
      <c r="AC131" s="163" t="s">
        <v>1857</v>
      </c>
      <c r="AD131" s="51" t="s">
        <v>1936</v>
      </c>
    </row>
    <row r="132" spans="1:31" s="104" customFormat="1" ht="29.1">
      <c r="A132" s="513" t="s">
        <v>1937</v>
      </c>
      <c r="B132" s="107" t="s">
        <v>1923</v>
      </c>
      <c r="C132" s="108">
        <v>46133</v>
      </c>
      <c r="D132" s="108"/>
      <c r="E132" s="300" t="s">
        <v>1926</v>
      </c>
      <c r="F132" s="176">
        <v>55</v>
      </c>
      <c r="G132" s="144">
        <v>890</v>
      </c>
      <c r="H132" s="144">
        <v>150</v>
      </c>
      <c r="I132" s="350" t="s">
        <v>1938</v>
      </c>
      <c r="J132" s="146" t="s">
        <v>1234</v>
      </c>
      <c r="K132" s="146" t="s">
        <v>1853</v>
      </c>
      <c r="L132" s="147" t="s">
        <v>1236</v>
      </c>
      <c r="M132" s="339">
        <v>150</v>
      </c>
      <c r="N132" s="148" t="s">
        <v>1559</v>
      </c>
      <c r="O132" s="149">
        <v>1</v>
      </c>
      <c r="P132" s="150">
        <v>0</v>
      </c>
      <c r="Q132" s="150" t="s">
        <v>1238</v>
      </c>
      <c r="R132" s="162">
        <v>20</v>
      </c>
      <c r="S132" s="144">
        <v>10</v>
      </c>
      <c r="T132" s="176">
        <v>6</v>
      </c>
      <c r="U132" s="176">
        <v>16</v>
      </c>
      <c r="V132" s="109" t="s">
        <v>1560</v>
      </c>
      <c r="W132" s="335" t="s">
        <v>1931</v>
      </c>
      <c r="X132" s="144" t="s">
        <v>1562</v>
      </c>
      <c r="Y132" s="144" t="s">
        <v>272</v>
      </c>
      <c r="Z132" s="144" t="s">
        <v>1227</v>
      </c>
      <c r="AA132" s="152"/>
      <c r="AB132" s="152"/>
      <c r="AC132" s="163" t="s">
        <v>1857</v>
      </c>
      <c r="AD132" s="51" t="s">
        <v>1939</v>
      </c>
    </row>
    <row r="133" spans="1:31" s="104" customFormat="1" ht="29.1">
      <c r="A133" s="513" t="s">
        <v>1940</v>
      </c>
      <c r="B133" s="107" t="s">
        <v>1923</v>
      </c>
      <c r="C133" s="108">
        <v>46133</v>
      </c>
      <c r="D133" s="108"/>
      <c r="E133" s="300" t="s">
        <v>1926</v>
      </c>
      <c r="F133" s="176">
        <v>55</v>
      </c>
      <c r="G133" s="144">
        <v>890</v>
      </c>
      <c r="H133" s="144">
        <v>150</v>
      </c>
      <c r="I133" s="350" t="s">
        <v>1247</v>
      </c>
      <c r="J133" s="146" t="s">
        <v>1234</v>
      </c>
      <c r="K133" s="146" t="s">
        <v>1853</v>
      </c>
      <c r="L133" s="147" t="s">
        <v>1236</v>
      </c>
      <c r="M133" s="339">
        <v>150</v>
      </c>
      <c r="N133" s="148" t="s">
        <v>1559</v>
      </c>
      <c r="O133" s="149">
        <v>1</v>
      </c>
      <c r="P133" s="150">
        <v>0</v>
      </c>
      <c r="Q133" s="150" t="s">
        <v>1238</v>
      </c>
      <c r="R133" s="162">
        <v>20</v>
      </c>
      <c r="S133" s="144">
        <v>10</v>
      </c>
      <c r="T133" s="176">
        <v>6</v>
      </c>
      <c r="U133" s="176">
        <v>16</v>
      </c>
      <c r="V133" s="109" t="s">
        <v>1560</v>
      </c>
      <c r="W133" s="335" t="s">
        <v>1931</v>
      </c>
      <c r="X133" s="144" t="s">
        <v>1562</v>
      </c>
      <c r="Y133" s="144" t="s">
        <v>272</v>
      </c>
      <c r="Z133" s="144" t="s">
        <v>1227</v>
      </c>
      <c r="AA133" s="152"/>
      <c r="AB133" s="152"/>
      <c r="AC133" s="163" t="s">
        <v>1941</v>
      </c>
      <c r="AD133" s="51" t="s">
        <v>1942</v>
      </c>
    </row>
    <row r="134" spans="1:31" s="104" customFormat="1" ht="29.1">
      <c r="A134" s="332" t="s">
        <v>1943</v>
      </c>
      <c r="B134" s="107" t="s">
        <v>1940</v>
      </c>
      <c r="C134" s="108">
        <v>46133</v>
      </c>
      <c r="D134" s="108"/>
      <c r="E134" s="300" t="s">
        <v>1926</v>
      </c>
      <c r="F134" s="176">
        <v>55</v>
      </c>
      <c r="G134" s="144">
        <v>890</v>
      </c>
      <c r="H134" s="144">
        <v>150</v>
      </c>
      <c r="I134" s="352" t="s">
        <v>1247</v>
      </c>
      <c r="J134" s="146" t="s">
        <v>1234</v>
      </c>
      <c r="K134" s="146" t="s">
        <v>1853</v>
      </c>
      <c r="L134" s="147" t="s">
        <v>1236</v>
      </c>
      <c r="M134" s="339">
        <v>150</v>
      </c>
      <c r="N134" s="148" t="s">
        <v>1559</v>
      </c>
      <c r="O134" s="149">
        <v>1</v>
      </c>
      <c r="P134" s="150">
        <v>0</v>
      </c>
      <c r="Q134" s="150" t="s">
        <v>1238</v>
      </c>
      <c r="R134" s="162">
        <v>20</v>
      </c>
      <c r="S134" s="144">
        <v>10</v>
      </c>
      <c r="T134" s="176">
        <v>6</v>
      </c>
      <c r="U134" s="176">
        <v>15</v>
      </c>
      <c r="V134" s="109" t="s">
        <v>1560</v>
      </c>
      <c r="W134" s="335" t="s">
        <v>1931</v>
      </c>
      <c r="X134" s="144" t="s">
        <v>1562</v>
      </c>
      <c r="Y134" s="144" t="s">
        <v>272</v>
      </c>
      <c r="Z134" s="144" t="s">
        <v>1227</v>
      </c>
      <c r="AA134" s="152"/>
      <c r="AB134" s="152"/>
      <c r="AC134" s="163" t="s">
        <v>1941</v>
      </c>
      <c r="AD134" s="51" t="s">
        <v>1944</v>
      </c>
    </row>
    <row r="135" spans="1:31" s="104" customFormat="1" ht="29.1">
      <c r="A135" s="107" t="s">
        <v>1943</v>
      </c>
      <c r="B135" s="107" t="s">
        <v>1940</v>
      </c>
      <c r="C135" s="108">
        <v>46139</v>
      </c>
      <c r="D135" s="108"/>
      <c r="E135" s="300" t="s">
        <v>1945</v>
      </c>
      <c r="F135" s="176">
        <v>55</v>
      </c>
      <c r="G135" s="144">
        <v>890</v>
      </c>
      <c r="H135" s="144">
        <v>150</v>
      </c>
      <c r="I135" s="352" t="s">
        <v>1247</v>
      </c>
      <c r="J135" s="146" t="s">
        <v>1234</v>
      </c>
      <c r="K135" s="220" t="s">
        <v>1946</v>
      </c>
      <c r="L135" s="147" t="s">
        <v>1236</v>
      </c>
      <c r="M135" s="339">
        <v>150</v>
      </c>
      <c r="N135" s="148" t="s">
        <v>1559</v>
      </c>
      <c r="O135" s="249">
        <v>2</v>
      </c>
      <c r="P135" s="150">
        <v>0</v>
      </c>
      <c r="Q135" s="150" t="s">
        <v>1238</v>
      </c>
      <c r="R135" s="151">
        <v>0</v>
      </c>
      <c r="S135" s="144">
        <v>10</v>
      </c>
      <c r="T135" s="176">
        <v>6</v>
      </c>
      <c r="U135" s="176">
        <v>15</v>
      </c>
      <c r="V135" s="109" t="s">
        <v>1560</v>
      </c>
      <c r="W135" s="335" t="s">
        <v>1931</v>
      </c>
      <c r="X135" s="144" t="s">
        <v>1562</v>
      </c>
      <c r="Y135" s="144" t="s">
        <v>272</v>
      </c>
      <c r="Z135" s="144" t="s">
        <v>1227</v>
      </c>
      <c r="AA135" s="152"/>
      <c r="AB135" s="152"/>
      <c r="AC135" s="163" t="s">
        <v>1941</v>
      </c>
      <c r="AD135" s="51" t="s">
        <v>1947</v>
      </c>
      <c r="AE135" s="351" t="s">
        <v>1948</v>
      </c>
    </row>
    <row r="136" spans="1:31" s="104" customFormat="1" ht="29.1">
      <c r="A136" s="107" t="s">
        <v>1949</v>
      </c>
      <c r="B136" s="107" t="s">
        <v>1940</v>
      </c>
      <c r="C136" s="108">
        <v>46140</v>
      </c>
      <c r="D136" s="108"/>
      <c r="E136" s="300" t="s">
        <v>1950</v>
      </c>
      <c r="F136" s="176">
        <v>55</v>
      </c>
      <c r="G136" s="144">
        <v>890</v>
      </c>
      <c r="H136" s="144">
        <v>150</v>
      </c>
      <c r="I136" s="352" t="s">
        <v>1247</v>
      </c>
      <c r="J136" s="146" t="s">
        <v>1234</v>
      </c>
      <c r="K136" s="220" t="s">
        <v>1951</v>
      </c>
      <c r="L136" s="147" t="s">
        <v>1236</v>
      </c>
      <c r="M136" s="339">
        <v>150</v>
      </c>
      <c r="N136" s="148" t="s">
        <v>1559</v>
      </c>
      <c r="O136" s="354">
        <v>1</v>
      </c>
      <c r="P136" s="150">
        <v>0</v>
      </c>
      <c r="Q136" s="150" t="s">
        <v>1238</v>
      </c>
      <c r="R136" s="162">
        <v>20</v>
      </c>
      <c r="S136" s="144">
        <v>10</v>
      </c>
      <c r="T136" s="176">
        <v>6</v>
      </c>
      <c r="U136" s="176">
        <v>15</v>
      </c>
      <c r="V136" s="109" t="s">
        <v>1560</v>
      </c>
      <c r="W136" s="335" t="s">
        <v>1931</v>
      </c>
      <c r="X136" s="144" t="s">
        <v>1562</v>
      </c>
      <c r="Y136" s="144" t="s">
        <v>272</v>
      </c>
      <c r="Z136" s="144" t="s">
        <v>1227</v>
      </c>
      <c r="AA136" s="152"/>
      <c r="AB136" s="152"/>
      <c r="AC136" s="163" t="s">
        <v>1941</v>
      </c>
      <c r="AD136" s="51" t="s">
        <v>1952</v>
      </c>
      <c r="AE136" s="89" t="s">
        <v>1953</v>
      </c>
    </row>
    <row r="137" spans="1:31" s="107" customFormat="1" ht="43.5">
      <c r="A137" s="107" t="s">
        <v>1954</v>
      </c>
      <c r="B137" s="108" t="s">
        <v>1949</v>
      </c>
      <c r="C137" s="108">
        <v>46141</v>
      </c>
      <c r="D137" s="108"/>
      <c r="E137" s="300" t="s">
        <v>1955</v>
      </c>
      <c r="F137" s="176">
        <v>55</v>
      </c>
      <c r="G137" s="144">
        <v>890</v>
      </c>
      <c r="H137" s="144">
        <v>150</v>
      </c>
      <c r="I137" s="352" t="s">
        <v>1247</v>
      </c>
      <c r="J137" s="146" t="s">
        <v>1234</v>
      </c>
      <c r="K137" s="220"/>
      <c r="L137" s="147" t="s">
        <v>1236</v>
      </c>
      <c r="M137" s="339">
        <v>150</v>
      </c>
      <c r="N137" s="148" t="s">
        <v>1559</v>
      </c>
      <c r="O137" s="354">
        <v>1</v>
      </c>
      <c r="P137" s="150">
        <v>0</v>
      </c>
      <c r="Q137" s="150" t="s">
        <v>1238</v>
      </c>
      <c r="R137" s="162">
        <v>20</v>
      </c>
      <c r="S137" s="144">
        <v>10</v>
      </c>
      <c r="T137" s="176">
        <v>6</v>
      </c>
      <c r="U137" s="176">
        <v>15</v>
      </c>
      <c r="V137" s="109" t="s">
        <v>1560</v>
      </c>
      <c r="W137" s="335" t="s">
        <v>1931</v>
      </c>
      <c r="X137" s="144" t="s">
        <v>1562</v>
      </c>
      <c r="Y137" s="144" t="s">
        <v>272</v>
      </c>
      <c r="Z137" s="144" t="s">
        <v>1227</v>
      </c>
      <c r="AA137" s="152"/>
      <c r="AB137" s="152"/>
      <c r="AC137" s="163" t="s">
        <v>1956</v>
      </c>
      <c r="AD137" s="51" t="s">
        <v>1957</v>
      </c>
      <c r="AE137" s="101"/>
    </row>
    <row r="138" spans="1:31" s="107" customFormat="1" ht="29.1">
      <c r="A138" s="107" t="s">
        <v>1958</v>
      </c>
      <c r="B138" s="108" t="s">
        <v>1954</v>
      </c>
      <c r="C138" s="108">
        <v>46141</v>
      </c>
      <c r="D138" s="108"/>
      <c r="E138" s="300" t="s">
        <v>1959</v>
      </c>
      <c r="F138" s="176">
        <v>55</v>
      </c>
      <c r="G138" s="144">
        <v>890</v>
      </c>
      <c r="H138" s="144">
        <v>150</v>
      </c>
      <c r="I138" s="350" t="s">
        <v>1233</v>
      </c>
      <c r="J138" s="146" t="s">
        <v>1234</v>
      </c>
      <c r="K138" s="220"/>
      <c r="L138" s="147" t="s">
        <v>1236</v>
      </c>
      <c r="M138" s="339">
        <v>150</v>
      </c>
      <c r="N138" s="148" t="s">
        <v>1559</v>
      </c>
      <c r="O138" s="354">
        <v>1</v>
      </c>
      <c r="P138" s="150">
        <v>0</v>
      </c>
      <c r="Q138" s="150" t="s">
        <v>1238</v>
      </c>
      <c r="R138" s="162">
        <v>20</v>
      </c>
      <c r="S138" s="144">
        <v>10</v>
      </c>
      <c r="T138" s="176">
        <v>6</v>
      </c>
      <c r="U138" s="176">
        <v>15</v>
      </c>
      <c r="V138" s="109" t="s">
        <v>1560</v>
      </c>
      <c r="W138" s="335" t="s">
        <v>1931</v>
      </c>
      <c r="X138" s="144" t="s">
        <v>1562</v>
      </c>
      <c r="Y138" s="144" t="s">
        <v>272</v>
      </c>
      <c r="Z138" s="144" t="s">
        <v>1227</v>
      </c>
      <c r="AA138" s="152"/>
      <c r="AB138" s="152"/>
      <c r="AC138" s="163" t="s">
        <v>1941</v>
      </c>
      <c r="AD138" s="51" t="s">
        <v>1960</v>
      </c>
      <c r="AE138" s="101"/>
    </row>
    <row r="139" spans="1:31" s="107" customFormat="1" ht="29.1">
      <c r="A139" s="107" t="s">
        <v>1961</v>
      </c>
      <c r="B139" s="108" t="s">
        <v>1954</v>
      </c>
      <c r="C139" s="108">
        <v>46141</v>
      </c>
      <c r="D139" s="108"/>
      <c r="E139" s="300" t="s">
        <v>1959</v>
      </c>
      <c r="F139" s="176">
        <v>55</v>
      </c>
      <c r="G139" s="144">
        <v>890</v>
      </c>
      <c r="H139" s="172">
        <v>120</v>
      </c>
      <c r="I139" s="352" t="s">
        <v>1247</v>
      </c>
      <c r="J139" s="146" t="s">
        <v>1234</v>
      </c>
      <c r="K139" s="220"/>
      <c r="L139" s="147" t="s">
        <v>1236</v>
      </c>
      <c r="M139" s="339">
        <v>150</v>
      </c>
      <c r="N139" s="148" t="s">
        <v>1559</v>
      </c>
      <c r="O139" s="354">
        <v>1</v>
      </c>
      <c r="P139" s="150">
        <v>0</v>
      </c>
      <c r="Q139" s="150" t="s">
        <v>1238</v>
      </c>
      <c r="R139" s="162">
        <v>20</v>
      </c>
      <c r="S139" s="144">
        <v>10</v>
      </c>
      <c r="T139" s="176">
        <v>6</v>
      </c>
      <c r="U139" s="176">
        <v>15</v>
      </c>
      <c r="V139" s="109" t="s">
        <v>1560</v>
      </c>
      <c r="W139" s="335" t="s">
        <v>1931</v>
      </c>
      <c r="X139" s="144" t="s">
        <v>1562</v>
      </c>
      <c r="Y139" s="144" t="s">
        <v>272</v>
      </c>
      <c r="Z139" s="144" t="s">
        <v>1227</v>
      </c>
      <c r="AA139" s="152"/>
      <c r="AB139" s="152"/>
      <c r="AC139" s="163" t="s">
        <v>1941</v>
      </c>
      <c r="AD139" s="51" t="s">
        <v>1962</v>
      </c>
      <c r="AE139" s="101"/>
    </row>
    <row r="140" spans="1:31" s="107" customFormat="1" ht="29.1">
      <c r="A140" s="107" t="s">
        <v>1963</v>
      </c>
      <c r="B140" s="108" t="s">
        <v>1954</v>
      </c>
      <c r="C140" s="108">
        <v>46142</v>
      </c>
      <c r="D140" s="108"/>
      <c r="E140" s="300" t="s">
        <v>1959</v>
      </c>
      <c r="F140" s="176">
        <v>55</v>
      </c>
      <c r="G140" s="144">
        <v>890</v>
      </c>
      <c r="H140" s="172">
        <v>90</v>
      </c>
      <c r="I140" s="352" t="s">
        <v>1247</v>
      </c>
      <c r="J140" s="146" t="s">
        <v>1234</v>
      </c>
      <c r="K140" s="220"/>
      <c r="L140" s="147" t="s">
        <v>1236</v>
      </c>
      <c r="M140" s="339">
        <v>150</v>
      </c>
      <c r="N140" s="148" t="s">
        <v>1559</v>
      </c>
      <c r="O140" s="354">
        <v>1</v>
      </c>
      <c r="P140" s="150">
        <v>0</v>
      </c>
      <c r="Q140" s="150" t="s">
        <v>1238</v>
      </c>
      <c r="R140" s="162">
        <v>20</v>
      </c>
      <c r="S140" s="144">
        <v>10</v>
      </c>
      <c r="T140" s="176">
        <v>6</v>
      </c>
      <c r="U140" s="176">
        <v>15</v>
      </c>
      <c r="V140" s="109" t="s">
        <v>1560</v>
      </c>
      <c r="W140" s="335" t="s">
        <v>1931</v>
      </c>
      <c r="X140" s="144" t="s">
        <v>1562</v>
      </c>
      <c r="Y140" s="144" t="s">
        <v>272</v>
      </c>
      <c r="Z140" s="144" t="s">
        <v>1227</v>
      </c>
      <c r="AA140" s="152"/>
      <c r="AB140" s="152"/>
      <c r="AC140" s="163" t="s">
        <v>1941</v>
      </c>
      <c r="AD140" s="51" t="s">
        <v>1964</v>
      </c>
      <c r="AE140" s="101"/>
    </row>
    <row r="141" spans="1:31" s="107" customFormat="1" ht="29.1">
      <c r="A141" s="107" t="s">
        <v>1965</v>
      </c>
      <c r="B141" s="108" t="s">
        <v>1954</v>
      </c>
      <c r="C141" s="108">
        <v>46142</v>
      </c>
      <c r="D141" s="108"/>
      <c r="E141" s="300" t="s">
        <v>1959</v>
      </c>
      <c r="F141" s="176">
        <v>55</v>
      </c>
      <c r="G141" s="144">
        <v>890</v>
      </c>
      <c r="H141" s="172">
        <v>90</v>
      </c>
      <c r="I141" s="352" t="s">
        <v>1247</v>
      </c>
      <c r="J141" s="146" t="s">
        <v>1234</v>
      </c>
      <c r="K141" s="355" t="s">
        <v>1966</v>
      </c>
      <c r="L141" s="147" t="s">
        <v>1236</v>
      </c>
      <c r="M141" s="339">
        <v>150</v>
      </c>
      <c r="N141" s="148" t="s">
        <v>1559</v>
      </c>
      <c r="O141" s="354">
        <v>1</v>
      </c>
      <c r="P141" s="150">
        <v>0</v>
      </c>
      <c r="Q141" s="150" t="s">
        <v>1238</v>
      </c>
      <c r="R141" s="162">
        <v>20</v>
      </c>
      <c r="S141" s="144">
        <v>10</v>
      </c>
      <c r="T141" s="176">
        <v>6</v>
      </c>
      <c r="U141" s="176">
        <v>15</v>
      </c>
      <c r="V141" s="109" t="s">
        <v>1560</v>
      </c>
      <c r="W141" s="335" t="s">
        <v>1931</v>
      </c>
      <c r="X141" s="144" t="s">
        <v>1562</v>
      </c>
      <c r="Y141" s="144" t="s">
        <v>272</v>
      </c>
      <c r="Z141" s="144" t="s">
        <v>1227</v>
      </c>
      <c r="AA141" s="152"/>
      <c r="AB141" s="152"/>
      <c r="AC141" s="163" t="s">
        <v>1941</v>
      </c>
      <c r="AD141" s="51" t="s">
        <v>1967</v>
      </c>
      <c r="AE141" s="101"/>
    </row>
    <row r="142" spans="1:31" s="107" customFormat="1" ht="29.1">
      <c r="A142" s="107" t="s">
        <v>1968</v>
      </c>
      <c r="B142" s="108" t="s">
        <v>1954</v>
      </c>
      <c r="C142" s="108">
        <v>46142</v>
      </c>
      <c r="D142" s="108"/>
      <c r="E142" s="357" t="s">
        <v>1969</v>
      </c>
      <c r="F142" s="176">
        <v>55</v>
      </c>
      <c r="G142" s="144">
        <v>950</v>
      </c>
      <c r="H142" s="172">
        <v>150</v>
      </c>
      <c r="I142" s="352" t="s">
        <v>1247</v>
      </c>
      <c r="J142" s="146" t="s">
        <v>1234</v>
      </c>
      <c r="K142" s="355" t="s">
        <v>1970</v>
      </c>
      <c r="L142" s="147" t="s">
        <v>1236</v>
      </c>
      <c r="M142" s="339">
        <v>150</v>
      </c>
      <c r="N142" s="148" t="s">
        <v>1559</v>
      </c>
      <c r="O142" s="354">
        <v>1</v>
      </c>
      <c r="P142" s="150">
        <v>0</v>
      </c>
      <c r="Q142" s="150" t="s">
        <v>1238</v>
      </c>
      <c r="R142" s="162">
        <v>20</v>
      </c>
      <c r="S142" s="144">
        <v>10</v>
      </c>
      <c r="T142" s="176">
        <v>6</v>
      </c>
      <c r="U142" s="176">
        <v>15</v>
      </c>
      <c r="V142" s="109" t="s">
        <v>1560</v>
      </c>
      <c r="W142" s="335" t="s">
        <v>1971</v>
      </c>
      <c r="X142" s="144" t="s">
        <v>1562</v>
      </c>
      <c r="Y142" s="144" t="s">
        <v>272</v>
      </c>
      <c r="Z142" s="144" t="s">
        <v>1227</v>
      </c>
      <c r="AA142" s="152"/>
      <c r="AB142" s="152"/>
      <c r="AC142" s="163" t="s">
        <v>1941</v>
      </c>
      <c r="AD142" s="51" t="s">
        <v>1972</v>
      </c>
      <c r="AE142" s="101"/>
    </row>
    <row r="143" spans="1:31" s="107" customFormat="1" ht="29.1">
      <c r="A143" s="107" t="s">
        <v>1973</v>
      </c>
      <c r="B143" s="108" t="s">
        <v>1954</v>
      </c>
      <c r="C143" s="108">
        <v>46143</v>
      </c>
      <c r="D143" s="108"/>
      <c r="E143" s="357" t="s">
        <v>1974</v>
      </c>
      <c r="F143" s="176">
        <v>55</v>
      </c>
      <c r="G143" s="144">
        <v>950</v>
      </c>
      <c r="H143" s="176">
        <v>150</v>
      </c>
      <c r="I143" s="352" t="s">
        <v>1247</v>
      </c>
      <c r="J143" s="146" t="s">
        <v>1234</v>
      </c>
      <c r="K143" s="358" t="s">
        <v>1975</v>
      </c>
      <c r="L143" s="147" t="s">
        <v>1236</v>
      </c>
      <c r="M143" s="339">
        <v>150</v>
      </c>
      <c r="N143" s="148" t="s">
        <v>1559</v>
      </c>
      <c r="O143" s="354">
        <v>1</v>
      </c>
      <c r="P143" s="150">
        <v>0</v>
      </c>
      <c r="Q143" s="150" t="s">
        <v>1238</v>
      </c>
      <c r="R143" s="162">
        <v>20</v>
      </c>
      <c r="S143" s="144">
        <v>10</v>
      </c>
      <c r="T143" s="176">
        <v>6</v>
      </c>
      <c r="U143" s="176">
        <v>15</v>
      </c>
      <c r="V143" s="109" t="s">
        <v>1560</v>
      </c>
      <c r="W143" s="335" t="s">
        <v>1971</v>
      </c>
      <c r="X143" s="144" t="s">
        <v>1562</v>
      </c>
      <c r="Y143" s="144" t="s">
        <v>272</v>
      </c>
      <c r="Z143" s="144" t="s">
        <v>1227</v>
      </c>
      <c r="AA143" s="152"/>
      <c r="AB143" s="152"/>
      <c r="AC143" s="163" t="s">
        <v>1976</v>
      </c>
      <c r="AD143" s="51" t="s">
        <v>1977</v>
      </c>
      <c r="AE143" s="101" t="s">
        <v>1978</v>
      </c>
    </row>
    <row r="144" spans="1:31" s="107" customFormat="1" ht="29.1">
      <c r="A144" s="107" t="s">
        <v>1979</v>
      </c>
      <c r="B144" s="108" t="s">
        <v>1954</v>
      </c>
      <c r="C144" s="108">
        <v>46143</v>
      </c>
      <c r="D144" s="108"/>
      <c r="E144" s="357" t="s">
        <v>1974</v>
      </c>
      <c r="F144" s="176">
        <v>55</v>
      </c>
      <c r="G144" s="144">
        <v>950</v>
      </c>
      <c r="H144" s="176">
        <v>150</v>
      </c>
      <c r="I144" s="352" t="s">
        <v>1247</v>
      </c>
      <c r="J144" s="146" t="s">
        <v>1234</v>
      </c>
      <c r="K144" s="355" t="s">
        <v>1980</v>
      </c>
      <c r="L144" s="147" t="s">
        <v>1236</v>
      </c>
      <c r="M144" s="339">
        <v>150</v>
      </c>
      <c r="N144" s="148" t="s">
        <v>1559</v>
      </c>
      <c r="O144" s="354">
        <v>1</v>
      </c>
      <c r="P144" s="150">
        <v>0</v>
      </c>
      <c r="Q144" s="150" t="s">
        <v>1238</v>
      </c>
      <c r="R144" s="162">
        <v>20</v>
      </c>
      <c r="S144" s="144">
        <v>10</v>
      </c>
      <c r="T144" s="176">
        <v>6</v>
      </c>
      <c r="U144" s="176">
        <v>15</v>
      </c>
      <c r="V144" s="109" t="s">
        <v>1560</v>
      </c>
      <c r="W144" s="335" t="s">
        <v>1971</v>
      </c>
      <c r="X144" s="144" t="s">
        <v>1562</v>
      </c>
      <c r="Y144" s="144" t="s">
        <v>272</v>
      </c>
      <c r="Z144" s="144" t="s">
        <v>1227</v>
      </c>
      <c r="AA144" s="152"/>
      <c r="AB144" s="152"/>
      <c r="AC144" s="163" t="s">
        <v>1981</v>
      </c>
      <c r="AD144" s="51" t="s">
        <v>1982</v>
      </c>
      <c r="AE144" s="101"/>
    </row>
    <row r="145" spans="1:31" s="107" customFormat="1" ht="29.1">
      <c r="A145" s="107" t="s">
        <v>1983</v>
      </c>
      <c r="B145" s="108" t="s">
        <v>1954</v>
      </c>
      <c r="C145" s="108">
        <v>46143</v>
      </c>
      <c r="D145" s="108"/>
      <c r="E145" s="357" t="s">
        <v>1974</v>
      </c>
      <c r="F145" s="176">
        <v>55</v>
      </c>
      <c r="G145" s="144">
        <v>950</v>
      </c>
      <c r="H145" s="176">
        <v>150</v>
      </c>
      <c r="I145" s="352" t="s">
        <v>1247</v>
      </c>
      <c r="J145" s="146" t="s">
        <v>1234</v>
      </c>
      <c r="K145" s="355" t="s">
        <v>1984</v>
      </c>
      <c r="L145" s="147" t="s">
        <v>1236</v>
      </c>
      <c r="M145" s="339">
        <v>150</v>
      </c>
      <c r="N145" s="148" t="s">
        <v>1559</v>
      </c>
      <c r="O145" s="354">
        <v>1</v>
      </c>
      <c r="P145" s="150">
        <v>0</v>
      </c>
      <c r="Q145" s="150" t="s">
        <v>1238</v>
      </c>
      <c r="R145" s="162">
        <v>20</v>
      </c>
      <c r="S145" s="144">
        <v>10</v>
      </c>
      <c r="T145" s="176">
        <v>6</v>
      </c>
      <c r="U145" s="176">
        <v>15</v>
      </c>
      <c r="V145" s="109" t="s">
        <v>1560</v>
      </c>
      <c r="W145" s="335" t="s">
        <v>1971</v>
      </c>
      <c r="X145" s="144" t="s">
        <v>1562</v>
      </c>
      <c r="Y145" s="144" t="s">
        <v>272</v>
      </c>
      <c r="Z145" s="144" t="s">
        <v>1227</v>
      </c>
      <c r="AA145" s="152"/>
      <c r="AB145" s="152"/>
      <c r="AC145" s="163" t="s">
        <v>1981</v>
      </c>
      <c r="AD145" s="51" t="s">
        <v>1985</v>
      </c>
      <c r="AE145" s="101"/>
    </row>
    <row r="146" spans="1:31" s="107" customFormat="1" ht="14.45">
      <c r="A146" s="107" t="s">
        <v>1986</v>
      </c>
      <c r="B146" s="108" t="s">
        <v>1954</v>
      </c>
      <c r="C146" s="108">
        <v>46145</v>
      </c>
      <c r="D146" s="108"/>
      <c r="E146" s="357" t="s">
        <v>1974</v>
      </c>
      <c r="F146" s="176">
        <v>55</v>
      </c>
      <c r="G146" s="144">
        <v>950</v>
      </c>
      <c r="H146" s="176">
        <v>150</v>
      </c>
      <c r="I146" s="352" t="s">
        <v>1247</v>
      </c>
      <c r="J146" s="146" t="s">
        <v>1234</v>
      </c>
      <c r="K146" s="355" t="s">
        <v>1987</v>
      </c>
      <c r="L146" s="147" t="s">
        <v>1236</v>
      </c>
      <c r="M146" s="339">
        <v>150</v>
      </c>
      <c r="N146" s="148" t="s">
        <v>1559</v>
      </c>
      <c r="O146" s="354">
        <v>1</v>
      </c>
      <c r="P146" s="150">
        <v>0</v>
      </c>
      <c r="Q146" s="150" t="s">
        <v>1238</v>
      </c>
      <c r="R146" s="162">
        <v>20</v>
      </c>
      <c r="S146" s="144">
        <v>10</v>
      </c>
      <c r="T146" s="172" t="s">
        <v>1988</v>
      </c>
      <c r="U146" s="176">
        <v>15</v>
      </c>
      <c r="V146" s="109" t="s">
        <v>1560</v>
      </c>
      <c r="W146" s="611" t="s">
        <v>1971</v>
      </c>
      <c r="X146" s="144" t="s">
        <v>1562</v>
      </c>
      <c r="Y146" s="144" t="s">
        <v>272</v>
      </c>
      <c r="Z146" s="144" t="s">
        <v>1227</v>
      </c>
      <c r="AA146" s="152"/>
      <c r="AB146" s="152"/>
      <c r="AC146" s="163" t="s">
        <v>1981</v>
      </c>
      <c r="AD146" s="51" t="s">
        <v>1989</v>
      </c>
      <c r="AE146" s="101"/>
    </row>
    <row r="147" spans="1:31" s="107" customFormat="1" ht="14.45">
      <c r="A147" s="390" t="s">
        <v>1990</v>
      </c>
      <c r="B147" s="391" t="s">
        <v>1954</v>
      </c>
      <c r="C147" s="108">
        <v>46145</v>
      </c>
      <c r="D147" s="108"/>
      <c r="E147" s="357" t="s">
        <v>1974</v>
      </c>
      <c r="F147" s="176">
        <v>55</v>
      </c>
      <c r="G147" s="172">
        <v>925</v>
      </c>
      <c r="H147" s="176">
        <v>150</v>
      </c>
      <c r="I147" s="352" t="s">
        <v>1247</v>
      </c>
      <c r="J147" s="146" t="s">
        <v>1234</v>
      </c>
      <c r="K147" s="355" t="s">
        <v>1991</v>
      </c>
      <c r="L147" s="147" t="s">
        <v>1236</v>
      </c>
      <c r="M147" s="339">
        <v>150</v>
      </c>
      <c r="N147" s="148" t="s">
        <v>1559</v>
      </c>
      <c r="O147" s="354">
        <v>1</v>
      </c>
      <c r="P147" s="150">
        <v>0</v>
      </c>
      <c r="Q147" s="150" t="s">
        <v>1238</v>
      </c>
      <c r="R147" s="162">
        <v>20</v>
      </c>
      <c r="S147" s="144">
        <v>10</v>
      </c>
      <c r="T147" s="172" t="s">
        <v>1988</v>
      </c>
      <c r="U147" s="176">
        <v>15</v>
      </c>
      <c r="V147" s="109" t="s">
        <v>1560</v>
      </c>
      <c r="W147" s="611" t="s">
        <v>1992</v>
      </c>
      <c r="X147" s="144" t="s">
        <v>1562</v>
      </c>
      <c r="Y147" s="144" t="s">
        <v>272</v>
      </c>
      <c r="Z147" s="144" t="s">
        <v>1227</v>
      </c>
      <c r="AA147" s="152"/>
      <c r="AB147" s="152"/>
      <c r="AC147" s="163" t="s">
        <v>1993</v>
      </c>
      <c r="AD147" s="51" t="s">
        <v>1994</v>
      </c>
      <c r="AE147" s="351"/>
    </row>
    <row r="148" spans="1:31" s="107" customFormat="1" ht="29.1">
      <c r="A148" s="107" t="s">
        <v>1995</v>
      </c>
      <c r="B148" s="108" t="s">
        <v>1954</v>
      </c>
      <c r="C148" s="108">
        <v>46145</v>
      </c>
      <c r="D148" s="108"/>
      <c r="E148" s="357" t="s">
        <v>1974</v>
      </c>
      <c r="F148" s="176">
        <v>55</v>
      </c>
      <c r="G148" s="172">
        <v>900</v>
      </c>
      <c r="H148" s="176">
        <v>150</v>
      </c>
      <c r="I148" s="352" t="s">
        <v>1247</v>
      </c>
      <c r="J148" s="146" t="s">
        <v>1234</v>
      </c>
      <c r="K148" s="355" t="s">
        <v>1991</v>
      </c>
      <c r="L148" s="147" t="s">
        <v>1236</v>
      </c>
      <c r="M148" s="339">
        <v>150</v>
      </c>
      <c r="N148" s="336" t="s">
        <v>1559</v>
      </c>
      <c r="O148" s="354">
        <v>1</v>
      </c>
      <c r="P148" s="150">
        <v>0</v>
      </c>
      <c r="Q148" s="150" t="s">
        <v>1238</v>
      </c>
      <c r="R148" s="162">
        <v>20</v>
      </c>
      <c r="S148" s="144">
        <v>10</v>
      </c>
      <c r="T148" s="172" t="s">
        <v>1996</v>
      </c>
      <c r="U148" s="176">
        <v>15</v>
      </c>
      <c r="V148" s="109" t="s">
        <v>1560</v>
      </c>
      <c r="W148" s="335" t="s">
        <v>1997</v>
      </c>
      <c r="X148" s="144" t="s">
        <v>1562</v>
      </c>
      <c r="Y148" s="144" t="s">
        <v>272</v>
      </c>
      <c r="Z148" s="144" t="s">
        <v>1227</v>
      </c>
      <c r="AA148" s="152"/>
      <c r="AB148" s="152"/>
      <c r="AC148" s="163" t="s">
        <v>1993</v>
      </c>
      <c r="AD148" s="51" t="s">
        <v>1998</v>
      </c>
      <c r="AE148" s="351" t="s">
        <v>1999</v>
      </c>
    </row>
    <row r="149" spans="1:31" s="107" customFormat="1" ht="29.1">
      <c r="A149" s="107" t="s">
        <v>2000</v>
      </c>
      <c r="B149" s="108" t="s">
        <v>1954</v>
      </c>
      <c r="C149" s="108">
        <v>46146</v>
      </c>
      <c r="D149" s="108"/>
      <c r="E149" s="357" t="s">
        <v>1974</v>
      </c>
      <c r="F149" s="176">
        <v>55</v>
      </c>
      <c r="G149" s="176">
        <v>900</v>
      </c>
      <c r="H149" s="176">
        <v>150</v>
      </c>
      <c r="I149" s="352" t="s">
        <v>1247</v>
      </c>
      <c r="J149" s="146" t="s">
        <v>1234</v>
      </c>
      <c r="K149" s="358" t="s">
        <v>1991</v>
      </c>
      <c r="L149" s="147" t="s">
        <v>1236</v>
      </c>
      <c r="M149" s="339">
        <v>150</v>
      </c>
      <c r="N149" s="339" t="s">
        <v>1559</v>
      </c>
      <c r="O149" s="354">
        <v>1</v>
      </c>
      <c r="P149" s="150">
        <v>0</v>
      </c>
      <c r="Q149" s="150" t="s">
        <v>1238</v>
      </c>
      <c r="R149" s="162">
        <v>20</v>
      </c>
      <c r="S149" s="144">
        <v>10</v>
      </c>
      <c r="T149" s="172" t="s">
        <v>2001</v>
      </c>
      <c r="U149" s="176">
        <v>15</v>
      </c>
      <c r="V149" s="109" t="s">
        <v>1560</v>
      </c>
      <c r="W149" s="335" t="s">
        <v>1997</v>
      </c>
      <c r="X149" s="144" t="s">
        <v>1562</v>
      </c>
      <c r="Y149" s="144" t="s">
        <v>272</v>
      </c>
      <c r="Z149" s="144" t="s">
        <v>1227</v>
      </c>
      <c r="AA149" s="152"/>
      <c r="AB149" s="152"/>
      <c r="AC149" s="163" t="s">
        <v>1993</v>
      </c>
      <c r="AD149" s="51"/>
      <c r="AE149" s="101"/>
    </row>
    <row r="150" spans="1:31" s="107" customFormat="1" ht="29.1">
      <c r="A150" s="107" t="s">
        <v>2002</v>
      </c>
      <c r="B150" s="108"/>
      <c r="C150" s="108">
        <v>46146</v>
      </c>
      <c r="D150" s="108"/>
      <c r="E150" s="357" t="s">
        <v>1974</v>
      </c>
      <c r="F150" s="176">
        <v>55</v>
      </c>
      <c r="G150" s="172">
        <v>950</v>
      </c>
      <c r="H150" s="176">
        <v>150</v>
      </c>
      <c r="I150" s="352" t="s">
        <v>1247</v>
      </c>
      <c r="J150" s="146" t="s">
        <v>1234</v>
      </c>
      <c r="K150" s="358" t="s">
        <v>1991</v>
      </c>
      <c r="L150" s="147" t="s">
        <v>1236</v>
      </c>
      <c r="M150" s="339">
        <v>150</v>
      </c>
      <c r="N150" s="339" t="s">
        <v>1559</v>
      </c>
      <c r="O150" s="354">
        <v>1</v>
      </c>
      <c r="P150" s="150">
        <v>0</v>
      </c>
      <c r="Q150" s="150" t="s">
        <v>1238</v>
      </c>
      <c r="R150" s="162">
        <v>20</v>
      </c>
      <c r="S150" s="144">
        <v>10</v>
      </c>
      <c r="T150" s="172" t="s">
        <v>2003</v>
      </c>
      <c r="U150" s="176">
        <v>15</v>
      </c>
      <c r="V150" s="109" t="s">
        <v>1560</v>
      </c>
      <c r="W150" s="335" t="s">
        <v>1971</v>
      </c>
      <c r="X150" s="144" t="s">
        <v>1562</v>
      </c>
      <c r="Y150" s="144" t="s">
        <v>272</v>
      </c>
      <c r="Z150" s="144" t="s">
        <v>1227</v>
      </c>
      <c r="AA150" s="152"/>
      <c r="AB150" s="152"/>
      <c r="AC150" s="163" t="s">
        <v>1993</v>
      </c>
      <c r="AD150" s="51" t="s">
        <v>2004</v>
      </c>
      <c r="AE150" s="351" t="s">
        <v>2005</v>
      </c>
    </row>
    <row r="151" spans="1:31" s="107" customFormat="1" ht="29.1">
      <c r="A151" s="107" t="s">
        <v>2006</v>
      </c>
      <c r="B151" s="108" t="s">
        <v>2002</v>
      </c>
      <c r="C151" s="108">
        <v>46147</v>
      </c>
      <c r="D151" s="108"/>
      <c r="E151" s="357" t="s">
        <v>1974</v>
      </c>
      <c r="F151" s="176">
        <v>55</v>
      </c>
      <c r="G151" s="172">
        <v>925</v>
      </c>
      <c r="H151" s="176">
        <v>150</v>
      </c>
      <c r="I151" s="352" t="s">
        <v>1247</v>
      </c>
      <c r="J151" s="146" t="s">
        <v>1234</v>
      </c>
      <c r="K151" s="358" t="s">
        <v>1991</v>
      </c>
      <c r="L151" s="147" t="s">
        <v>1236</v>
      </c>
      <c r="M151" s="339">
        <v>150</v>
      </c>
      <c r="N151" s="339" t="s">
        <v>1559</v>
      </c>
      <c r="O151" s="354">
        <v>1</v>
      </c>
      <c r="P151" s="150">
        <v>0</v>
      </c>
      <c r="Q151" s="150" t="s">
        <v>1238</v>
      </c>
      <c r="R151" s="162">
        <v>20</v>
      </c>
      <c r="S151" s="144">
        <v>10</v>
      </c>
      <c r="T151" s="172" t="s">
        <v>2003</v>
      </c>
      <c r="U151" s="176">
        <v>15</v>
      </c>
      <c r="V151" s="109" t="s">
        <v>1560</v>
      </c>
      <c r="W151" s="335" t="s">
        <v>1992</v>
      </c>
      <c r="X151" s="144" t="s">
        <v>1562</v>
      </c>
      <c r="Y151" s="144" t="s">
        <v>272</v>
      </c>
      <c r="Z151" s="144" t="s">
        <v>1227</v>
      </c>
      <c r="AA151" s="152"/>
      <c r="AB151" s="152"/>
      <c r="AC151" s="163" t="s">
        <v>1993</v>
      </c>
      <c r="AD151" s="51" t="s">
        <v>2007</v>
      </c>
      <c r="AE151" s="351"/>
    </row>
    <row r="152" spans="1:31" s="107" customFormat="1" ht="29.1">
      <c r="A152" s="107" t="s">
        <v>2008</v>
      </c>
      <c r="B152" s="108" t="s">
        <v>2006</v>
      </c>
      <c r="C152" s="108">
        <v>46147</v>
      </c>
      <c r="D152" s="108"/>
      <c r="E152" s="357" t="s">
        <v>1974</v>
      </c>
      <c r="F152" s="176">
        <v>55</v>
      </c>
      <c r="G152" s="172">
        <v>925</v>
      </c>
      <c r="H152" s="176">
        <v>150</v>
      </c>
      <c r="I152" s="352" t="s">
        <v>1247</v>
      </c>
      <c r="J152" s="146" t="s">
        <v>1234</v>
      </c>
      <c r="K152" s="358" t="s">
        <v>1991</v>
      </c>
      <c r="L152" s="147" t="s">
        <v>1236</v>
      </c>
      <c r="M152" s="339">
        <v>150</v>
      </c>
      <c r="N152" s="339" t="s">
        <v>1559</v>
      </c>
      <c r="O152" s="354">
        <v>1</v>
      </c>
      <c r="P152" s="150">
        <v>0</v>
      </c>
      <c r="Q152" s="150" t="s">
        <v>1238</v>
      </c>
      <c r="R152" s="162">
        <v>20</v>
      </c>
      <c r="S152" s="144">
        <v>10</v>
      </c>
      <c r="T152" s="172">
        <v>12.5</v>
      </c>
      <c r="U152" s="176">
        <v>15</v>
      </c>
      <c r="V152" s="109" t="s">
        <v>1560</v>
      </c>
      <c r="W152" s="274" t="s">
        <v>2009</v>
      </c>
      <c r="X152" s="144" t="s">
        <v>1562</v>
      </c>
      <c r="Y152" s="144" t="s">
        <v>272</v>
      </c>
      <c r="Z152" s="144" t="s">
        <v>1227</v>
      </c>
      <c r="AA152" s="152"/>
      <c r="AB152" s="152"/>
      <c r="AC152" s="163" t="s">
        <v>1941</v>
      </c>
      <c r="AD152" s="51" t="s">
        <v>2010</v>
      </c>
      <c r="AE152" s="351"/>
    </row>
    <row r="153" spans="1:31" s="107" customFormat="1" ht="29.1">
      <c r="A153" s="107" t="s">
        <v>2011</v>
      </c>
      <c r="B153" s="108" t="s">
        <v>2006</v>
      </c>
      <c r="C153" s="108">
        <v>46147</v>
      </c>
      <c r="D153" s="108"/>
      <c r="E153" s="357" t="s">
        <v>1974</v>
      </c>
      <c r="F153" s="176">
        <v>55</v>
      </c>
      <c r="G153" s="172">
        <v>925</v>
      </c>
      <c r="H153" s="176">
        <v>150</v>
      </c>
      <c r="I153" s="352" t="s">
        <v>1247</v>
      </c>
      <c r="J153" s="146" t="s">
        <v>1234</v>
      </c>
      <c r="K153" s="358" t="s">
        <v>1991</v>
      </c>
      <c r="L153" s="147" t="s">
        <v>1236</v>
      </c>
      <c r="M153" s="339">
        <v>150</v>
      </c>
      <c r="N153" s="339" t="s">
        <v>1559</v>
      </c>
      <c r="O153" s="354">
        <v>1</v>
      </c>
      <c r="P153" s="150">
        <v>0</v>
      </c>
      <c r="Q153" s="150" t="s">
        <v>1238</v>
      </c>
      <c r="R153" s="162">
        <v>20</v>
      </c>
      <c r="S153" s="144">
        <v>10</v>
      </c>
      <c r="T153" s="172">
        <v>12.5</v>
      </c>
      <c r="U153" s="176">
        <v>15</v>
      </c>
      <c r="V153" s="109" t="s">
        <v>1560</v>
      </c>
      <c r="W153" s="335" t="s">
        <v>1992</v>
      </c>
      <c r="X153" s="144" t="s">
        <v>1562</v>
      </c>
      <c r="Y153" s="144" t="s">
        <v>272</v>
      </c>
      <c r="Z153" s="144" t="s">
        <v>1227</v>
      </c>
      <c r="AA153" s="152"/>
      <c r="AB153" s="152"/>
      <c r="AC153" s="163" t="s">
        <v>1941</v>
      </c>
      <c r="AD153" s="51" t="s">
        <v>2012</v>
      </c>
      <c r="AE153" s="351"/>
    </row>
    <row r="154" spans="1:31" s="107" customFormat="1" ht="29.1">
      <c r="A154" s="107" t="s">
        <v>2013</v>
      </c>
      <c r="B154" s="107" t="s">
        <v>2011</v>
      </c>
      <c r="C154" s="108">
        <v>46148</v>
      </c>
      <c r="D154" s="108"/>
      <c r="E154" s="300" t="s">
        <v>2014</v>
      </c>
      <c r="F154" s="109">
        <v>55</v>
      </c>
      <c r="G154" s="109">
        <v>925</v>
      </c>
      <c r="H154" s="109">
        <v>150</v>
      </c>
      <c r="I154" s="109" t="s">
        <v>1247</v>
      </c>
      <c r="J154" s="146" t="s">
        <v>1234</v>
      </c>
      <c r="K154" s="358" t="s">
        <v>1991</v>
      </c>
      <c r="L154" s="147" t="s">
        <v>1236</v>
      </c>
      <c r="M154" s="339">
        <v>150</v>
      </c>
      <c r="N154" s="339" t="s">
        <v>1559</v>
      </c>
      <c r="O154" s="112">
        <v>1</v>
      </c>
      <c r="P154" s="113">
        <v>0</v>
      </c>
      <c r="Q154" s="150" t="s">
        <v>1238</v>
      </c>
      <c r="R154" s="363">
        <v>40</v>
      </c>
      <c r="S154" s="109">
        <v>10</v>
      </c>
      <c r="T154" s="172">
        <v>10.5</v>
      </c>
      <c r="U154" s="109">
        <v>15</v>
      </c>
      <c r="V154" s="109" t="s">
        <v>1560</v>
      </c>
      <c r="W154" s="335" t="s">
        <v>1992</v>
      </c>
      <c r="X154" s="144" t="s">
        <v>1562</v>
      </c>
      <c r="Y154" s="144" t="s">
        <v>272</v>
      </c>
      <c r="Z154" s="144" t="s">
        <v>1227</v>
      </c>
      <c r="AA154" s="152"/>
      <c r="AB154" s="152"/>
      <c r="AC154" s="163" t="s">
        <v>1941</v>
      </c>
      <c r="AD154" s="51" t="s">
        <v>2012</v>
      </c>
      <c r="AE154" s="101"/>
    </row>
    <row r="155" spans="1:31" s="107" customFormat="1" ht="29.1">
      <c r="A155" s="107" t="s">
        <v>2015</v>
      </c>
      <c r="B155" s="107" t="s">
        <v>2011</v>
      </c>
      <c r="C155" s="108">
        <v>46148</v>
      </c>
      <c r="D155" s="108"/>
      <c r="E155" s="300" t="s">
        <v>2016</v>
      </c>
      <c r="F155" s="366">
        <v>40</v>
      </c>
      <c r="G155" s="109">
        <v>925</v>
      </c>
      <c r="H155" s="109">
        <v>150</v>
      </c>
      <c r="I155" s="109" t="s">
        <v>1247</v>
      </c>
      <c r="J155" s="146" t="s">
        <v>1234</v>
      </c>
      <c r="K155" s="358" t="s">
        <v>1991</v>
      </c>
      <c r="L155" s="147" t="s">
        <v>1236</v>
      </c>
      <c r="M155" s="339">
        <v>150</v>
      </c>
      <c r="N155" s="339" t="s">
        <v>1559</v>
      </c>
      <c r="O155" s="112">
        <v>1</v>
      </c>
      <c r="P155" s="113">
        <v>0</v>
      </c>
      <c r="Q155" s="150" t="s">
        <v>1238</v>
      </c>
      <c r="R155" s="363">
        <v>20</v>
      </c>
      <c r="S155" s="109">
        <v>10</v>
      </c>
      <c r="T155" s="172">
        <v>12.5</v>
      </c>
      <c r="U155" s="109">
        <v>15</v>
      </c>
      <c r="V155" s="109" t="s">
        <v>1560</v>
      </c>
      <c r="W155" s="335" t="s">
        <v>1992</v>
      </c>
      <c r="X155" s="144" t="s">
        <v>1562</v>
      </c>
      <c r="Y155" s="144" t="s">
        <v>272</v>
      </c>
      <c r="Z155" s="144" t="s">
        <v>1227</v>
      </c>
      <c r="AA155" s="152"/>
      <c r="AB155" s="152"/>
      <c r="AC155" s="163" t="s">
        <v>1941</v>
      </c>
      <c r="AD155" s="51" t="s">
        <v>2017</v>
      </c>
      <c r="AE155" s="101"/>
    </row>
    <row r="156" spans="1:31" s="107" customFormat="1" ht="29.1">
      <c r="A156" s="107" t="s">
        <v>2018</v>
      </c>
      <c r="B156" s="107" t="s">
        <v>2015</v>
      </c>
      <c r="C156" s="108">
        <v>46148</v>
      </c>
      <c r="D156" s="108"/>
      <c r="E156" s="300" t="s">
        <v>2016</v>
      </c>
      <c r="F156" s="367">
        <v>40</v>
      </c>
      <c r="G156" s="109">
        <v>925</v>
      </c>
      <c r="H156" s="109">
        <v>150</v>
      </c>
      <c r="I156" s="109" t="s">
        <v>1247</v>
      </c>
      <c r="J156" s="146" t="s">
        <v>1234</v>
      </c>
      <c r="K156" s="358" t="s">
        <v>1991</v>
      </c>
      <c r="L156" s="147" t="s">
        <v>1236</v>
      </c>
      <c r="M156" s="339">
        <v>150</v>
      </c>
      <c r="N156" s="339" t="s">
        <v>1559</v>
      </c>
      <c r="O156" s="369">
        <v>2</v>
      </c>
      <c r="P156" s="113">
        <v>0</v>
      </c>
      <c r="Q156" s="150" t="s">
        <v>1238</v>
      </c>
      <c r="R156" s="368">
        <v>20</v>
      </c>
      <c r="S156" s="109">
        <v>10</v>
      </c>
      <c r="T156" s="333">
        <v>12.5</v>
      </c>
      <c r="U156" s="109">
        <v>15</v>
      </c>
      <c r="V156" s="109" t="s">
        <v>1560</v>
      </c>
      <c r="W156" s="335" t="s">
        <v>1992</v>
      </c>
      <c r="X156" s="144" t="s">
        <v>1562</v>
      </c>
      <c r="Y156" s="144" t="s">
        <v>272</v>
      </c>
      <c r="Z156" s="144" t="s">
        <v>1227</v>
      </c>
      <c r="AA156" s="152"/>
      <c r="AB156" s="152"/>
      <c r="AC156" s="163" t="s">
        <v>1941</v>
      </c>
      <c r="AD156" s="51" t="s">
        <v>2019</v>
      </c>
      <c r="AE156" s="101"/>
    </row>
    <row r="157" spans="1:31" s="107" customFormat="1" ht="29.1">
      <c r="A157" s="107" t="s">
        <v>2020</v>
      </c>
      <c r="B157" s="107" t="s">
        <v>2018</v>
      </c>
      <c r="C157" s="108">
        <v>46149</v>
      </c>
      <c r="D157" s="108"/>
      <c r="E157" s="617" t="s">
        <v>2021</v>
      </c>
      <c r="F157" s="367">
        <v>40</v>
      </c>
      <c r="G157" s="366">
        <v>900</v>
      </c>
      <c r="H157" s="109">
        <v>150</v>
      </c>
      <c r="I157" s="109" t="s">
        <v>1247</v>
      </c>
      <c r="J157" s="146" t="s">
        <v>1234</v>
      </c>
      <c r="K157" s="358" t="s">
        <v>1991</v>
      </c>
      <c r="L157" s="147" t="s">
        <v>1236</v>
      </c>
      <c r="M157" s="339">
        <v>150</v>
      </c>
      <c r="N157" s="339" t="s">
        <v>1559</v>
      </c>
      <c r="O157" s="370">
        <v>2</v>
      </c>
      <c r="P157" s="113">
        <v>0</v>
      </c>
      <c r="Q157" s="150" t="s">
        <v>1238</v>
      </c>
      <c r="R157" s="368">
        <v>20</v>
      </c>
      <c r="S157" s="109">
        <v>10</v>
      </c>
      <c r="T157" s="333">
        <v>12.5</v>
      </c>
      <c r="U157" s="109">
        <v>15</v>
      </c>
      <c r="V157" s="109" t="s">
        <v>1560</v>
      </c>
      <c r="W157" s="335" t="s">
        <v>1992</v>
      </c>
      <c r="X157" s="144" t="s">
        <v>1562</v>
      </c>
      <c r="Y157" s="144" t="s">
        <v>272</v>
      </c>
      <c r="Z157" s="144" t="s">
        <v>1227</v>
      </c>
      <c r="AA157" s="152"/>
      <c r="AB157" s="152"/>
      <c r="AC157" s="163" t="s">
        <v>1941</v>
      </c>
      <c r="AD157" s="51" t="s">
        <v>2022</v>
      </c>
      <c r="AE157" s="101"/>
    </row>
    <row r="158" spans="1:31" s="107" customFormat="1" ht="29.1">
      <c r="A158" s="107" t="s">
        <v>2023</v>
      </c>
      <c r="B158" s="107" t="s">
        <v>2020</v>
      </c>
      <c r="C158" s="108">
        <v>46149</v>
      </c>
      <c r="D158" s="108"/>
      <c r="E158" s="617" t="s">
        <v>2021</v>
      </c>
      <c r="F158" s="367">
        <v>40</v>
      </c>
      <c r="G158" s="109">
        <v>900</v>
      </c>
      <c r="H158" s="109">
        <v>150</v>
      </c>
      <c r="I158" s="109" t="s">
        <v>1247</v>
      </c>
      <c r="J158" s="146" t="s">
        <v>1234</v>
      </c>
      <c r="K158" s="358" t="s">
        <v>1991</v>
      </c>
      <c r="L158" s="147" t="s">
        <v>1236</v>
      </c>
      <c r="M158" s="339">
        <v>150</v>
      </c>
      <c r="N158" s="339" t="s">
        <v>1559</v>
      </c>
      <c r="O158" s="369">
        <v>1</v>
      </c>
      <c r="P158" s="113">
        <v>0</v>
      </c>
      <c r="Q158" s="150" t="s">
        <v>1238</v>
      </c>
      <c r="R158" s="368">
        <v>20</v>
      </c>
      <c r="S158" s="109">
        <v>10</v>
      </c>
      <c r="T158" s="333">
        <v>12.5</v>
      </c>
      <c r="U158" s="109">
        <v>15</v>
      </c>
      <c r="V158" s="109" t="s">
        <v>1560</v>
      </c>
      <c r="W158" s="335" t="s">
        <v>1992</v>
      </c>
      <c r="X158" s="144" t="s">
        <v>1562</v>
      </c>
      <c r="Y158" s="144" t="s">
        <v>272</v>
      </c>
      <c r="Z158" s="144" t="s">
        <v>1227</v>
      </c>
      <c r="AA158" s="152"/>
      <c r="AB158" s="152"/>
      <c r="AC158" s="163" t="s">
        <v>1941</v>
      </c>
      <c r="AD158" s="51" t="s">
        <v>2024</v>
      </c>
      <c r="AE158" s="101"/>
    </row>
    <row r="159" spans="1:31" s="107" customFormat="1" ht="14.45">
      <c r="A159" s="107" t="s">
        <v>2025</v>
      </c>
      <c r="B159" s="107" t="s">
        <v>2020</v>
      </c>
      <c r="C159" s="108">
        <v>46149</v>
      </c>
      <c r="D159" s="108"/>
      <c r="E159" s="300" t="s">
        <v>2026</v>
      </c>
      <c r="F159" s="367">
        <v>40</v>
      </c>
      <c r="G159" s="109">
        <v>900</v>
      </c>
      <c r="H159" s="109">
        <v>150</v>
      </c>
      <c r="I159" s="109" t="s">
        <v>1247</v>
      </c>
      <c r="J159" s="146" t="s">
        <v>1234</v>
      </c>
      <c r="K159" s="358" t="s">
        <v>1991</v>
      </c>
      <c r="L159" s="147" t="s">
        <v>1236</v>
      </c>
      <c r="M159" s="339">
        <v>150</v>
      </c>
      <c r="N159" s="339" t="s">
        <v>1559</v>
      </c>
      <c r="O159" s="370">
        <v>1</v>
      </c>
      <c r="P159" s="113">
        <v>0</v>
      </c>
      <c r="Q159" s="150" t="s">
        <v>1238</v>
      </c>
      <c r="R159" s="368">
        <v>20</v>
      </c>
      <c r="S159" s="109">
        <v>10</v>
      </c>
      <c r="T159" s="333">
        <v>12.5</v>
      </c>
      <c r="U159" s="109">
        <v>15</v>
      </c>
      <c r="V159" s="109" t="s">
        <v>1560</v>
      </c>
      <c r="W159" s="274" t="s">
        <v>2027</v>
      </c>
      <c r="X159" s="144" t="s">
        <v>1562</v>
      </c>
      <c r="Y159" s="144" t="s">
        <v>272</v>
      </c>
      <c r="Z159" s="144" t="s">
        <v>1227</v>
      </c>
      <c r="AA159" s="152"/>
      <c r="AB159" s="152"/>
      <c r="AC159" s="163" t="s">
        <v>1941</v>
      </c>
      <c r="AD159" s="51" t="s">
        <v>2028</v>
      </c>
      <c r="AE159" s="101"/>
    </row>
    <row r="160" spans="1:31" s="107" customFormat="1" ht="29.1">
      <c r="A160" s="107" t="s">
        <v>2029</v>
      </c>
      <c r="B160" s="107" t="s">
        <v>2020</v>
      </c>
      <c r="C160" s="108">
        <v>46150</v>
      </c>
      <c r="D160" s="108"/>
      <c r="E160" s="300" t="s">
        <v>2026</v>
      </c>
      <c r="F160" s="367">
        <v>40</v>
      </c>
      <c r="G160" s="109">
        <v>900</v>
      </c>
      <c r="H160" s="109">
        <v>150</v>
      </c>
      <c r="I160" s="109" t="s">
        <v>1247</v>
      </c>
      <c r="J160" s="146" t="s">
        <v>1234</v>
      </c>
      <c r="K160" s="358" t="s">
        <v>1991</v>
      </c>
      <c r="L160" s="147" t="s">
        <v>1236</v>
      </c>
      <c r="M160" s="339">
        <v>150</v>
      </c>
      <c r="N160" s="339" t="s">
        <v>1559</v>
      </c>
      <c r="O160" s="370">
        <v>1</v>
      </c>
      <c r="P160" s="113">
        <v>0</v>
      </c>
      <c r="Q160" s="150" t="s">
        <v>1238</v>
      </c>
      <c r="R160" s="368">
        <v>20</v>
      </c>
      <c r="S160" s="109">
        <v>10</v>
      </c>
      <c r="T160" s="333">
        <v>12.5</v>
      </c>
      <c r="U160" s="109">
        <v>15</v>
      </c>
      <c r="V160" s="109" t="s">
        <v>1560</v>
      </c>
      <c r="W160" s="274" t="s">
        <v>1992</v>
      </c>
      <c r="X160" s="144" t="s">
        <v>1562</v>
      </c>
      <c r="Y160" s="144" t="s">
        <v>272</v>
      </c>
      <c r="Z160" s="144" t="s">
        <v>1227</v>
      </c>
      <c r="AA160" s="152"/>
      <c r="AB160" s="152"/>
      <c r="AC160" s="163" t="s">
        <v>1941</v>
      </c>
      <c r="AD160" s="51" t="s">
        <v>2030</v>
      </c>
      <c r="AE160" s="101"/>
    </row>
    <row r="161" spans="1:31" s="107" customFormat="1" ht="14.45">
      <c r="A161" s="107" t="s">
        <v>2031</v>
      </c>
      <c r="B161" s="107" t="s">
        <v>2020</v>
      </c>
      <c r="C161" s="108">
        <v>46150</v>
      </c>
      <c r="D161" s="108"/>
      <c r="E161" s="300" t="s">
        <v>2026</v>
      </c>
      <c r="F161" s="367">
        <v>40</v>
      </c>
      <c r="G161" s="366">
        <v>925</v>
      </c>
      <c r="H161" s="109">
        <v>150</v>
      </c>
      <c r="I161" s="109" t="s">
        <v>1247</v>
      </c>
      <c r="J161" s="146" t="s">
        <v>1234</v>
      </c>
      <c r="K161" s="358" t="s">
        <v>1991</v>
      </c>
      <c r="L161" s="147" t="s">
        <v>1236</v>
      </c>
      <c r="M161" s="339">
        <v>150</v>
      </c>
      <c r="N161" s="339" t="s">
        <v>1559</v>
      </c>
      <c r="O161" s="370">
        <v>1</v>
      </c>
      <c r="P161" s="113">
        <v>0</v>
      </c>
      <c r="Q161" s="150" t="s">
        <v>1238</v>
      </c>
      <c r="R161" s="368">
        <v>20</v>
      </c>
      <c r="S161" s="109">
        <v>10</v>
      </c>
      <c r="T161" s="333">
        <v>12.5</v>
      </c>
      <c r="U161" s="109">
        <v>15</v>
      </c>
      <c r="V161" s="109" t="s">
        <v>1560</v>
      </c>
      <c r="W161" s="274" t="s">
        <v>2027</v>
      </c>
      <c r="X161" s="144" t="s">
        <v>1562</v>
      </c>
      <c r="Y161" s="144" t="s">
        <v>272</v>
      </c>
      <c r="Z161" s="144" t="s">
        <v>1227</v>
      </c>
      <c r="AA161" s="152"/>
      <c r="AB161" s="152"/>
      <c r="AC161" s="163" t="s">
        <v>1941</v>
      </c>
      <c r="AD161" s="51" t="s">
        <v>2032</v>
      </c>
      <c r="AE161" s="101"/>
    </row>
    <row r="162" spans="1:31" s="107" customFormat="1" ht="43.5">
      <c r="A162" s="107" t="s">
        <v>2033</v>
      </c>
      <c r="B162" s="107" t="s">
        <v>2031</v>
      </c>
      <c r="C162" s="108">
        <v>46150</v>
      </c>
      <c r="D162" s="108"/>
      <c r="E162" s="300" t="s">
        <v>2026</v>
      </c>
      <c r="F162" s="367">
        <v>40</v>
      </c>
      <c r="G162" s="109">
        <v>900</v>
      </c>
      <c r="H162" s="109">
        <v>150</v>
      </c>
      <c r="I162" s="109" t="s">
        <v>1247</v>
      </c>
      <c r="J162" s="146" t="s">
        <v>1234</v>
      </c>
      <c r="K162" s="358" t="s">
        <v>1991</v>
      </c>
      <c r="L162" s="147" t="s">
        <v>1236</v>
      </c>
      <c r="M162" s="339">
        <v>150</v>
      </c>
      <c r="N162" s="339" t="s">
        <v>1559</v>
      </c>
      <c r="O162" s="370">
        <v>1</v>
      </c>
      <c r="P162" s="113">
        <v>0</v>
      </c>
      <c r="Q162" s="150" t="s">
        <v>1238</v>
      </c>
      <c r="R162" s="368">
        <v>20</v>
      </c>
      <c r="S162" s="109">
        <v>10</v>
      </c>
      <c r="T162" s="333">
        <v>12.5</v>
      </c>
      <c r="U162" s="109">
        <v>15</v>
      </c>
      <c r="V162" s="109" t="s">
        <v>1560</v>
      </c>
      <c r="W162" s="274" t="s">
        <v>2034</v>
      </c>
      <c r="X162" s="144" t="s">
        <v>1562</v>
      </c>
      <c r="Y162" s="144" t="s">
        <v>272</v>
      </c>
      <c r="Z162" s="144" t="s">
        <v>1227</v>
      </c>
      <c r="AA162" s="152"/>
      <c r="AB162" s="152"/>
      <c r="AC162" s="163" t="s">
        <v>1941</v>
      </c>
      <c r="AD162" s="51" t="s">
        <v>2035</v>
      </c>
      <c r="AE162" s="351"/>
    </row>
    <row r="163" spans="1:31" s="107" customFormat="1" ht="29.1">
      <c r="A163" s="107" t="s">
        <v>2036</v>
      </c>
      <c r="B163" s="107" t="s">
        <v>2029</v>
      </c>
      <c r="C163" s="108">
        <v>46152</v>
      </c>
      <c r="D163" s="108"/>
      <c r="E163" s="300" t="s">
        <v>2016</v>
      </c>
      <c r="F163" s="388">
        <v>40</v>
      </c>
      <c r="G163" s="109">
        <v>925</v>
      </c>
      <c r="H163" s="109">
        <v>150</v>
      </c>
      <c r="I163" s="109" t="s">
        <v>1247</v>
      </c>
      <c r="J163" s="146" t="s">
        <v>1234</v>
      </c>
      <c r="K163" s="358" t="s">
        <v>1991</v>
      </c>
      <c r="L163" s="147" t="s">
        <v>1236</v>
      </c>
      <c r="M163" s="339">
        <v>150</v>
      </c>
      <c r="N163" s="339" t="s">
        <v>1559</v>
      </c>
      <c r="O163" s="112">
        <v>1</v>
      </c>
      <c r="P163" s="113">
        <v>0</v>
      </c>
      <c r="Q163" s="150" t="s">
        <v>1238</v>
      </c>
      <c r="R163" s="389">
        <v>20</v>
      </c>
      <c r="S163" s="388">
        <v>10</v>
      </c>
      <c r="T163" s="176">
        <v>12.5</v>
      </c>
      <c r="U163" s="109">
        <v>15</v>
      </c>
      <c r="V163" s="109" t="s">
        <v>1560</v>
      </c>
      <c r="W163" s="335" t="s">
        <v>1992</v>
      </c>
      <c r="X163" s="144" t="s">
        <v>1562</v>
      </c>
      <c r="Y163" s="144" t="s">
        <v>272</v>
      </c>
      <c r="Z163" s="144" t="s">
        <v>1227</v>
      </c>
      <c r="AA163" s="152"/>
      <c r="AB163" s="152"/>
      <c r="AC163" s="163" t="s">
        <v>1941</v>
      </c>
      <c r="AD163" s="51" t="s">
        <v>2037</v>
      </c>
      <c r="AE163" s="351"/>
    </row>
    <row r="164" spans="1:31" s="107" customFormat="1" ht="43.5">
      <c r="A164" s="107" t="s">
        <v>2038</v>
      </c>
      <c r="B164" s="107" t="s">
        <v>2015</v>
      </c>
      <c r="C164" s="108">
        <v>46152</v>
      </c>
      <c r="D164" s="108"/>
      <c r="E164" s="300" t="s">
        <v>2016</v>
      </c>
      <c r="F164" s="388">
        <v>40</v>
      </c>
      <c r="G164" s="109">
        <v>875</v>
      </c>
      <c r="H164" s="109">
        <v>150</v>
      </c>
      <c r="I164" s="109" t="s">
        <v>1247</v>
      </c>
      <c r="J164" s="146" t="s">
        <v>1234</v>
      </c>
      <c r="K164" s="358" t="s">
        <v>1991</v>
      </c>
      <c r="L164" s="147" t="s">
        <v>1236</v>
      </c>
      <c r="M164" s="339">
        <v>150</v>
      </c>
      <c r="N164" s="339" t="s">
        <v>1559</v>
      </c>
      <c r="O164" s="112">
        <v>1</v>
      </c>
      <c r="P164" s="113">
        <v>0</v>
      </c>
      <c r="Q164" s="150" t="s">
        <v>1238</v>
      </c>
      <c r="R164" s="389">
        <v>20</v>
      </c>
      <c r="S164" s="388">
        <v>10</v>
      </c>
      <c r="T164" s="176">
        <v>12.5</v>
      </c>
      <c r="U164" s="366">
        <v>20</v>
      </c>
      <c r="V164" s="109" t="s">
        <v>1560</v>
      </c>
      <c r="W164" s="274" t="s">
        <v>2034</v>
      </c>
      <c r="X164" s="144" t="s">
        <v>1562</v>
      </c>
      <c r="Y164" s="144" t="s">
        <v>272</v>
      </c>
      <c r="Z164" s="144" t="s">
        <v>1227</v>
      </c>
      <c r="AA164" s="152"/>
      <c r="AB164" s="152"/>
      <c r="AC164" s="163" t="s">
        <v>1941</v>
      </c>
      <c r="AD164" s="51" t="s">
        <v>2039</v>
      </c>
      <c r="AE164" s="351"/>
    </row>
    <row r="165" spans="1:31" s="107" customFormat="1" ht="29.1">
      <c r="A165" s="107" t="s">
        <v>2040</v>
      </c>
      <c r="B165" s="107" t="s">
        <v>2015</v>
      </c>
      <c r="C165" s="108">
        <v>46152</v>
      </c>
      <c r="D165" s="108"/>
      <c r="E165" s="300" t="s">
        <v>2016</v>
      </c>
      <c r="F165" s="388">
        <v>40</v>
      </c>
      <c r="G165" s="109">
        <v>900</v>
      </c>
      <c r="H165" s="109">
        <v>150</v>
      </c>
      <c r="I165" s="109" t="s">
        <v>1247</v>
      </c>
      <c r="J165" s="146" t="s">
        <v>1234</v>
      </c>
      <c r="K165" s="358" t="s">
        <v>1991</v>
      </c>
      <c r="L165" s="147" t="s">
        <v>1236</v>
      </c>
      <c r="M165" s="339">
        <v>150</v>
      </c>
      <c r="N165" s="339" t="s">
        <v>1559</v>
      </c>
      <c r="O165" s="112">
        <v>1</v>
      </c>
      <c r="P165" s="113">
        <v>0</v>
      </c>
      <c r="Q165" s="150" t="s">
        <v>1238</v>
      </c>
      <c r="R165" s="389">
        <v>20</v>
      </c>
      <c r="S165" s="388">
        <v>10</v>
      </c>
      <c r="T165" s="176">
        <v>12.5</v>
      </c>
      <c r="U165" s="109">
        <v>15</v>
      </c>
      <c r="V165" s="109" t="s">
        <v>1560</v>
      </c>
      <c r="W165" s="335" t="s">
        <v>1992</v>
      </c>
      <c r="X165" s="144" t="s">
        <v>1562</v>
      </c>
      <c r="Y165" s="144" t="s">
        <v>272</v>
      </c>
      <c r="Z165" s="144" t="s">
        <v>1227</v>
      </c>
      <c r="AA165" s="152"/>
      <c r="AB165" s="152"/>
      <c r="AC165" s="163" t="s">
        <v>1941</v>
      </c>
      <c r="AD165" s="51" t="s">
        <v>2041</v>
      </c>
      <c r="AE165" s="351"/>
    </row>
    <row r="166" spans="1:31" s="107" customFormat="1" ht="29.1">
      <c r="A166" s="107" t="s">
        <v>2042</v>
      </c>
      <c r="B166" s="107" t="s">
        <v>2015</v>
      </c>
      <c r="C166" s="108">
        <v>46152</v>
      </c>
      <c r="D166" s="108"/>
      <c r="E166" s="300" t="s">
        <v>2016</v>
      </c>
      <c r="F166" s="388">
        <v>40</v>
      </c>
      <c r="G166" s="109">
        <v>925</v>
      </c>
      <c r="H166" s="109">
        <v>150</v>
      </c>
      <c r="I166" s="109" t="s">
        <v>1247</v>
      </c>
      <c r="J166" s="146" t="s">
        <v>1234</v>
      </c>
      <c r="K166" s="358" t="s">
        <v>1991</v>
      </c>
      <c r="L166" s="147" t="s">
        <v>1236</v>
      </c>
      <c r="M166" s="339">
        <v>150</v>
      </c>
      <c r="N166" s="339" t="s">
        <v>1559</v>
      </c>
      <c r="O166" s="112">
        <v>1</v>
      </c>
      <c r="P166" s="113">
        <v>0</v>
      </c>
      <c r="Q166" s="150" t="s">
        <v>1238</v>
      </c>
      <c r="R166" s="389">
        <v>20</v>
      </c>
      <c r="S166" s="388">
        <v>10</v>
      </c>
      <c r="T166" s="176">
        <v>12.5</v>
      </c>
      <c r="U166" s="109">
        <v>15</v>
      </c>
      <c r="V166" s="109" t="s">
        <v>1560</v>
      </c>
      <c r="W166" s="335" t="s">
        <v>1992</v>
      </c>
      <c r="X166" s="144" t="s">
        <v>1562</v>
      </c>
      <c r="Y166" s="144" t="s">
        <v>272</v>
      </c>
      <c r="Z166" s="144" t="s">
        <v>1227</v>
      </c>
      <c r="AA166" s="152"/>
      <c r="AB166" s="152"/>
      <c r="AC166" s="163" t="s">
        <v>1941</v>
      </c>
      <c r="AD166" s="51" t="s">
        <v>2043</v>
      </c>
      <c r="AE166" s="351"/>
    </row>
    <row r="167" spans="1:31" s="107" customFormat="1" ht="29.1">
      <c r="A167" s="107" t="s">
        <v>2044</v>
      </c>
      <c r="B167" s="107" t="s">
        <v>2045</v>
      </c>
      <c r="C167" s="108">
        <v>46153</v>
      </c>
      <c r="D167" s="108" t="s">
        <v>208</v>
      </c>
      <c r="E167" s="300" t="s">
        <v>2016</v>
      </c>
      <c r="F167" s="388">
        <v>40</v>
      </c>
      <c r="G167" s="109">
        <v>925</v>
      </c>
      <c r="H167" s="109">
        <v>150</v>
      </c>
      <c r="I167" s="109" t="s">
        <v>1247</v>
      </c>
      <c r="J167" s="146" t="s">
        <v>1234</v>
      </c>
      <c r="K167" s="358" t="s">
        <v>1991</v>
      </c>
      <c r="L167" s="147" t="s">
        <v>1236</v>
      </c>
      <c r="M167" s="339">
        <v>150</v>
      </c>
      <c r="N167" s="339" t="s">
        <v>1559</v>
      </c>
      <c r="O167" s="112">
        <v>1</v>
      </c>
      <c r="P167" s="113">
        <v>0</v>
      </c>
      <c r="Q167" s="150" t="s">
        <v>1238</v>
      </c>
      <c r="R167" s="389">
        <v>20</v>
      </c>
      <c r="S167" s="388">
        <v>10</v>
      </c>
      <c r="T167" s="176">
        <v>12.5</v>
      </c>
      <c r="U167" s="109">
        <v>15</v>
      </c>
      <c r="V167" s="109" t="s">
        <v>1560</v>
      </c>
      <c r="W167" s="335" t="s">
        <v>1992</v>
      </c>
      <c r="X167" s="144" t="s">
        <v>1562</v>
      </c>
      <c r="Y167" s="144" t="s">
        <v>272</v>
      </c>
      <c r="Z167" s="144" t="s">
        <v>1227</v>
      </c>
      <c r="AA167" s="152"/>
      <c r="AB167" s="152"/>
      <c r="AC167" s="163" t="s">
        <v>1941</v>
      </c>
      <c r="AD167" s="51" t="s">
        <v>2046</v>
      </c>
      <c r="AE167" s="351"/>
    </row>
    <row r="168" spans="1:31" s="107" customFormat="1" ht="29.1">
      <c r="A168" s="107" t="s">
        <v>2047</v>
      </c>
      <c r="B168" s="107" t="s">
        <v>2042</v>
      </c>
      <c r="C168" s="108">
        <v>46153</v>
      </c>
      <c r="D168" s="108" t="s">
        <v>208</v>
      </c>
      <c r="E168" s="300" t="s">
        <v>2016</v>
      </c>
      <c r="F168" s="388">
        <v>40</v>
      </c>
      <c r="G168" s="109">
        <v>925</v>
      </c>
      <c r="H168" s="109">
        <v>150</v>
      </c>
      <c r="I168" s="109" t="s">
        <v>1247</v>
      </c>
      <c r="J168" s="146" t="s">
        <v>1234</v>
      </c>
      <c r="K168" s="358" t="s">
        <v>1991</v>
      </c>
      <c r="L168" s="147" t="s">
        <v>1236</v>
      </c>
      <c r="M168" s="339">
        <v>150</v>
      </c>
      <c r="N168" s="339" t="s">
        <v>1559</v>
      </c>
      <c r="O168" s="112">
        <v>1</v>
      </c>
      <c r="P168" s="113">
        <v>0</v>
      </c>
      <c r="Q168" s="150" t="s">
        <v>1238</v>
      </c>
      <c r="R168" s="389">
        <v>20</v>
      </c>
      <c r="S168" s="388">
        <v>10</v>
      </c>
      <c r="T168" s="176">
        <v>12.5</v>
      </c>
      <c r="U168" s="109">
        <v>15</v>
      </c>
      <c r="V168" s="109" t="s">
        <v>1560</v>
      </c>
      <c r="W168" s="335" t="s">
        <v>1992</v>
      </c>
      <c r="X168" s="144" t="s">
        <v>1562</v>
      </c>
      <c r="Y168" s="144" t="s">
        <v>272</v>
      </c>
      <c r="Z168" s="144" t="s">
        <v>1227</v>
      </c>
      <c r="AA168" s="152"/>
      <c r="AB168" s="152"/>
      <c r="AC168" s="163" t="s">
        <v>1941</v>
      </c>
      <c r="AD168" s="51" t="s">
        <v>2046</v>
      </c>
      <c r="AE168" s="351"/>
    </row>
    <row r="169" spans="1:31" s="107" customFormat="1" ht="29.1">
      <c r="A169" s="107" t="s">
        <v>2048</v>
      </c>
      <c r="B169" s="107" t="s">
        <v>2025</v>
      </c>
      <c r="C169" s="108">
        <v>46153</v>
      </c>
      <c r="D169" s="108" t="s">
        <v>209</v>
      </c>
      <c r="E169" s="300" t="s">
        <v>2016</v>
      </c>
      <c r="F169" s="388">
        <v>55</v>
      </c>
      <c r="G169" s="109">
        <v>950</v>
      </c>
      <c r="H169" s="109">
        <v>150</v>
      </c>
      <c r="I169" s="109" t="s">
        <v>1247</v>
      </c>
      <c r="J169" s="146" t="s">
        <v>1234</v>
      </c>
      <c r="K169" s="358" t="s">
        <v>1991</v>
      </c>
      <c r="L169" s="147" t="s">
        <v>1236</v>
      </c>
      <c r="M169" s="339">
        <v>150</v>
      </c>
      <c r="N169" s="339" t="s">
        <v>1559</v>
      </c>
      <c r="O169" s="112">
        <v>1</v>
      </c>
      <c r="P169" s="113">
        <v>0</v>
      </c>
      <c r="Q169" s="150" t="s">
        <v>1238</v>
      </c>
      <c r="R169" s="389">
        <v>20</v>
      </c>
      <c r="S169" s="388">
        <v>10</v>
      </c>
      <c r="T169" s="176">
        <v>12.5</v>
      </c>
      <c r="U169" s="109">
        <v>15</v>
      </c>
      <c r="V169" s="109" t="s">
        <v>1560</v>
      </c>
      <c r="W169" s="335" t="s">
        <v>1992</v>
      </c>
      <c r="X169" s="144" t="s">
        <v>1562</v>
      </c>
      <c r="Y169" s="144" t="s">
        <v>272</v>
      </c>
      <c r="Z169" s="144" t="s">
        <v>1227</v>
      </c>
      <c r="AA169" s="152"/>
      <c r="AB169" s="152"/>
      <c r="AC169" s="163" t="s">
        <v>1941</v>
      </c>
      <c r="AD169" s="51" t="s">
        <v>2049</v>
      </c>
      <c r="AE169" s="351"/>
    </row>
    <row r="170" spans="1:31" s="109" customFormat="1" ht="29.1">
      <c r="A170" s="516" t="s">
        <v>2050</v>
      </c>
      <c r="B170" s="610" t="s">
        <v>1937</v>
      </c>
      <c r="C170" s="108">
        <v>46153</v>
      </c>
      <c r="D170" s="108" t="s">
        <v>209</v>
      </c>
      <c r="E170" s="300" t="s">
        <v>1926</v>
      </c>
      <c r="F170" s="176">
        <v>55</v>
      </c>
      <c r="G170" s="144">
        <v>890</v>
      </c>
      <c r="H170" s="109">
        <v>150</v>
      </c>
      <c r="I170" s="350" t="s">
        <v>1938</v>
      </c>
      <c r="J170" s="146" t="s">
        <v>1234</v>
      </c>
      <c r="K170" s="358" t="s">
        <v>1991</v>
      </c>
      <c r="L170" s="147" t="s">
        <v>1236</v>
      </c>
      <c r="M170" s="339">
        <v>150</v>
      </c>
      <c r="N170" s="148" t="s">
        <v>1559</v>
      </c>
      <c r="O170" s="149">
        <v>1</v>
      </c>
      <c r="P170" s="150">
        <v>0</v>
      </c>
      <c r="Q170" s="150" t="s">
        <v>1238</v>
      </c>
      <c r="R170" s="162">
        <v>20</v>
      </c>
      <c r="S170" s="144">
        <v>10</v>
      </c>
      <c r="T170" s="176">
        <v>6</v>
      </c>
      <c r="U170" s="176">
        <v>16</v>
      </c>
      <c r="V170" s="109" t="s">
        <v>1560</v>
      </c>
      <c r="W170" s="335" t="s">
        <v>1931</v>
      </c>
      <c r="X170" s="144" t="s">
        <v>1562</v>
      </c>
      <c r="Y170" s="144" t="s">
        <v>272</v>
      </c>
      <c r="Z170" s="144" t="s">
        <v>1227</v>
      </c>
      <c r="AA170" s="152"/>
      <c r="AB170" s="152"/>
      <c r="AC170" s="144" t="s">
        <v>1857</v>
      </c>
      <c r="AD170" s="44" t="s">
        <v>2051</v>
      </c>
    </row>
    <row r="171" spans="1:31" s="104" customFormat="1" ht="29.1">
      <c r="A171" s="107" t="s">
        <v>2052</v>
      </c>
      <c r="B171" s="107" t="s">
        <v>2050</v>
      </c>
      <c r="C171" s="108">
        <v>46153</v>
      </c>
      <c r="D171" s="108" t="s">
        <v>209</v>
      </c>
      <c r="E171" s="300" t="s">
        <v>1926</v>
      </c>
      <c r="F171" s="176">
        <v>55</v>
      </c>
      <c r="G171" s="144">
        <v>890</v>
      </c>
      <c r="H171" s="109">
        <v>150</v>
      </c>
      <c r="I171" s="350" t="s">
        <v>1247</v>
      </c>
      <c r="J171" s="146" t="s">
        <v>1234</v>
      </c>
      <c r="K171" s="358" t="s">
        <v>1991</v>
      </c>
      <c r="L171" s="147" t="s">
        <v>1236</v>
      </c>
      <c r="M171" s="339">
        <v>150</v>
      </c>
      <c r="N171" s="336" t="s">
        <v>1559</v>
      </c>
      <c r="O171" s="149">
        <v>1</v>
      </c>
      <c r="P171" s="150">
        <v>0</v>
      </c>
      <c r="Q171" s="150" t="s">
        <v>1238</v>
      </c>
      <c r="R171" s="162">
        <v>20</v>
      </c>
      <c r="S171" s="144">
        <v>10</v>
      </c>
      <c r="T171" s="176">
        <v>6</v>
      </c>
      <c r="U171" s="176">
        <v>16</v>
      </c>
      <c r="V171" s="109" t="s">
        <v>1560</v>
      </c>
      <c r="W171" s="335" t="s">
        <v>1931</v>
      </c>
      <c r="X171" s="144" t="s">
        <v>1562</v>
      </c>
      <c r="Y171" s="144" t="s">
        <v>272</v>
      </c>
      <c r="Z171" s="144" t="s">
        <v>1227</v>
      </c>
      <c r="AA171" s="152"/>
      <c r="AB171" s="152"/>
      <c r="AC171" s="163" t="s">
        <v>1857</v>
      </c>
      <c r="AD171" s="611" t="s">
        <v>2053</v>
      </c>
    </row>
    <row r="172" spans="1:31" s="104" customFormat="1" ht="29.1">
      <c r="A172" s="268" t="s">
        <v>2054</v>
      </c>
      <c r="B172" s="107" t="s">
        <v>2050</v>
      </c>
      <c r="C172" s="108">
        <v>46154</v>
      </c>
      <c r="D172" s="108" t="s">
        <v>208</v>
      </c>
      <c r="E172" s="300" t="s">
        <v>1926</v>
      </c>
      <c r="F172" s="176">
        <v>55</v>
      </c>
      <c r="G172" s="172">
        <v>925</v>
      </c>
      <c r="H172" s="109">
        <v>150</v>
      </c>
      <c r="I172" s="352" t="s">
        <v>1938</v>
      </c>
      <c r="J172" s="146" t="s">
        <v>1234</v>
      </c>
      <c r="K172" s="358" t="s">
        <v>1991</v>
      </c>
      <c r="L172" s="147" t="s">
        <v>1236</v>
      </c>
      <c r="M172" s="339">
        <v>150</v>
      </c>
      <c r="N172" s="339" t="s">
        <v>1559</v>
      </c>
      <c r="O172" s="149">
        <v>1</v>
      </c>
      <c r="P172" s="150">
        <v>0</v>
      </c>
      <c r="Q172" s="150" t="s">
        <v>1238</v>
      </c>
      <c r="R172" s="162">
        <v>20</v>
      </c>
      <c r="S172" s="144">
        <v>10</v>
      </c>
      <c r="T172" s="176">
        <v>6</v>
      </c>
      <c r="U172" s="176">
        <v>16</v>
      </c>
      <c r="V172" s="109" t="s">
        <v>1560</v>
      </c>
      <c r="W172" s="335" t="s">
        <v>1931</v>
      </c>
      <c r="X172" s="144" t="s">
        <v>1562</v>
      </c>
      <c r="Y172" s="144" t="s">
        <v>272</v>
      </c>
      <c r="Z172" s="144" t="s">
        <v>1227</v>
      </c>
      <c r="AA172" s="152"/>
      <c r="AB172" s="152"/>
      <c r="AC172" s="163" t="s">
        <v>1857</v>
      </c>
      <c r="AD172" s="611" t="s">
        <v>2055</v>
      </c>
    </row>
    <row r="173" spans="1:31" s="104" customFormat="1" ht="29.1">
      <c r="A173" s="268" t="s">
        <v>2056</v>
      </c>
      <c r="B173" s="107" t="s">
        <v>2050</v>
      </c>
      <c r="C173" s="108">
        <v>46154</v>
      </c>
      <c r="D173" s="108" t="s">
        <v>208</v>
      </c>
      <c r="E173" s="300" t="s">
        <v>1926</v>
      </c>
      <c r="F173" s="176">
        <v>55</v>
      </c>
      <c r="G173" s="144">
        <v>890</v>
      </c>
      <c r="H173" s="109">
        <v>150</v>
      </c>
      <c r="I173" s="352" t="s">
        <v>1938</v>
      </c>
      <c r="J173" s="146" t="s">
        <v>1234</v>
      </c>
      <c r="K173" s="358" t="s">
        <v>1991</v>
      </c>
      <c r="L173" s="147" t="s">
        <v>1236</v>
      </c>
      <c r="M173" s="339">
        <v>150</v>
      </c>
      <c r="N173" s="339" t="s">
        <v>1559</v>
      </c>
      <c r="O173" s="149">
        <v>1</v>
      </c>
      <c r="P173" s="150">
        <v>0</v>
      </c>
      <c r="Q173" s="150" t="s">
        <v>1238</v>
      </c>
      <c r="R173" s="162">
        <v>20</v>
      </c>
      <c r="S173" s="144">
        <v>10</v>
      </c>
      <c r="T173" s="176">
        <v>6</v>
      </c>
      <c r="U173" s="176">
        <v>16</v>
      </c>
      <c r="V173" s="109" t="s">
        <v>1560</v>
      </c>
      <c r="W173" s="274" t="s">
        <v>2057</v>
      </c>
      <c r="X173" s="144" t="s">
        <v>1562</v>
      </c>
      <c r="Y173" s="144" t="s">
        <v>272</v>
      </c>
      <c r="Z173" s="144" t="s">
        <v>1227</v>
      </c>
      <c r="AA173" s="152"/>
      <c r="AB173" s="152"/>
      <c r="AC173" s="163" t="s">
        <v>1857</v>
      </c>
      <c r="AD173" s="611" t="s">
        <v>2058</v>
      </c>
    </row>
    <row r="174" spans="1:31" s="104" customFormat="1" ht="29.1">
      <c r="A174" s="268" t="s">
        <v>2059</v>
      </c>
      <c r="B174" s="107" t="s">
        <v>2050</v>
      </c>
      <c r="C174" s="108">
        <v>46154</v>
      </c>
      <c r="D174" s="108" t="s">
        <v>208</v>
      </c>
      <c r="E174" s="300" t="s">
        <v>1926</v>
      </c>
      <c r="F174" s="176">
        <v>55</v>
      </c>
      <c r="G174" s="144">
        <v>890</v>
      </c>
      <c r="H174" s="109">
        <v>150</v>
      </c>
      <c r="I174" s="352" t="s">
        <v>1938</v>
      </c>
      <c r="J174" s="146" t="s">
        <v>1234</v>
      </c>
      <c r="K174" s="358" t="s">
        <v>1991</v>
      </c>
      <c r="L174" s="147" t="s">
        <v>1236</v>
      </c>
      <c r="M174" s="339">
        <v>150</v>
      </c>
      <c r="N174" s="339" t="s">
        <v>1559</v>
      </c>
      <c r="O174" s="149">
        <v>1</v>
      </c>
      <c r="P174" s="150">
        <v>0</v>
      </c>
      <c r="Q174" s="150" t="s">
        <v>1238</v>
      </c>
      <c r="R174" s="162">
        <v>20</v>
      </c>
      <c r="S174" s="144">
        <v>10</v>
      </c>
      <c r="T174" s="172">
        <v>8</v>
      </c>
      <c r="U174" s="176">
        <v>16</v>
      </c>
      <c r="V174" s="109" t="s">
        <v>1560</v>
      </c>
      <c r="W174" s="335" t="s">
        <v>1931</v>
      </c>
      <c r="X174" s="144" t="s">
        <v>1562</v>
      </c>
      <c r="Y174" s="144" t="s">
        <v>272</v>
      </c>
      <c r="Z174" s="144" t="s">
        <v>1227</v>
      </c>
      <c r="AA174" s="152"/>
      <c r="AB174" s="152"/>
      <c r="AC174" s="163" t="s">
        <v>1857</v>
      </c>
      <c r="AD174" s="611" t="s">
        <v>2060</v>
      </c>
    </row>
    <row r="175" spans="1:31" s="104" customFormat="1" ht="29.1">
      <c r="A175" s="107" t="s">
        <v>2061</v>
      </c>
      <c r="B175" s="107" t="s">
        <v>2050</v>
      </c>
      <c r="C175" s="108">
        <v>46154</v>
      </c>
      <c r="D175" s="108" t="s">
        <v>209</v>
      </c>
      <c r="E175" s="300" t="s">
        <v>1926</v>
      </c>
      <c r="F175" s="176">
        <v>55</v>
      </c>
      <c r="G175" s="144">
        <v>890</v>
      </c>
      <c r="H175" s="109">
        <v>150</v>
      </c>
      <c r="I175" s="352" t="s">
        <v>1938</v>
      </c>
      <c r="J175" s="146" t="s">
        <v>1234</v>
      </c>
      <c r="K175" s="358" t="s">
        <v>1991</v>
      </c>
      <c r="L175" s="394" t="s">
        <v>1785</v>
      </c>
      <c r="M175" s="339">
        <v>150</v>
      </c>
      <c r="N175" s="339" t="s">
        <v>1559</v>
      </c>
      <c r="O175" s="149">
        <v>1</v>
      </c>
      <c r="P175" s="150">
        <v>0</v>
      </c>
      <c r="Q175" s="150" t="s">
        <v>1238</v>
      </c>
      <c r="R175" s="162">
        <v>20</v>
      </c>
      <c r="S175" s="144">
        <v>10</v>
      </c>
      <c r="T175" s="176">
        <v>6</v>
      </c>
      <c r="U175" s="176">
        <v>16</v>
      </c>
      <c r="V175" s="109" t="s">
        <v>1560</v>
      </c>
      <c r="W175" s="335" t="s">
        <v>1931</v>
      </c>
      <c r="X175" s="144" t="s">
        <v>1562</v>
      </c>
      <c r="Y175" s="144" t="s">
        <v>272</v>
      </c>
      <c r="Z175" s="144" t="s">
        <v>1227</v>
      </c>
      <c r="AA175" s="152"/>
      <c r="AB175" s="152"/>
      <c r="AC175" s="163" t="s">
        <v>1857</v>
      </c>
      <c r="AD175" s="611" t="s">
        <v>2062</v>
      </c>
    </row>
    <row r="176" spans="1:31" s="104" customFormat="1" ht="29.1">
      <c r="A176" s="107" t="s">
        <v>2063</v>
      </c>
      <c r="B176" s="107" t="s">
        <v>2050</v>
      </c>
      <c r="C176" s="108">
        <v>46154</v>
      </c>
      <c r="D176" s="108" t="s">
        <v>209</v>
      </c>
      <c r="E176" s="300" t="s">
        <v>1926</v>
      </c>
      <c r="F176" s="176">
        <v>55</v>
      </c>
      <c r="G176" s="144">
        <v>890</v>
      </c>
      <c r="H176" s="109">
        <v>150</v>
      </c>
      <c r="I176" s="352" t="s">
        <v>1938</v>
      </c>
      <c r="J176" s="146" t="s">
        <v>1234</v>
      </c>
      <c r="K176" s="355" t="s">
        <v>2064</v>
      </c>
      <c r="L176" s="275" t="s">
        <v>1785</v>
      </c>
      <c r="M176" s="339">
        <v>150</v>
      </c>
      <c r="N176" s="339" t="s">
        <v>1559</v>
      </c>
      <c r="O176" s="149">
        <v>1</v>
      </c>
      <c r="P176" s="150">
        <v>0</v>
      </c>
      <c r="Q176" s="150" t="s">
        <v>1238</v>
      </c>
      <c r="R176" s="162">
        <v>20</v>
      </c>
      <c r="S176" s="144">
        <v>10</v>
      </c>
      <c r="T176" s="176">
        <v>6</v>
      </c>
      <c r="U176" s="176">
        <v>16</v>
      </c>
      <c r="V176" s="109" t="s">
        <v>1560</v>
      </c>
      <c r="W176" s="335" t="s">
        <v>1931</v>
      </c>
      <c r="X176" s="144" t="s">
        <v>1562</v>
      </c>
      <c r="Y176" s="144" t="s">
        <v>272</v>
      </c>
      <c r="Z176" s="144" t="s">
        <v>1227</v>
      </c>
      <c r="AA176" s="152"/>
      <c r="AB176" s="152"/>
      <c r="AC176" s="163" t="s">
        <v>1857</v>
      </c>
      <c r="AD176" s="611" t="s">
        <v>2065</v>
      </c>
    </row>
    <row r="177" spans="1:32" s="104" customFormat="1" ht="29.1">
      <c r="A177" s="107" t="s">
        <v>2066</v>
      </c>
      <c r="B177" s="107" t="s">
        <v>2050</v>
      </c>
      <c r="C177" s="108">
        <v>46154</v>
      </c>
      <c r="D177" s="108" t="s">
        <v>209</v>
      </c>
      <c r="E177" s="300" t="s">
        <v>1926</v>
      </c>
      <c r="F177" s="176">
        <v>55</v>
      </c>
      <c r="G177" s="144">
        <v>890</v>
      </c>
      <c r="H177" s="109">
        <v>150</v>
      </c>
      <c r="I177" s="352" t="s">
        <v>1938</v>
      </c>
      <c r="J177" s="146" t="s">
        <v>1234</v>
      </c>
      <c r="K177" s="355" t="s">
        <v>2067</v>
      </c>
      <c r="L177" s="275" t="s">
        <v>1785</v>
      </c>
      <c r="M177" s="339">
        <v>150</v>
      </c>
      <c r="N177" s="339" t="s">
        <v>1559</v>
      </c>
      <c r="O177" s="149">
        <v>1</v>
      </c>
      <c r="P177" s="150">
        <v>0</v>
      </c>
      <c r="Q177" s="150" t="s">
        <v>1238</v>
      </c>
      <c r="R177" s="162">
        <v>20</v>
      </c>
      <c r="S177" s="144">
        <v>10</v>
      </c>
      <c r="T177" s="176">
        <v>6</v>
      </c>
      <c r="U177" s="176">
        <v>16</v>
      </c>
      <c r="V177" s="109" t="s">
        <v>1560</v>
      </c>
      <c r="W177" s="335" t="s">
        <v>1931</v>
      </c>
      <c r="X177" s="144" t="s">
        <v>1562</v>
      </c>
      <c r="Y177" s="144" t="s">
        <v>272</v>
      </c>
      <c r="Z177" s="144" t="s">
        <v>1227</v>
      </c>
      <c r="AA177" s="152"/>
      <c r="AB177" s="152"/>
      <c r="AC177" s="163" t="s">
        <v>1857</v>
      </c>
      <c r="AD177" s="611" t="s">
        <v>2068</v>
      </c>
    </row>
    <row r="178" spans="1:32" s="104" customFormat="1" ht="29.1">
      <c r="A178" s="268" t="s">
        <v>2069</v>
      </c>
      <c r="B178" s="107" t="s">
        <v>2050</v>
      </c>
      <c r="C178" s="108">
        <v>46155</v>
      </c>
      <c r="D178" s="108" t="s">
        <v>208</v>
      </c>
      <c r="E178" s="300" t="s">
        <v>1926</v>
      </c>
      <c r="F178" s="176">
        <v>55</v>
      </c>
      <c r="G178" s="144">
        <v>890</v>
      </c>
      <c r="H178" s="109">
        <v>150</v>
      </c>
      <c r="I178" s="352" t="s">
        <v>1938</v>
      </c>
      <c r="J178" s="146" t="s">
        <v>1234</v>
      </c>
      <c r="K178" s="355" t="s">
        <v>2070</v>
      </c>
      <c r="L178" s="275" t="s">
        <v>1785</v>
      </c>
      <c r="M178" s="339">
        <v>150</v>
      </c>
      <c r="N178" s="339" t="s">
        <v>1559</v>
      </c>
      <c r="O178" s="149">
        <v>1</v>
      </c>
      <c r="P178" s="150">
        <v>0</v>
      </c>
      <c r="Q178" s="150" t="s">
        <v>1238</v>
      </c>
      <c r="R178" s="162">
        <v>20</v>
      </c>
      <c r="S178" s="144">
        <v>10</v>
      </c>
      <c r="T178" s="176">
        <v>6</v>
      </c>
      <c r="U178" s="176">
        <v>16</v>
      </c>
      <c r="V178" s="109" t="s">
        <v>1560</v>
      </c>
      <c r="W178" s="335" t="s">
        <v>2071</v>
      </c>
      <c r="X178" s="144" t="s">
        <v>1562</v>
      </c>
      <c r="Y178" s="144" t="s">
        <v>272</v>
      </c>
      <c r="Z178" s="144" t="s">
        <v>1227</v>
      </c>
      <c r="AA178" s="152"/>
      <c r="AB178" s="152"/>
      <c r="AC178" s="611" t="s">
        <v>2072</v>
      </c>
      <c r="AD178" s="51" t="s">
        <v>2073</v>
      </c>
    </row>
    <row r="179" spans="1:32" s="104" customFormat="1" ht="29.1">
      <c r="A179" s="268" t="s">
        <v>2074</v>
      </c>
      <c r="B179" s="107" t="s">
        <v>2050</v>
      </c>
      <c r="C179" s="108">
        <v>46155</v>
      </c>
      <c r="D179" s="108" t="s">
        <v>208</v>
      </c>
      <c r="E179" s="300" t="s">
        <v>1926</v>
      </c>
      <c r="F179" s="176">
        <v>55</v>
      </c>
      <c r="G179" s="144">
        <v>890</v>
      </c>
      <c r="H179" s="109">
        <v>150</v>
      </c>
      <c r="I179" s="352" t="s">
        <v>1938</v>
      </c>
      <c r="J179" s="146" t="s">
        <v>1234</v>
      </c>
      <c r="K179" s="355" t="s">
        <v>2070</v>
      </c>
      <c r="L179" s="275" t="s">
        <v>1785</v>
      </c>
      <c r="M179" s="339">
        <v>150</v>
      </c>
      <c r="N179" s="339" t="s">
        <v>1559</v>
      </c>
      <c r="O179" s="149">
        <v>1</v>
      </c>
      <c r="P179" s="150">
        <v>0</v>
      </c>
      <c r="Q179" s="150" t="s">
        <v>1238</v>
      </c>
      <c r="R179" s="162">
        <v>20</v>
      </c>
      <c r="S179" s="144">
        <v>10</v>
      </c>
      <c r="T179" s="176">
        <v>6</v>
      </c>
      <c r="U179" s="176">
        <v>16</v>
      </c>
      <c r="V179" s="109" t="s">
        <v>1560</v>
      </c>
      <c r="W179" s="394" t="s">
        <v>2075</v>
      </c>
      <c r="X179" s="144" t="s">
        <v>1562</v>
      </c>
      <c r="Y179" s="144" t="s">
        <v>272</v>
      </c>
      <c r="Z179" s="144" t="s">
        <v>1227</v>
      </c>
      <c r="AA179" s="152"/>
      <c r="AB179" s="152"/>
      <c r="AC179" s="163" t="s">
        <v>1857</v>
      </c>
      <c r="AD179" s="51" t="s">
        <v>2076</v>
      </c>
    </row>
    <row r="180" spans="1:32" s="104" customFormat="1" ht="29.1">
      <c r="A180" s="268" t="s">
        <v>2077</v>
      </c>
      <c r="B180" s="107" t="s">
        <v>2050</v>
      </c>
      <c r="C180" s="108">
        <v>46155</v>
      </c>
      <c r="D180" s="108" t="s">
        <v>208</v>
      </c>
      <c r="E180" s="300" t="s">
        <v>2078</v>
      </c>
      <c r="F180" s="176">
        <v>55</v>
      </c>
      <c r="G180" s="144">
        <v>890</v>
      </c>
      <c r="H180" s="109">
        <v>150</v>
      </c>
      <c r="I180" s="352" t="s">
        <v>1938</v>
      </c>
      <c r="J180" s="146" t="s">
        <v>1234</v>
      </c>
      <c r="K180" s="355" t="s">
        <v>2070</v>
      </c>
      <c r="L180" s="275" t="s">
        <v>1785</v>
      </c>
      <c r="M180" s="339">
        <v>150</v>
      </c>
      <c r="N180" s="339" t="s">
        <v>1559</v>
      </c>
      <c r="O180" s="149">
        <v>1</v>
      </c>
      <c r="P180" s="150">
        <v>0</v>
      </c>
      <c r="Q180" s="150" t="s">
        <v>1238</v>
      </c>
      <c r="R180" s="162">
        <v>20</v>
      </c>
      <c r="S180" s="144">
        <v>10</v>
      </c>
      <c r="T180" s="176">
        <v>6</v>
      </c>
      <c r="U180" s="176">
        <v>25</v>
      </c>
      <c r="V180" s="109" t="s">
        <v>1560</v>
      </c>
      <c r="W180" s="274" t="s">
        <v>2075</v>
      </c>
      <c r="X180" s="144" t="s">
        <v>1562</v>
      </c>
      <c r="Y180" s="144" t="s">
        <v>272</v>
      </c>
      <c r="Z180" s="144" t="s">
        <v>1227</v>
      </c>
      <c r="AA180" s="152"/>
      <c r="AB180" s="152"/>
      <c r="AC180" s="163" t="s">
        <v>1857</v>
      </c>
      <c r="AD180" s="51" t="s">
        <v>2079</v>
      </c>
    </row>
    <row r="181" spans="1:32" s="104" customFormat="1" ht="29.1">
      <c r="A181" s="268" t="s">
        <v>2080</v>
      </c>
      <c r="B181" s="107" t="s">
        <v>2063</v>
      </c>
      <c r="C181" s="108">
        <v>46155</v>
      </c>
      <c r="D181" s="108" t="s">
        <v>212</v>
      </c>
      <c r="E181" s="300" t="s">
        <v>2081</v>
      </c>
      <c r="F181" s="176">
        <v>55</v>
      </c>
      <c r="G181" s="144">
        <v>890</v>
      </c>
      <c r="H181" s="109">
        <v>150</v>
      </c>
      <c r="I181" s="352" t="s">
        <v>1938</v>
      </c>
      <c r="J181" s="146" t="s">
        <v>1234</v>
      </c>
      <c r="K181" s="355" t="s">
        <v>2082</v>
      </c>
      <c r="L181" s="275" t="s">
        <v>1785</v>
      </c>
      <c r="M181" s="339">
        <v>150</v>
      </c>
      <c r="N181" s="339" t="s">
        <v>1559</v>
      </c>
      <c r="O181" s="149">
        <v>1</v>
      </c>
      <c r="P181" s="150">
        <v>0</v>
      </c>
      <c r="Q181" s="150" t="s">
        <v>1238</v>
      </c>
      <c r="R181" s="162">
        <v>20</v>
      </c>
      <c r="S181" s="144">
        <v>10</v>
      </c>
      <c r="T181" s="176">
        <v>6</v>
      </c>
      <c r="U181" s="333">
        <v>16</v>
      </c>
      <c r="V181" s="109" t="s">
        <v>1560</v>
      </c>
      <c r="W181" s="335" t="s">
        <v>2071</v>
      </c>
      <c r="X181" s="144" t="s">
        <v>1562</v>
      </c>
      <c r="Y181" s="144" t="s">
        <v>272</v>
      </c>
      <c r="Z181" s="144" t="s">
        <v>1227</v>
      </c>
      <c r="AA181" s="152"/>
      <c r="AB181" s="152"/>
      <c r="AC181" s="163" t="s">
        <v>1857</v>
      </c>
      <c r="AD181" s="51" t="s">
        <v>2083</v>
      </c>
      <c r="AE181" s="104" t="s">
        <v>2084</v>
      </c>
    </row>
    <row r="182" spans="1:32" s="107" customFormat="1" ht="29.1">
      <c r="A182" s="268" t="s">
        <v>2085</v>
      </c>
      <c r="B182" s="107" t="s">
        <v>2063</v>
      </c>
      <c r="C182" s="108">
        <v>46155</v>
      </c>
      <c r="D182" s="108" t="s">
        <v>212</v>
      </c>
      <c r="E182" s="300" t="s">
        <v>2086</v>
      </c>
      <c r="F182" s="176">
        <v>55</v>
      </c>
      <c r="G182" s="144">
        <v>890</v>
      </c>
      <c r="H182" s="109">
        <v>150</v>
      </c>
      <c r="I182" s="352" t="s">
        <v>1938</v>
      </c>
      <c r="J182" s="146" t="s">
        <v>1234</v>
      </c>
      <c r="K182" s="355" t="s">
        <v>2087</v>
      </c>
      <c r="L182" s="275" t="s">
        <v>1785</v>
      </c>
      <c r="M182" s="339">
        <v>150</v>
      </c>
      <c r="N182" s="339" t="s">
        <v>1559</v>
      </c>
      <c r="O182" s="149">
        <v>1</v>
      </c>
      <c r="P182" s="150">
        <v>0</v>
      </c>
      <c r="Q182" s="150" t="s">
        <v>1238</v>
      </c>
      <c r="R182" s="162">
        <v>20</v>
      </c>
      <c r="S182" s="144">
        <v>10</v>
      </c>
      <c r="T182" s="176">
        <v>6</v>
      </c>
      <c r="U182" s="172">
        <v>10</v>
      </c>
      <c r="V182" s="109" t="s">
        <v>1560</v>
      </c>
      <c r="W182" s="335" t="s">
        <v>2071</v>
      </c>
      <c r="X182" s="144" t="s">
        <v>1562</v>
      </c>
      <c r="Y182" s="144" t="s">
        <v>272</v>
      </c>
      <c r="Z182" s="144" t="s">
        <v>1227</v>
      </c>
      <c r="AA182" s="152"/>
      <c r="AB182" s="152"/>
      <c r="AC182" s="163" t="s">
        <v>1857</v>
      </c>
      <c r="AD182" s="51" t="s">
        <v>2088</v>
      </c>
      <c r="AE182" s="104"/>
      <c r="AF182" s="104"/>
    </row>
    <row r="183" spans="1:32" s="107" customFormat="1" ht="29.1">
      <c r="A183" s="397" t="s">
        <v>2089</v>
      </c>
      <c r="B183" s="107" t="s">
        <v>2090</v>
      </c>
      <c r="C183" s="108">
        <v>46156</v>
      </c>
      <c r="D183" s="108" t="s">
        <v>208</v>
      </c>
      <c r="E183" s="300" t="s">
        <v>2091</v>
      </c>
      <c r="F183" s="176">
        <v>55</v>
      </c>
      <c r="G183" s="144">
        <v>890</v>
      </c>
      <c r="H183" s="109">
        <v>150</v>
      </c>
      <c r="I183" s="352" t="s">
        <v>1938</v>
      </c>
      <c r="J183" s="146" t="s">
        <v>1234</v>
      </c>
      <c r="K183" s="355" t="s">
        <v>2087</v>
      </c>
      <c r="L183" s="275" t="s">
        <v>1785</v>
      </c>
      <c r="M183" s="339">
        <v>150</v>
      </c>
      <c r="N183" s="339" t="s">
        <v>1559</v>
      </c>
      <c r="O183" s="149">
        <v>1</v>
      </c>
      <c r="P183" s="150">
        <v>0</v>
      </c>
      <c r="Q183" s="150" t="s">
        <v>1238</v>
      </c>
      <c r="R183" s="162">
        <v>20</v>
      </c>
      <c r="S183" s="144">
        <v>10</v>
      </c>
      <c r="T183" s="176">
        <v>6</v>
      </c>
      <c r="U183" s="333">
        <v>10</v>
      </c>
      <c r="V183" s="109" t="s">
        <v>1560</v>
      </c>
      <c r="W183" s="335" t="s">
        <v>2071</v>
      </c>
      <c r="X183" s="144" t="s">
        <v>1562</v>
      </c>
      <c r="Y183" s="144" t="s">
        <v>272</v>
      </c>
      <c r="Z183" s="144" t="s">
        <v>1227</v>
      </c>
      <c r="AA183" s="152"/>
      <c r="AB183" s="152"/>
      <c r="AC183" s="163" t="s">
        <v>1857</v>
      </c>
      <c r="AD183" s="51" t="s">
        <v>2092</v>
      </c>
      <c r="AE183" s="104"/>
      <c r="AF183" s="104"/>
    </row>
    <row r="184" spans="1:32" s="107" customFormat="1" ht="29.1">
      <c r="A184" s="397" t="s">
        <v>2093</v>
      </c>
      <c r="B184" s="107" t="s">
        <v>2090</v>
      </c>
      <c r="C184" s="108">
        <v>46156</v>
      </c>
      <c r="D184" s="108" t="s">
        <v>208</v>
      </c>
      <c r="E184" s="300" t="s">
        <v>2094</v>
      </c>
      <c r="F184" s="176">
        <v>55</v>
      </c>
      <c r="G184" s="144">
        <v>890</v>
      </c>
      <c r="H184" s="109">
        <v>150</v>
      </c>
      <c r="I184" s="352" t="s">
        <v>1938</v>
      </c>
      <c r="J184" s="146" t="s">
        <v>1234</v>
      </c>
      <c r="K184" s="355" t="s">
        <v>2095</v>
      </c>
      <c r="L184" s="275" t="s">
        <v>1785</v>
      </c>
      <c r="M184" s="339">
        <v>150</v>
      </c>
      <c r="N184" s="339" t="s">
        <v>1559</v>
      </c>
      <c r="O184" s="149">
        <v>1</v>
      </c>
      <c r="P184" s="150">
        <v>0</v>
      </c>
      <c r="Q184" s="150" t="s">
        <v>1238</v>
      </c>
      <c r="R184" s="162">
        <v>20</v>
      </c>
      <c r="S184" s="144">
        <v>10</v>
      </c>
      <c r="T184" s="176">
        <v>6</v>
      </c>
      <c r="U184" s="333">
        <v>10</v>
      </c>
      <c r="V184" s="109" t="s">
        <v>1560</v>
      </c>
      <c r="W184" s="335" t="s">
        <v>2096</v>
      </c>
      <c r="X184" s="144" t="s">
        <v>1562</v>
      </c>
      <c r="Y184" s="144" t="s">
        <v>272</v>
      </c>
      <c r="Z184" s="144" t="s">
        <v>1227</v>
      </c>
      <c r="AA184" s="152"/>
      <c r="AB184" s="152"/>
      <c r="AC184" s="163" t="s">
        <v>1857</v>
      </c>
      <c r="AD184" s="51" t="s">
        <v>2097</v>
      </c>
      <c r="AE184" s="104"/>
      <c r="AF184" s="104"/>
    </row>
    <row r="185" spans="1:32" s="107" customFormat="1" ht="29.1">
      <c r="A185" s="397" t="s">
        <v>2098</v>
      </c>
      <c r="B185" s="107" t="s">
        <v>2090</v>
      </c>
      <c r="C185" s="108">
        <v>46156</v>
      </c>
      <c r="D185" s="108" t="s">
        <v>208</v>
      </c>
      <c r="E185" s="300" t="s">
        <v>2099</v>
      </c>
      <c r="F185" s="176">
        <v>55</v>
      </c>
      <c r="G185" s="144">
        <v>890</v>
      </c>
      <c r="H185" s="109">
        <v>150</v>
      </c>
      <c r="I185" s="352" t="s">
        <v>1938</v>
      </c>
      <c r="J185" s="146" t="s">
        <v>1234</v>
      </c>
      <c r="K185" s="355" t="s">
        <v>2095</v>
      </c>
      <c r="L185" s="275" t="s">
        <v>1785</v>
      </c>
      <c r="M185" s="339">
        <v>150</v>
      </c>
      <c r="N185" s="339" t="s">
        <v>1559</v>
      </c>
      <c r="O185" s="149">
        <v>1</v>
      </c>
      <c r="P185" s="150">
        <v>0</v>
      </c>
      <c r="Q185" s="150" t="s">
        <v>1238</v>
      </c>
      <c r="R185" s="162">
        <v>20</v>
      </c>
      <c r="S185" s="144">
        <v>10</v>
      </c>
      <c r="T185" s="176">
        <v>6</v>
      </c>
      <c r="U185" s="333">
        <v>10</v>
      </c>
      <c r="V185" s="109" t="s">
        <v>1560</v>
      </c>
      <c r="W185" s="335" t="s">
        <v>2100</v>
      </c>
      <c r="X185" s="144" t="s">
        <v>1562</v>
      </c>
      <c r="Y185" s="144" t="s">
        <v>272</v>
      </c>
      <c r="Z185" s="144" t="s">
        <v>1227</v>
      </c>
      <c r="AA185" s="152"/>
      <c r="AB185" s="152"/>
      <c r="AC185" s="163" t="s">
        <v>1857</v>
      </c>
      <c r="AD185" s="51" t="s">
        <v>2097</v>
      </c>
      <c r="AE185" s="104"/>
      <c r="AF185" s="104"/>
    </row>
    <row r="186" spans="1:32" s="107" customFormat="1" ht="29.1">
      <c r="A186" s="107" t="s">
        <v>2101</v>
      </c>
      <c r="B186" s="107" t="s">
        <v>2090</v>
      </c>
      <c r="C186" s="108">
        <v>46156</v>
      </c>
      <c r="D186" s="108" t="s">
        <v>209</v>
      </c>
      <c r="E186" s="300" t="s">
        <v>2102</v>
      </c>
      <c r="F186" s="172">
        <v>90</v>
      </c>
      <c r="G186" s="144">
        <v>890</v>
      </c>
      <c r="H186" s="109">
        <v>150</v>
      </c>
      <c r="I186" s="352" t="s">
        <v>1938</v>
      </c>
      <c r="J186" s="146" t="s">
        <v>1234</v>
      </c>
      <c r="K186" s="358" t="s">
        <v>2095</v>
      </c>
      <c r="L186" s="246" t="s">
        <v>1785</v>
      </c>
      <c r="M186" s="339">
        <v>150</v>
      </c>
      <c r="N186" s="339" t="s">
        <v>1559</v>
      </c>
      <c r="O186" s="149">
        <v>1</v>
      </c>
      <c r="P186" s="150">
        <v>0</v>
      </c>
      <c r="Q186" s="150" t="s">
        <v>1238</v>
      </c>
      <c r="R186" s="162">
        <v>20</v>
      </c>
      <c r="S186" s="144">
        <v>10</v>
      </c>
      <c r="T186" s="176">
        <v>6</v>
      </c>
      <c r="U186" s="333">
        <v>10</v>
      </c>
      <c r="V186" s="109" t="s">
        <v>1560</v>
      </c>
      <c r="W186" s="335" t="s">
        <v>2100</v>
      </c>
      <c r="X186" s="144" t="s">
        <v>1562</v>
      </c>
      <c r="Y186" s="144" t="s">
        <v>272</v>
      </c>
      <c r="Z186" s="144" t="s">
        <v>1227</v>
      </c>
      <c r="AA186" s="152"/>
      <c r="AB186" s="152"/>
      <c r="AC186" s="163" t="s">
        <v>1857</v>
      </c>
      <c r="AD186" s="51" t="s">
        <v>2097</v>
      </c>
      <c r="AE186" s="104"/>
      <c r="AF186" s="104"/>
    </row>
    <row r="187" spans="1:32" s="107" customFormat="1" ht="29.1">
      <c r="A187" s="107" t="s">
        <v>2103</v>
      </c>
      <c r="C187" s="108">
        <v>46156</v>
      </c>
      <c r="D187" s="108" t="s">
        <v>209</v>
      </c>
      <c r="E187" s="300" t="s">
        <v>2104</v>
      </c>
      <c r="F187" s="172">
        <v>55</v>
      </c>
      <c r="G187" s="144">
        <v>890</v>
      </c>
      <c r="H187" s="109">
        <v>150</v>
      </c>
      <c r="I187" s="352" t="s">
        <v>1938</v>
      </c>
      <c r="J187" s="146" t="s">
        <v>1234</v>
      </c>
      <c r="K187" s="358" t="s">
        <v>2095</v>
      </c>
      <c r="L187" s="246" t="s">
        <v>1785</v>
      </c>
      <c r="M187" s="339">
        <v>150</v>
      </c>
      <c r="N187" s="339" t="s">
        <v>1559</v>
      </c>
      <c r="O187" s="249">
        <v>0</v>
      </c>
      <c r="P187" s="150">
        <v>0</v>
      </c>
      <c r="Q187" s="150" t="s">
        <v>1238</v>
      </c>
      <c r="R187" s="162">
        <v>20</v>
      </c>
      <c r="S187" s="144">
        <v>10</v>
      </c>
      <c r="T187" s="176">
        <v>6</v>
      </c>
      <c r="U187" s="333">
        <v>10</v>
      </c>
      <c r="V187" s="109" t="s">
        <v>1560</v>
      </c>
      <c r="W187" s="335" t="s">
        <v>2105</v>
      </c>
      <c r="X187" s="144" t="s">
        <v>272</v>
      </c>
      <c r="Y187" s="144" t="s">
        <v>272</v>
      </c>
      <c r="Z187" s="144" t="s">
        <v>1227</v>
      </c>
      <c r="AA187" s="152"/>
      <c r="AB187" s="152"/>
      <c r="AC187" s="163" t="s">
        <v>1857</v>
      </c>
      <c r="AD187" s="51" t="s">
        <v>2106</v>
      </c>
      <c r="AE187" s="104"/>
      <c r="AF187" s="104"/>
    </row>
    <row r="188" spans="1:32" s="104" customFormat="1" ht="29.1">
      <c r="A188" s="107" t="s">
        <v>2107</v>
      </c>
      <c r="B188" s="107" t="s">
        <v>1897</v>
      </c>
      <c r="C188" s="108">
        <v>46156</v>
      </c>
      <c r="D188" s="108" t="s">
        <v>209</v>
      </c>
      <c r="E188" s="300" t="s">
        <v>2108</v>
      </c>
      <c r="F188" s="176">
        <v>60</v>
      </c>
      <c r="G188" s="144">
        <v>890</v>
      </c>
      <c r="H188" s="144">
        <v>150</v>
      </c>
      <c r="I188" s="176" t="s">
        <v>1715</v>
      </c>
      <c r="J188" s="146" t="s">
        <v>1234</v>
      </c>
      <c r="K188" s="146" t="s">
        <v>2095</v>
      </c>
      <c r="L188" s="147" t="s">
        <v>1236</v>
      </c>
      <c r="M188" s="148">
        <v>150</v>
      </c>
      <c r="N188" s="148" t="s">
        <v>1559</v>
      </c>
      <c r="O188" s="149">
        <v>1</v>
      </c>
      <c r="P188" s="150">
        <v>0</v>
      </c>
      <c r="Q188" s="150" t="s">
        <v>1238</v>
      </c>
      <c r="R188" s="162">
        <v>20</v>
      </c>
      <c r="S188" s="144">
        <v>1</v>
      </c>
      <c r="T188" s="333">
        <v>6</v>
      </c>
      <c r="U188" s="176">
        <v>15</v>
      </c>
      <c r="V188" s="109" t="s">
        <v>1560</v>
      </c>
      <c r="W188" s="274" t="s">
        <v>2109</v>
      </c>
      <c r="X188" s="144" t="s">
        <v>1562</v>
      </c>
      <c r="Y188" s="144" t="s">
        <v>272</v>
      </c>
      <c r="Z188" s="144" t="s">
        <v>1227</v>
      </c>
      <c r="AA188" s="152"/>
      <c r="AB188" s="152"/>
      <c r="AC188" s="163" t="s">
        <v>1857</v>
      </c>
      <c r="AD188" s="51" t="s">
        <v>2110</v>
      </c>
    </row>
    <row r="189" spans="1:32" s="104" customFormat="1" ht="29.1">
      <c r="A189" s="107" t="s">
        <v>2111</v>
      </c>
      <c r="B189" s="107" t="s">
        <v>2107</v>
      </c>
      <c r="C189" s="108">
        <v>46156</v>
      </c>
      <c r="D189" s="108" t="s">
        <v>209</v>
      </c>
      <c r="E189" s="300" t="s">
        <v>2112</v>
      </c>
      <c r="F189" s="176">
        <v>60</v>
      </c>
      <c r="G189" s="144">
        <v>890</v>
      </c>
      <c r="H189" s="144">
        <v>150</v>
      </c>
      <c r="I189" s="176" t="s">
        <v>1715</v>
      </c>
      <c r="J189" s="146" t="s">
        <v>1234</v>
      </c>
      <c r="K189" s="146" t="s">
        <v>2095</v>
      </c>
      <c r="L189" s="147" t="s">
        <v>1236</v>
      </c>
      <c r="M189" s="148">
        <v>150</v>
      </c>
      <c r="N189" s="148" t="s">
        <v>1559</v>
      </c>
      <c r="O189" s="149">
        <v>1</v>
      </c>
      <c r="P189" s="150">
        <v>0</v>
      </c>
      <c r="Q189" s="150" t="s">
        <v>1238</v>
      </c>
      <c r="R189" s="162">
        <v>20</v>
      </c>
      <c r="S189" s="144">
        <v>1</v>
      </c>
      <c r="T189" s="333">
        <v>6</v>
      </c>
      <c r="U189" s="176">
        <v>15</v>
      </c>
      <c r="V189" s="109" t="s">
        <v>1560</v>
      </c>
      <c r="W189" s="335" t="s">
        <v>2109</v>
      </c>
      <c r="X189" s="144" t="s">
        <v>1562</v>
      </c>
      <c r="Y189" s="144" t="s">
        <v>272</v>
      </c>
      <c r="Z189" s="144" t="s">
        <v>1227</v>
      </c>
      <c r="AA189" s="152"/>
      <c r="AB189" s="152"/>
      <c r="AC189" s="163" t="s">
        <v>2113</v>
      </c>
      <c r="AD189" s="51" t="s">
        <v>2114</v>
      </c>
    </row>
    <row r="190" spans="1:32" s="104" customFormat="1" ht="29.1">
      <c r="A190" s="397" t="s">
        <v>2115</v>
      </c>
      <c r="B190" s="107" t="s">
        <v>2107</v>
      </c>
      <c r="C190" s="108">
        <v>46157</v>
      </c>
      <c r="D190" s="108"/>
      <c r="E190" s="300" t="s">
        <v>2116</v>
      </c>
      <c r="F190" s="176">
        <v>60</v>
      </c>
      <c r="G190" s="144">
        <v>890</v>
      </c>
      <c r="H190" s="144">
        <v>150</v>
      </c>
      <c r="I190" s="176" t="s">
        <v>1715</v>
      </c>
      <c r="J190" s="146" t="s">
        <v>1234</v>
      </c>
      <c r="K190" s="146" t="s">
        <v>2095</v>
      </c>
      <c r="L190" s="147" t="s">
        <v>1236</v>
      </c>
      <c r="M190" s="148">
        <v>150</v>
      </c>
      <c r="N190" s="148" t="s">
        <v>1559</v>
      </c>
      <c r="O190" s="149">
        <v>1</v>
      </c>
      <c r="P190" s="150">
        <v>0</v>
      </c>
      <c r="Q190" s="150" t="s">
        <v>1238</v>
      </c>
      <c r="R190" s="162">
        <v>20</v>
      </c>
      <c r="S190" s="144">
        <v>1</v>
      </c>
      <c r="T190" s="172">
        <v>5</v>
      </c>
      <c r="U190" s="176">
        <v>15</v>
      </c>
      <c r="V190" s="109" t="s">
        <v>1560</v>
      </c>
      <c r="W190" s="335" t="s">
        <v>2109</v>
      </c>
      <c r="X190" s="144" t="s">
        <v>1562</v>
      </c>
      <c r="Y190" s="144" t="s">
        <v>272</v>
      </c>
      <c r="Z190" s="144" t="s">
        <v>1227</v>
      </c>
      <c r="AA190" s="152"/>
      <c r="AB190" s="152"/>
      <c r="AC190" s="163" t="s">
        <v>2117</v>
      </c>
      <c r="AD190" s="51" t="s">
        <v>2118</v>
      </c>
    </row>
    <row r="191" spans="1:32" s="104" customFormat="1" ht="29.1">
      <c r="A191" s="399" t="s">
        <v>2119</v>
      </c>
      <c r="B191" s="107" t="s">
        <v>2115</v>
      </c>
      <c r="C191" s="108">
        <v>46157</v>
      </c>
      <c r="D191" s="108"/>
      <c r="E191" s="300" t="s">
        <v>2120</v>
      </c>
      <c r="F191" s="176">
        <v>60</v>
      </c>
      <c r="G191" s="144">
        <v>890</v>
      </c>
      <c r="H191" s="144">
        <v>150</v>
      </c>
      <c r="I191" s="172" t="s">
        <v>1247</v>
      </c>
      <c r="J191" s="146" t="s">
        <v>1234</v>
      </c>
      <c r="K191" s="146" t="s">
        <v>2095</v>
      </c>
      <c r="L191" s="147" t="s">
        <v>1236</v>
      </c>
      <c r="M191" s="148">
        <v>150</v>
      </c>
      <c r="N191" s="148" t="s">
        <v>1559</v>
      </c>
      <c r="O191" s="149">
        <v>1</v>
      </c>
      <c r="P191" s="150">
        <v>0</v>
      </c>
      <c r="Q191" s="150" t="s">
        <v>1238</v>
      </c>
      <c r="R191" s="162">
        <v>20</v>
      </c>
      <c r="S191" s="144">
        <v>1</v>
      </c>
      <c r="T191" s="176">
        <v>5</v>
      </c>
      <c r="U191" s="176">
        <v>15</v>
      </c>
      <c r="V191" s="109" t="s">
        <v>1560</v>
      </c>
      <c r="W191" s="335" t="s">
        <v>2109</v>
      </c>
      <c r="X191" s="144" t="s">
        <v>1562</v>
      </c>
      <c r="Y191" s="144" t="s">
        <v>272</v>
      </c>
      <c r="Z191" s="144" t="s">
        <v>1227</v>
      </c>
      <c r="AA191" s="152"/>
      <c r="AB191" s="152"/>
      <c r="AC191" s="163" t="s">
        <v>2117</v>
      </c>
      <c r="AD191" s="51" t="s">
        <v>2121</v>
      </c>
    </row>
    <row r="192" spans="1:32" s="104" customFormat="1" ht="29.1">
      <c r="A192" s="399" t="s">
        <v>2122</v>
      </c>
      <c r="B192" s="107" t="s">
        <v>2123</v>
      </c>
      <c r="C192" s="108">
        <v>46157</v>
      </c>
      <c r="D192" s="108"/>
      <c r="E192" s="300" t="s">
        <v>2124</v>
      </c>
      <c r="F192" s="176">
        <v>60</v>
      </c>
      <c r="G192" s="144">
        <v>890</v>
      </c>
      <c r="H192" s="144">
        <v>150</v>
      </c>
      <c r="I192" s="172" t="s">
        <v>1247</v>
      </c>
      <c r="J192" s="146" t="s">
        <v>1234</v>
      </c>
      <c r="K192" s="146" t="s">
        <v>2095</v>
      </c>
      <c r="L192" s="147" t="s">
        <v>1236</v>
      </c>
      <c r="M192" s="148">
        <v>150</v>
      </c>
      <c r="N192" s="148" t="s">
        <v>1559</v>
      </c>
      <c r="O192" s="149">
        <v>1</v>
      </c>
      <c r="P192" s="150">
        <v>0</v>
      </c>
      <c r="Q192" s="150" t="s">
        <v>1238</v>
      </c>
      <c r="R192" s="162">
        <v>20</v>
      </c>
      <c r="S192" s="144">
        <v>1</v>
      </c>
      <c r="T192" s="176">
        <v>5</v>
      </c>
      <c r="U192" s="176">
        <v>15</v>
      </c>
      <c r="V192" s="109" t="s">
        <v>1560</v>
      </c>
      <c r="W192" s="335" t="s">
        <v>2109</v>
      </c>
      <c r="X192" s="144" t="s">
        <v>1562</v>
      </c>
      <c r="Y192" s="144" t="s">
        <v>272</v>
      </c>
      <c r="Z192" s="144" t="s">
        <v>1227</v>
      </c>
      <c r="AA192" s="152"/>
      <c r="AB192" s="152"/>
      <c r="AC192" s="163" t="s">
        <v>2113</v>
      </c>
      <c r="AD192" s="104" t="s">
        <v>2125</v>
      </c>
    </row>
    <row r="193" spans="1:31" s="104" customFormat="1" ht="29.1">
      <c r="A193" s="107" t="s">
        <v>2126</v>
      </c>
      <c r="B193" s="107" t="s">
        <v>2123</v>
      </c>
      <c r="C193" s="108">
        <v>46157</v>
      </c>
      <c r="D193" s="108"/>
      <c r="E193" s="300" t="s">
        <v>2127</v>
      </c>
      <c r="F193" s="176">
        <v>60</v>
      </c>
      <c r="G193" s="172">
        <v>900</v>
      </c>
      <c r="H193" s="144">
        <v>150</v>
      </c>
      <c r="I193" s="176" t="s">
        <v>1247</v>
      </c>
      <c r="J193" s="146" t="s">
        <v>1234</v>
      </c>
      <c r="K193" s="146" t="s">
        <v>2095</v>
      </c>
      <c r="L193" s="147" t="s">
        <v>1236</v>
      </c>
      <c r="M193" s="148">
        <v>150</v>
      </c>
      <c r="N193" s="148" t="s">
        <v>1559</v>
      </c>
      <c r="O193" s="149">
        <v>1</v>
      </c>
      <c r="P193" s="150">
        <v>0</v>
      </c>
      <c r="Q193" s="150" t="s">
        <v>1238</v>
      </c>
      <c r="R193" s="162">
        <v>20</v>
      </c>
      <c r="S193" s="144">
        <v>1</v>
      </c>
      <c r="T193" s="176">
        <v>5</v>
      </c>
      <c r="U193" s="176">
        <v>15</v>
      </c>
      <c r="V193" s="109" t="s">
        <v>1560</v>
      </c>
      <c r="W193" s="335" t="s">
        <v>2128</v>
      </c>
      <c r="X193" s="144" t="s">
        <v>1562</v>
      </c>
      <c r="Y193" s="144" t="s">
        <v>272</v>
      </c>
      <c r="Z193" s="144" t="s">
        <v>1227</v>
      </c>
      <c r="AA193" s="152"/>
      <c r="AB193" s="152"/>
      <c r="AC193" s="163" t="s">
        <v>2117</v>
      </c>
      <c r="AD193" s="51" t="s">
        <v>2129</v>
      </c>
    </row>
    <row r="194" spans="1:31" s="104" customFormat="1" ht="29.1">
      <c r="A194" s="107" t="s">
        <v>2130</v>
      </c>
      <c r="B194" s="107" t="s">
        <v>2126</v>
      </c>
      <c r="C194" s="108">
        <v>46157</v>
      </c>
      <c r="D194" s="108"/>
      <c r="E194" s="300" t="s">
        <v>2131</v>
      </c>
      <c r="F194" s="176">
        <v>60</v>
      </c>
      <c r="G194" s="144">
        <v>900</v>
      </c>
      <c r="H194" s="144">
        <v>150</v>
      </c>
      <c r="I194" s="176" t="s">
        <v>1247</v>
      </c>
      <c r="J194" s="146" t="s">
        <v>1234</v>
      </c>
      <c r="K194" s="146" t="s">
        <v>2095</v>
      </c>
      <c r="L194" s="147" t="s">
        <v>1236</v>
      </c>
      <c r="M194" s="148">
        <v>150</v>
      </c>
      <c r="N194" s="148" t="s">
        <v>1559</v>
      </c>
      <c r="O194" s="149">
        <v>1</v>
      </c>
      <c r="P194" s="150">
        <v>0</v>
      </c>
      <c r="Q194" s="150" t="s">
        <v>1238</v>
      </c>
      <c r="R194" s="162">
        <v>20</v>
      </c>
      <c r="S194" s="144">
        <v>1</v>
      </c>
      <c r="T194" s="176">
        <v>5</v>
      </c>
      <c r="U194" s="176">
        <v>15</v>
      </c>
      <c r="V194" s="109" t="s">
        <v>1560</v>
      </c>
      <c r="W194" s="274" t="s">
        <v>2132</v>
      </c>
      <c r="X194" s="144" t="s">
        <v>1562</v>
      </c>
      <c r="Y194" s="144" t="s">
        <v>272</v>
      </c>
      <c r="Z194" s="144" t="s">
        <v>1227</v>
      </c>
      <c r="AA194" s="152"/>
      <c r="AB194" s="152"/>
      <c r="AC194" s="163" t="s">
        <v>2117</v>
      </c>
      <c r="AD194" s="51" t="s">
        <v>2133</v>
      </c>
    </row>
    <row r="195" spans="1:31" s="104" customFormat="1" ht="29.1">
      <c r="A195" s="107" t="s">
        <v>2134</v>
      </c>
      <c r="B195" s="107" t="s">
        <v>2126</v>
      </c>
      <c r="C195" s="108">
        <v>46157</v>
      </c>
      <c r="D195" s="108"/>
      <c r="E195" s="300" t="s">
        <v>2135</v>
      </c>
      <c r="F195" s="176">
        <v>60</v>
      </c>
      <c r="G195" s="144">
        <v>900</v>
      </c>
      <c r="H195" s="144">
        <v>150</v>
      </c>
      <c r="I195" s="176" t="s">
        <v>1247</v>
      </c>
      <c r="J195" s="146" t="s">
        <v>1234</v>
      </c>
      <c r="K195" s="146" t="s">
        <v>2095</v>
      </c>
      <c r="L195" s="147" t="s">
        <v>1236</v>
      </c>
      <c r="M195" s="148">
        <v>150</v>
      </c>
      <c r="N195" s="148" t="s">
        <v>1559</v>
      </c>
      <c r="O195" s="149">
        <v>1</v>
      </c>
      <c r="P195" s="150">
        <v>0</v>
      </c>
      <c r="Q195" s="150" t="s">
        <v>1238</v>
      </c>
      <c r="R195" s="162">
        <v>20</v>
      </c>
      <c r="S195" s="144">
        <v>1</v>
      </c>
      <c r="T195" s="172">
        <v>4</v>
      </c>
      <c r="U195" s="176">
        <v>15</v>
      </c>
      <c r="V195" s="109" t="s">
        <v>1560</v>
      </c>
      <c r="W195" s="335" t="s">
        <v>2128</v>
      </c>
      <c r="X195" s="144" t="s">
        <v>1562</v>
      </c>
      <c r="Y195" s="144" t="s">
        <v>272</v>
      </c>
      <c r="Z195" s="144" t="s">
        <v>1227</v>
      </c>
      <c r="AA195" s="152"/>
      <c r="AB195" s="152"/>
      <c r="AC195" s="163" t="s">
        <v>2117</v>
      </c>
      <c r="AD195" s="51" t="s">
        <v>2136</v>
      </c>
    </row>
    <row r="196" spans="1:31" s="104" customFormat="1" ht="29.1">
      <c r="A196" s="397" t="s">
        <v>2137</v>
      </c>
      <c r="B196" s="107" t="s">
        <v>2126</v>
      </c>
      <c r="C196" s="108">
        <v>46158</v>
      </c>
      <c r="D196" s="108" t="s">
        <v>208</v>
      </c>
      <c r="E196" s="300" t="s">
        <v>2127</v>
      </c>
      <c r="F196" s="176">
        <v>60</v>
      </c>
      <c r="G196" s="172">
        <v>910</v>
      </c>
      <c r="H196" s="144">
        <v>150</v>
      </c>
      <c r="I196" s="176" t="s">
        <v>1247</v>
      </c>
      <c r="J196" s="146" t="s">
        <v>1234</v>
      </c>
      <c r="K196" s="146" t="s">
        <v>2095</v>
      </c>
      <c r="L196" s="147" t="s">
        <v>1236</v>
      </c>
      <c r="M196" s="148">
        <v>150</v>
      </c>
      <c r="N196" s="148" t="s">
        <v>1559</v>
      </c>
      <c r="O196" s="149">
        <v>1</v>
      </c>
      <c r="P196" s="150">
        <v>0</v>
      </c>
      <c r="Q196" s="150" t="s">
        <v>1238</v>
      </c>
      <c r="R196" s="162">
        <v>20</v>
      </c>
      <c r="S196" s="144">
        <v>1</v>
      </c>
      <c r="T196" s="176">
        <v>5</v>
      </c>
      <c r="U196" s="176">
        <v>15</v>
      </c>
      <c r="V196" s="109" t="s">
        <v>1560</v>
      </c>
      <c r="W196" s="335" t="s">
        <v>1240</v>
      </c>
      <c r="X196" s="144" t="s">
        <v>1562</v>
      </c>
      <c r="Y196" s="144" t="s">
        <v>272</v>
      </c>
      <c r="Z196" s="144" t="s">
        <v>1227</v>
      </c>
      <c r="AA196" s="152"/>
      <c r="AB196" s="152"/>
      <c r="AC196" s="163" t="s">
        <v>2117</v>
      </c>
      <c r="AD196" s="51"/>
    </row>
    <row r="197" spans="1:31" s="104" customFormat="1" ht="29.1">
      <c r="A197" s="399" t="s">
        <v>2138</v>
      </c>
      <c r="B197" s="107" t="s">
        <v>2126</v>
      </c>
      <c r="C197" s="108">
        <v>46158</v>
      </c>
      <c r="D197" s="108" t="s">
        <v>208</v>
      </c>
      <c r="E197" s="300" t="s">
        <v>2139</v>
      </c>
      <c r="F197" s="176">
        <v>60</v>
      </c>
      <c r="G197" s="176">
        <v>910</v>
      </c>
      <c r="H197" s="144">
        <v>150</v>
      </c>
      <c r="I197" s="176" t="s">
        <v>1247</v>
      </c>
      <c r="J197" s="146" t="s">
        <v>1234</v>
      </c>
      <c r="K197" s="146" t="s">
        <v>2095</v>
      </c>
      <c r="L197" s="147" t="s">
        <v>1236</v>
      </c>
      <c r="M197" s="148">
        <v>150</v>
      </c>
      <c r="N197" s="148" t="s">
        <v>1559</v>
      </c>
      <c r="O197" s="149">
        <v>1</v>
      </c>
      <c r="P197" s="150">
        <v>0</v>
      </c>
      <c r="Q197" s="150" t="s">
        <v>1238</v>
      </c>
      <c r="R197" s="151">
        <v>30</v>
      </c>
      <c r="S197" s="144">
        <v>1</v>
      </c>
      <c r="T197" s="176">
        <v>5</v>
      </c>
      <c r="U197" s="176">
        <v>15</v>
      </c>
      <c r="V197" s="109" t="s">
        <v>1560</v>
      </c>
      <c r="W197" s="335" t="s">
        <v>1240</v>
      </c>
      <c r="X197" s="144" t="s">
        <v>1562</v>
      </c>
      <c r="Y197" s="144" t="s">
        <v>272</v>
      </c>
      <c r="Z197" s="144" t="s">
        <v>1227</v>
      </c>
      <c r="AA197" s="152"/>
      <c r="AB197" s="152"/>
      <c r="AC197" s="163" t="s">
        <v>2117</v>
      </c>
      <c r="AD197" s="51" t="s">
        <v>2140</v>
      </c>
    </row>
    <row r="198" spans="1:31" s="104" customFormat="1" ht="29.1">
      <c r="A198" s="107" t="s">
        <v>2141</v>
      </c>
      <c r="B198" s="107" t="s">
        <v>2126</v>
      </c>
      <c r="C198" s="108">
        <v>46158</v>
      </c>
      <c r="D198" s="108" t="s">
        <v>209</v>
      </c>
      <c r="E198" s="300" t="s">
        <v>2142</v>
      </c>
      <c r="F198" s="176">
        <v>60</v>
      </c>
      <c r="G198" s="176">
        <v>910</v>
      </c>
      <c r="H198" s="144">
        <v>150</v>
      </c>
      <c r="I198" s="176" t="s">
        <v>1247</v>
      </c>
      <c r="J198" s="146" t="s">
        <v>1234</v>
      </c>
      <c r="K198" s="146" t="s">
        <v>2095</v>
      </c>
      <c r="L198" s="147" t="s">
        <v>1236</v>
      </c>
      <c r="M198" s="148">
        <v>150</v>
      </c>
      <c r="N198" s="148" t="s">
        <v>1559</v>
      </c>
      <c r="O198" s="149">
        <v>1</v>
      </c>
      <c r="P198" s="150">
        <v>0</v>
      </c>
      <c r="Q198" s="150" t="s">
        <v>1238</v>
      </c>
      <c r="R198" s="162">
        <v>30</v>
      </c>
      <c r="S198" s="144">
        <v>1</v>
      </c>
      <c r="T198" s="176">
        <v>5</v>
      </c>
      <c r="U198" s="172">
        <v>16</v>
      </c>
      <c r="V198" s="109" t="s">
        <v>1560</v>
      </c>
      <c r="W198" s="335" t="s">
        <v>1240</v>
      </c>
      <c r="X198" s="144" t="s">
        <v>1562</v>
      </c>
      <c r="Y198" s="144" t="s">
        <v>272</v>
      </c>
      <c r="Z198" s="144" t="s">
        <v>1227</v>
      </c>
      <c r="AA198" s="152"/>
      <c r="AB198" s="152"/>
      <c r="AC198" s="163" t="s">
        <v>2117</v>
      </c>
      <c r="AD198" s="51" t="s">
        <v>2143</v>
      </c>
    </row>
    <row r="199" spans="1:31" s="104" customFormat="1" ht="29.1">
      <c r="A199" s="397" t="s">
        <v>2144</v>
      </c>
      <c r="B199" s="107" t="s">
        <v>2145</v>
      </c>
      <c r="C199" s="108">
        <v>46159</v>
      </c>
      <c r="D199" s="108" t="s">
        <v>208</v>
      </c>
      <c r="E199" s="300" t="s">
        <v>2146</v>
      </c>
      <c r="F199" s="176">
        <v>60</v>
      </c>
      <c r="G199" s="176">
        <v>910</v>
      </c>
      <c r="H199" s="144">
        <v>150</v>
      </c>
      <c r="I199" s="176" t="s">
        <v>1247</v>
      </c>
      <c r="J199" s="146" t="s">
        <v>1234</v>
      </c>
      <c r="K199" s="146" t="s">
        <v>2095</v>
      </c>
      <c r="L199" s="147" t="s">
        <v>1236</v>
      </c>
      <c r="M199" s="148">
        <v>150</v>
      </c>
      <c r="N199" s="148" t="s">
        <v>1559</v>
      </c>
      <c r="O199" s="149">
        <v>1</v>
      </c>
      <c r="P199" s="150">
        <v>0</v>
      </c>
      <c r="Q199" s="150" t="s">
        <v>1238</v>
      </c>
      <c r="R199" s="162">
        <v>30</v>
      </c>
      <c r="S199" s="144">
        <v>1</v>
      </c>
      <c r="T199" s="176">
        <v>5</v>
      </c>
      <c r="U199" s="172">
        <v>16</v>
      </c>
      <c r="V199" s="109" t="s">
        <v>1560</v>
      </c>
      <c r="W199" s="335" t="s">
        <v>1240</v>
      </c>
      <c r="X199" s="144" t="s">
        <v>1562</v>
      </c>
      <c r="Y199" s="144" t="s">
        <v>272</v>
      </c>
      <c r="Z199" s="144" t="s">
        <v>1227</v>
      </c>
      <c r="AA199" s="152"/>
      <c r="AB199" s="152"/>
      <c r="AC199" s="163" t="s">
        <v>2117</v>
      </c>
      <c r="AD199" s="51" t="s">
        <v>2147</v>
      </c>
    </row>
    <row r="200" spans="1:31" s="104" customFormat="1" ht="29.1">
      <c r="A200" s="269" t="s">
        <v>2148</v>
      </c>
      <c r="B200" s="107" t="s">
        <v>2145</v>
      </c>
      <c r="C200" s="108">
        <v>46159</v>
      </c>
      <c r="D200" s="108" t="s">
        <v>208</v>
      </c>
      <c r="E200" s="300" t="s">
        <v>2149</v>
      </c>
      <c r="F200" s="176">
        <v>60</v>
      </c>
      <c r="G200" s="176">
        <v>910</v>
      </c>
      <c r="H200" s="144">
        <v>150</v>
      </c>
      <c r="I200" s="176" t="s">
        <v>1247</v>
      </c>
      <c r="J200" s="146" t="s">
        <v>1234</v>
      </c>
      <c r="K200" s="146" t="s">
        <v>2095</v>
      </c>
      <c r="L200" s="147" t="s">
        <v>1236</v>
      </c>
      <c r="M200" s="148">
        <v>150</v>
      </c>
      <c r="N200" s="148" t="s">
        <v>1559</v>
      </c>
      <c r="O200" s="149">
        <v>1</v>
      </c>
      <c r="P200" s="150">
        <v>0</v>
      </c>
      <c r="Q200" s="150" t="s">
        <v>1238</v>
      </c>
      <c r="R200" s="162">
        <v>30</v>
      </c>
      <c r="S200" s="144">
        <v>1</v>
      </c>
      <c r="T200" s="176">
        <v>5</v>
      </c>
      <c r="U200" s="172">
        <v>17</v>
      </c>
      <c r="V200" s="109" t="s">
        <v>1560</v>
      </c>
      <c r="W200" s="335" t="s">
        <v>1240</v>
      </c>
      <c r="X200" s="144" t="s">
        <v>1562</v>
      </c>
      <c r="Y200" s="144" t="s">
        <v>272</v>
      </c>
      <c r="Z200" s="144" t="s">
        <v>1227</v>
      </c>
      <c r="AA200" s="152"/>
      <c r="AB200" s="152"/>
      <c r="AC200" s="163" t="s">
        <v>2117</v>
      </c>
      <c r="AD200" s="51" t="s">
        <v>2150</v>
      </c>
    </row>
    <row r="201" spans="1:31" s="104" customFormat="1" ht="29.1">
      <c r="A201" s="107" t="s">
        <v>2151</v>
      </c>
      <c r="B201" s="107" t="s">
        <v>2145</v>
      </c>
      <c r="C201" s="108">
        <v>46159</v>
      </c>
      <c r="D201" s="108" t="s">
        <v>209</v>
      </c>
      <c r="E201" s="300" t="s">
        <v>2152</v>
      </c>
      <c r="F201" s="176">
        <v>60</v>
      </c>
      <c r="G201" s="176">
        <v>910</v>
      </c>
      <c r="H201" s="144">
        <v>150</v>
      </c>
      <c r="I201" s="176" t="s">
        <v>1247</v>
      </c>
      <c r="J201" s="146" t="s">
        <v>1234</v>
      </c>
      <c r="K201" s="146" t="s">
        <v>2095</v>
      </c>
      <c r="L201" s="147" t="s">
        <v>1236</v>
      </c>
      <c r="M201" s="148">
        <v>150</v>
      </c>
      <c r="N201" s="148" t="s">
        <v>1559</v>
      </c>
      <c r="O201" s="149">
        <v>1</v>
      </c>
      <c r="P201" s="150">
        <v>0</v>
      </c>
      <c r="Q201" s="150" t="s">
        <v>1238</v>
      </c>
      <c r="R201" s="162">
        <v>30</v>
      </c>
      <c r="S201" s="144">
        <v>1</v>
      </c>
      <c r="T201" s="176">
        <v>5</v>
      </c>
      <c r="U201" s="172">
        <v>17</v>
      </c>
      <c r="V201" s="109" t="s">
        <v>1560</v>
      </c>
      <c r="W201" s="335" t="s">
        <v>1240</v>
      </c>
      <c r="X201" s="144" t="s">
        <v>1562</v>
      </c>
      <c r="Y201" s="144" t="s">
        <v>272</v>
      </c>
      <c r="Z201" s="144" t="s">
        <v>1227</v>
      </c>
      <c r="AA201" s="152"/>
      <c r="AB201" s="152"/>
      <c r="AC201" s="163" t="s">
        <v>2117</v>
      </c>
      <c r="AD201" s="51" t="s">
        <v>2150</v>
      </c>
    </row>
    <row r="202" spans="1:31" s="104" customFormat="1" ht="29.1">
      <c r="A202" s="107" t="s">
        <v>2153</v>
      </c>
      <c r="B202" s="107" t="s">
        <v>2145</v>
      </c>
      <c r="C202" s="108">
        <v>46159</v>
      </c>
      <c r="D202" s="108" t="s">
        <v>209</v>
      </c>
      <c r="E202" s="300" t="s">
        <v>2154</v>
      </c>
      <c r="F202" s="176">
        <v>60</v>
      </c>
      <c r="G202" s="176">
        <v>910</v>
      </c>
      <c r="H202" s="144">
        <v>150</v>
      </c>
      <c r="I202" s="176" t="s">
        <v>1247</v>
      </c>
      <c r="J202" s="146" t="s">
        <v>1234</v>
      </c>
      <c r="K202" s="146" t="s">
        <v>2095</v>
      </c>
      <c r="L202" s="147" t="s">
        <v>1236</v>
      </c>
      <c r="M202" s="148">
        <v>150</v>
      </c>
      <c r="N202" s="148" t="s">
        <v>1559</v>
      </c>
      <c r="O202" s="149">
        <v>1</v>
      </c>
      <c r="P202" s="150">
        <v>0</v>
      </c>
      <c r="Q202" s="150" t="s">
        <v>1238</v>
      </c>
      <c r="R202" s="151">
        <v>33</v>
      </c>
      <c r="S202" s="144">
        <v>1</v>
      </c>
      <c r="T202" s="176">
        <v>5</v>
      </c>
      <c r="U202" s="172">
        <v>16</v>
      </c>
      <c r="V202" s="109" t="s">
        <v>1560</v>
      </c>
      <c r="W202" s="335" t="s">
        <v>1240</v>
      </c>
      <c r="X202" s="144" t="s">
        <v>1562</v>
      </c>
      <c r="Y202" s="144" t="s">
        <v>272</v>
      </c>
      <c r="Z202" s="144" t="s">
        <v>1227</v>
      </c>
      <c r="AA202" s="152"/>
      <c r="AB202" s="152"/>
      <c r="AC202" s="163" t="s">
        <v>2117</v>
      </c>
      <c r="AD202" s="51" t="s">
        <v>2150</v>
      </c>
    </row>
    <row r="203" spans="1:31" s="104" customFormat="1" ht="29.1">
      <c r="A203" s="402" t="s">
        <v>2155</v>
      </c>
      <c r="B203" s="107" t="s">
        <v>2145</v>
      </c>
      <c r="C203" s="108">
        <v>46160</v>
      </c>
      <c r="D203" s="108" t="s">
        <v>208</v>
      </c>
      <c r="E203" s="300" t="s">
        <v>2152</v>
      </c>
      <c r="F203" s="176">
        <v>60</v>
      </c>
      <c r="G203" s="176">
        <v>910</v>
      </c>
      <c r="H203" s="144">
        <v>150</v>
      </c>
      <c r="I203" s="176" t="s">
        <v>1247</v>
      </c>
      <c r="J203" s="146" t="s">
        <v>1234</v>
      </c>
      <c r="K203" s="146" t="s">
        <v>2095</v>
      </c>
      <c r="L203" s="147" t="s">
        <v>1236</v>
      </c>
      <c r="M203" s="148">
        <v>150</v>
      </c>
      <c r="N203" s="148" t="s">
        <v>1559</v>
      </c>
      <c r="O203" s="149">
        <v>1</v>
      </c>
      <c r="P203" s="150">
        <v>0</v>
      </c>
      <c r="Q203" s="150" t="s">
        <v>1238</v>
      </c>
      <c r="R203" s="162">
        <v>30</v>
      </c>
      <c r="S203" s="144">
        <v>1</v>
      </c>
      <c r="T203" s="176">
        <v>5</v>
      </c>
      <c r="U203" s="172">
        <v>20</v>
      </c>
      <c r="V203" s="109" t="s">
        <v>1560</v>
      </c>
      <c r="W203" s="335" t="s">
        <v>1240</v>
      </c>
      <c r="X203" s="144" t="s">
        <v>1562</v>
      </c>
      <c r="Y203" s="144" t="s">
        <v>272</v>
      </c>
      <c r="Z203" s="144" t="s">
        <v>1227</v>
      </c>
      <c r="AA203" s="152"/>
      <c r="AB203" s="152"/>
      <c r="AC203" s="163" t="s">
        <v>2117</v>
      </c>
      <c r="AD203" s="51" t="s">
        <v>2156</v>
      </c>
    </row>
    <row r="204" spans="1:31" s="104" customFormat="1" ht="29.1">
      <c r="A204" s="399" t="s">
        <v>2157</v>
      </c>
      <c r="B204" s="107" t="s">
        <v>2145</v>
      </c>
      <c r="C204" s="108">
        <v>46160</v>
      </c>
      <c r="D204" s="108" t="s">
        <v>208</v>
      </c>
      <c r="E204" s="300" t="s">
        <v>2158</v>
      </c>
      <c r="F204" s="176">
        <v>60</v>
      </c>
      <c r="G204" s="176">
        <v>910</v>
      </c>
      <c r="H204" s="144">
        <v>150</v>
      </c>
      <c r="I204" s="176" t="s">
        <v>1247</v>
      </c>
      <c r="J204" s="146" t="s">
        <v>1234</v>
      </c>
      <c r="K204" s="146" t="s">
        <v>2095</v>
      </c>
      <c r="L204" s="147" t="s">
        <v>1236</v>
      </c>
      <c r="M204" s="148">
        <v>150</v>
      </c>
      <c r="N204" s="148" t="s">
        <v>1559</v>
      </c>
      <c r="O204" s="149">
        <v>1</v>
      </c>
      <c r="P204" s="150">
        <v>0</v>
      </c>
      <c r="Q204" s="150" t="s">
        <v>1238</v>
      </c>
      <c r="R204" s="162">
        <v>30</v>
      </c>
      <c r="S204" s="144">
        <v>1</v>
      </c>
      <c r="T204" s="176">
        <v>5</v>
      </c>
      <c r="U204" s="176">
        <v>17</v>
      </c>
      <c r="V204" s="109" t="s">
        <v>1560</v>
      </c>
      <c r="W204" s="335" t="s">
        <v>2159</v>
      </c>
      <c r="X204" s="144" t="s">
        <v>1562</v>
      </c>
      <c r="Y204" s="144" t="s">
        <v>272</v>
      </c>
      <c r="Z204" s="144" t="s">
        <v>1227</v>
      </c>
      <c r="AA204" s="152"/>
      <c r="AB204" s="152"/>
      <c r="AC204" s="163" t="s">
        <v>2117</v>
      </c>
      <c r="AD204" s="51" t="s">
        <v>2156</v>
      </c>
    </row>
    <row r="205" spans="1:31" s="104" customFormat="1" ht="29.1">
      <c r="A205" s="269" t="s">
        <v>2160</v>
      </c>
      <c r="B205" s="107" t="s">
        <v>2145</v>
      </c>
      <c r="C205" s="108">
        <v>46160</v>
      </c>
      <c r="D205" s="108" t="s">
        <v>208</v>
      </c>
      <c r="E205" s="300" t="s">
        <v>2161</v>
      </c>
      <c r="F205" s="176">
        <v>60</v>
      </c>
      <c r="G205" s="176">
        <v>910</v>
      </c>
      <c r="H205" s="144">
        <v>150</v>
      </c>
      <c r="I205" s="176" t="s">
        <v>1247</v>
      </c>
      <c r="J205" s="146" t="s">
        <v>1234</v>
      </c>
      <c r="K205" s="146" t="s">
        <v>2095</v>
      </c>
      <c r="L205" s="147" t="s">
        <v>1236</v>
      </c>
      <c r="M205" s="148">
        <v>150</v>
      </c>
      <c r="N205" s="148" t="s">
        <v>1559</v>
      </c>
      <c r="O205" s="149">
        <v>1</v>
      </c>
      <c r="P205" s="150">
        <v>0</v>
      </c>
      <c r="Q205" s="150" t="s">
        <v>1238</v>
      </c>
      <c r="R205" s="151">
        <v>40</v>
      </c>
      <c r="S205" s="144">
        <v>1</v>
      </c>
      <c r="T205" s="176">
        <v>5</v>
      </c>
      <c r="U205" s="176">
        <v>17</v>
      </c>
      <c r="V205" s="109" t="s">
        <v>1560</v>
      </c>
      <c r="W205" s="335" t="s">
        <v>1240</v>
      </c>
      <c r="X205" s="144" t="s">
        <v>1562</v>
      </c>
      <c r="Y205" s="144" t="s">
        <v>272</v>
      </c>
      <c r="Z205" s="144" t="s">
        <v>1227</v>
      </c>
      <c r="AA205" s="152"/>
      <c r="AB205" s="152"/>
      <c r="AC205" s="163" t="s">
        <v>2117</v>
      </c>
      <c r="AD205" s="51" t="s">
        <v>2156</v>
      </c>
      <c r="AE205" s="611" t="s">
        <v>2162</v>
      </c>
    </row>
    <row r="206" spans="1:31" s="104" customFormat="1" ht="29.1">
      <c r="A206" s="107" t="s">
        <v>2163</v>
      </c>
      <c r="B206" s="107" t="s">
        <v>2145</v>
      </c>
      <c r="C206" s="108">
        <v>46160</v>
      </c>
      <c r="D206" s="108" t="s">
        <v>209</v>
      </c>
      <c r="E206" s="300" t="s">
        <v>2164</v>
      </c>
      <c r="F206" s="176">
        <v>60</v>
      </c>
      <c r="G206" s="176">
        <v>910</v>
      </c>
      <c r="H206" s="144">
        <v>150</v>
      </c>
      <c r="I206" s="176" t="s">
        <v>1247</v>
      </c>
      <c r="J206" s="146" t="s">
        <v>1234</v>
      </c>
      <c r="K206" s="220" t="s">
        <v>2165</v>
      </c>
      <c r="L206" s="147" t="s">
        <v>1236</v>
      </c>
      <c r="M206" s="148">
        <v>150</v>
      </c>
      <c r="N206" s="148" t="s">
        <v>1559</v>
      </c>
      <c r="O206" s="149">
        <v>1</v>
      </c>
      <c r="P206" s="150">
        <v>0</v>
      </c>
      <c r="Q206" s="150" t="s">
        <v>1238</v>
      </c>
      <c r="R206" s="162">
        <v>30</v>
      </c>
      <c r="S206" s="144">
        <v>1</v>
      </c>
      <c r="T206" s="176">
        <v>5</v>
      </c>
      <c r="U206" s="172">
        <v>16</v>
      </c>
      <c r="V206" s="109" t="s">
        <v>1560</v>
      </c>
      <c r="W206" s="335" t="s">
        <v>1240</v>
      </c>
      <c r="X206" s="144" t="s">
        <v>1562</v>
      </c>
      <c r="Y206" s="144" t="s">
        <v>272</v>
      </c>
      <c r="Z206" s="144" t="s">
        <v>1227</v>
      </c>
      <c r="AA206" s="152"/>
      <c r="AB206" s="152"/>
      <c r="AC206" s="163" t="s">
        <v>2117</v>
      </c>
      <c r="AD206" s="51" t="s">
        <v>2166</v>
      </c>
    </row>
    <row r="207" spans="1:31" s="104" customFormat="1" ht="29.1">
      <c r="A207" s="107" t="s">
        <v>2167</v>
      </c>
      <c r="B207" s="107" t="s">
        <v>2145</v>
      </c>
      <c r="C207" s="108">
        <v>46160</v>
      </c>
      <c r="D207" s="108" t="s">
        <v>209</v>
      </c>
      <c r="E207" s="300" t="s">
        <v>2168</v>
      </c>
      <c r="F207" s="176">
        <v>60</v>
      </c>
      <c r="G207" s="176">
        <v>910</v>
      </c>
      <c r="H207" s="144">
        <v>150</v>
      </c>
      <c r="I207" s="176" t="s">
        <v>1247</v>
      </c>
      <c r="J207" s="146" t="s">
        <v>1234</v>
      </c>
      <c r="K207" s="220" t="s">
        <v>2169</v>
      </c>
      <c r="L207" s="147" t="s">
        <v>1236</v>
      </c>
      <c r="M207" s="148">
        <v>150</v>
      </c>
      <c r="N207" s="148" t="s">
        <v>1559</v>
      </c>
      <c r="O207" s="149">
        <v>1</v>
      </c>
      <c r="P207" s="150">
        <v>0</v>
      </c>
      <c r="Q207" s="150" t="s">
        <v>1238</v>
      </c>
      <c r="R207" s="162">
        <v>30</v>
      </c>
      <c r="S207" s="144">
        <v>1</v>
      </c>
      <c r="T207" s="176">
        <v>5</v>
      </c>
      <c r="U207" s="176">
        <v>16</v>
      </c>
      <c r="V207" s="109" t="s">
        <v>1560</v>
      </c>
      <c r="W207" s="335" t="s">
        <v>1240</v>
      </c>
      <c r="X207" s="144" t="s">
        <v>1562</v>
      </c>
      <c r="Y207" s="144" t="s">
        <v>272</v>
      </c>
      <c r="Z207" s="144" t="s">
        <v>1227</v>
      </c>
      <c r="AA207" s="152"/>
      <c r="AB207" s="152"/>
      <c r="AC207" s="163" t="s">
        <v>2117</v>
      </c>
      <c r="AD207" s="51" t="s">
        <v>2156</v>
      </c>
    </row>
    <row r="208" spans="1:31" s="104" customFormat="1" ht="29.1">
      <c r="A208" s="397" t="s">
        <v>2170</v>
      </c>
      <c r="B208" s="107" t="s">
        <v>2145</v>
      </c>
      <c r="C208" s="108">
        <v>46161</v>
      </c>
      <c r="D208" s="108" t="s">
        <v>208</v>
      </c>
      <c r="E208" s="300" t="s">
        <v>2171</v>
      </c>
      <c r="F208" s="176">
        <v>60</v>
      </c>
      <c r="G208" s="176">
        <v>910</v>
      </c>
      <c r="H208" s="144">
        <v>150</v>
      </c>
      <c r="I208" s="176" t="s">
        <v>1247</v>
      </c>
      <c r="J208" s="146" t="s">
        <v>1234</v>
      </c>
      <c r="K208" s="220" t="s">
        <v>2172</v>
      </c>
      <c r="L208" s="147" t="s">
        <v>1236</v>
      </c>
      <c r="M208" s="148">
        <v>150</v>
      </c>
      <c r="N208" s="148" t="s">
        <v>1559</v>
      </c>
      <c r="O208" s="149">
        <v>1</v>
      </c>
      <c r="P208" s="150">
        <v>0</v>
      </c>
      <c r="Q208" s="150" t="s">
        <v>1238</v>
      </c>
      <c r="R208" s="162">
        <v>30</v>
      </c>
      <c r="S208" s="144">
        <v>1</v>
      </c>
      <c r="T208" s="176">
        <v>5</v>
      </c>
      <c r="U208" s="176">
        <v>16</v>
      </c>
      <c r="V208" s="109" t="s">
        <v>1560</v>
      </c>
      <c r="W208" s="335" t="s">
        <v>1240</v>
      </c>
      <c r="X208" s="144" t="s">
        <v>1562</v>
      </c>
      <c r="Y208" s="144" t="s">
        <v>272</v>
      </c>
      <c r="Z208" s="144" t="s">
        <v>1227</v>
      </c>
      <c r="AA208" s="152"/>
      <c r="AB208" s="152"/>
      <c r="AC208" s="163" t="s">
        <v>2117</v>
      </c>
      <c r="AD208" s="51" t="s">
        <v>2173</v>
      </c>
    </row>
    <row r="209" spans="1:30" s="104" customFormat="1" ht="29.1">
      <c r="A209" s="398" t="s">
        <v>2174</v>
      </c>
      <c r="B209" s="107" t="s">
        <v>2145</v>
      </c>
      <c r="C209" s="108">
        <v>46161</v>
      </c>
      <c r="D209" s="108" t="s">
        <v>208</v>
      </c>
      <c r="E209" s="300" t="s">
        <v>2175</v>
      </c>
      <c r="F209" s="176">
        <v>60</v>
      </c>
      <c r="G209" s="176">
        <v>910</v>
      </c>
      <c r="H209" s="144">
        <v>150</v>
      </c>
      <c r="I209" s="176" t="s">
        <v>1247</v>
      </c>
      <c r="J209" s="146" t="s">
        <v>1234</v>
      </c>
      <c r="K209" s="145" t="s">
        <v>2172</v>
      </c>
      <c r="L209" s="147" t="s">
        <v>1236</v>
      </c>
      <c r="M209" s="148">
        <v>150</v>
      </c>
      <c r="N209" s="148" t="s">
        <v>1559</v>
      </c>
      <c r="O209" s="149">
        <v>1</v>
      </c>
      <c r="P209" s="150">
        <v>0</v>
      </c>
      <c r="Q209" s="150" t="s">
        <v>1238</v>
      </c>
      <c r="R209" s="162">
        <v>30</v>
      </c>
      <c r="S209" s="144">
        <v>1</v>
      </c>
      <c r="T209" s="176">
        <v>5</v>
      </c>
      <c r="U209" s="176">
        <v>16</v>
      </c>
      <c r="V209" s="109" t="s">
        <v>1560</v>
      </c>
      <c r="W209" s="335" t="s">
        <v>1240</v>
      </c>
      <c r="X209" s="144" t="s">
        <v>1562</v>
      </c>
      <c r="Y209" s="144" t="s">
        <v>272</v>
      </c>
      <c r="Z209" s="144" t="s">
        <v>1227</v>
      </c>
      <c r="AA209" s="152"/>
      <c r="AB209" s="152"/>
      <c r="AC209" s="163" t="s">
        <v>2117</v>
      </c>
      <c r="AD209" s="51" t="s">
        <v>2176</v>
      </c>
    </row>
    <row r="210" spans="1:30" s="104" customFormat="1" ht="29.1">
      <c r="A210" s="107" t="s">
        <v>2177</v>
      </c>
      <c r="B210" s="107" t="s">
        <v>2145</v>
      </c>
      <c r="C210" s="108">
        <v>46161</v>
      </c>
      <c r="D210" s="108" t="s">
        <v>209</v>
      </c>
      <c r="E210" s="300" t="s">
        <v>2175</v>
      </c>
      <c r="F210" s="176">
        <v>60</v>
      </c>
      <c r="G210" s="176">
        <v>910</v>
      </c>
      <c r="H210" s="144">
        <v>150</v>
      </c>
      <c r="I210" s="176" t="s">
        <v>1247</v>
      </c>
      <c r="J210" s="146" t="s">
        <v>1234</v>
      </c>
      <c r="K210" s="145" t="s">
        <v>2172</v>
      </c>
      <c r="L210" s="147" t="s">
        <v>1236</v>
      </c>
      <c r="M210" s="148">
        <v>150</v>
      </c>
      <c r="N210" s="148" t="s">
        <v>1559</v>
      </c>
      <c r="O210" s="149">
        <v>1</v>
      </c>
      <c r="P210" s="150">
        <v>0</v>
      </c>
      <c r="Q210" s="150" t="s">
        <v>1238</v>
      </c>
      <c r="R210" s="162">
        <v>30</v>
      </c>
      <c r="S210" s="144">
        <v>1</v>
      </c>
      <c r="T210" s="176">
        <v>5</v>
      </c>
      <c r="U210" s="176">
        <v>16</v>
      </c>
      <c r="V210" s="109" t="s">
        <v>1560</v>
      </c>
      <c r="W210" s="335" t="s">
        <v>1240</v>
      </c>
      <c r="X210" s="144" t="s">
        <v>1562</v>
      </c>
      <c r="Y210" s="144" t="s">
        <v>272</v>
      </c>
      <c r="Z210" s="144" t="s">
        <v>1227</v>
      </c>
      <c r="AA210" s="152"/>
      <c r="AB210" s="152"/>
      <c r="AC210" s="163" t="s">
        <v>2117</v>
      </c>
      <c r="AD210" s="51" t="s">
        <v>2176</v>
      </c>
    </row>
    <row r="211" spans="1:30" s="104" customFormat="1" ht="29.1">
      <c r="A211" s="107" t="s">
        <v>2178</v>
      </c>
      <c r="B211" s="107" t="s">
        <v>2145</v>
      </c>
      <c r="C211" s="108">
        <v>46161</v>
      </c>
      <c r="D211" s="108" t="s">
        <v>209</v>
      </c>
      <c r="E211" s="300" t="s">
        <v>2179</v>
      </c>
      <c r="F211" s="176">
        <v>60</v>
      </c>
      <c r="G211" s="176">
        <v>910</v>
      </c>
      <c r="H211" s="144">
        <v>150</v>
      </c>
      <c r="I211" s="176" t="s">
        <v>1247</v>
      </c>
      <c r="J211" s="146" t="s">
        <v>1234</v>
      </c>
      <c r="K211" s="145" t="s">
        <v>2180</v>
      </c>
      <c r="L211" s="147" t="s">
        <v>1236</v>
      </c>
      <c r="M211" s="148">
        <v>150</v>
      </c>
      <c r="N211" s="148" t="s">
        <v>1559</v>
      </c>
      <c r="O211" s="149">
        <v>1</v>
      </c>
      <c r="P211" s="150">
        <v>0</v>
      </c>
      <c r="Q211" s="150" t="s">
        <v>1238</v>
      </c>
      <c r="R211" s="162">
        <v>30</v>
      </c>
      <c r="S211" s="144">
        <v>1</v>
      </c>
      <c r="T211" s="176">
        <v>5</v>
      </c>
      <c r="U211" s="176">
        <v>16</v>
      </c>
      <c r="V211" s="109" t="s">
        <v>1560</v>
      </c>
      <c r="W211" s="335" t="s">
        <v>1240</v>
      </c>
      <c r="X211" s="144" t="s">
        <v>1562</v>
      </c>
      <c r="Y211" s="144" t="s">
        <v>272</v>
      </c>
      <c r="Z211" s="144" t="s">
        <v>1227</v>
      </c>
      <c r="AA211" s="152"/>
      <c r="AB211" s="152"/>
      <c r="AC211" s="163" t="s">
        <v>2117</v>
      </c>
      <c r="AD211" s="51" t="s">
        <v>2181</v>
      </c>
    </row>
    <row r="212" spans="1:30" s="104" customFormat="1" ht="29.1">
      <c r="A212" s="107" t="s">
        <v>2182</v>
      </c>
      <c r="B212" s="107" t="s">
        <v>2145</v>
      </c>
      <c r="C212" s="108">
        <v>46161</v>
      </c>
      <c r="D212" s="108" t="s">
        <v>209</v>
      </c>
      <c r="E212" s="300" t="s">
        <v>2183</v>
      </c>
      <c r="F212" s="176">
        <v>60</v>
      </c>
      <c r="G212" s="176">
        <v>910</v>
      </c>
      <c r="H212" s="144">
        <v>150</v>
      </c>
      <c r="I212" s="176" t="s">
        <v>1247</v>
      </c>
      <c r="J212" s="146" t="s">
        <v>1234</v>
      </c>
      <c r="K212" s="145" t="s">
        <v>2184</v>
      </c>
      <c r="L212" s="147" t="s">
        <v>1236</v>
      </c>
      <c r="M212" s="148">
        <v>150</v>
      </c>
      <c r="N212" s="148" t="s">
        <v>1559</v>
      </c>
      <c r="O212" s="149">
        <v>1</v>
      </c>
      <c r="P212" s="150">
        <v>0</v>
      </c>
      <c r="Q212" s="150" t="s">
        <v>1238</v>
      </c>
      <c r="R212" s="162">
        <v>30</v>
      </c>
      <c r="S212" s="144">
        <v>1</v>
      </c>
      <c r="T212" s="176">
        <v>5</v>
      </c>
      <c r="U212" s="172">
        <v>15</v>
      </c>
      <c r="V212" s="109" t="s">
        <v>1560</v>
      </c>
      <c r="W212" s="335" t="s">
        <v>1240</v>
      </c>
      <c r="X212" s="144" t="s">
        <v>1562</v>
      </c>
      <c r="Y212" s="144" t="s">
        <v>272</v>
      </c>
      <c r="Z212" s="144" t="s">
        <v>1227</v>
      </c>
      <c r="AA212" s="152"/>
      <c r="AB212" s="152"/>
      <c r="AC212" s="163" t="s">
        <v>2117</v>
      </c>
      <c r="AD212" s="51"/>
    </row>
    <row r="213" spans="1:30" s="104" customFormat="1" ht="29.1">
      <c r="A213" s="397" t="s">
        <v>2185</v>
      </c>
      <c r="B213" s="107" t="s">
        <v>2163</v>
      </c>
      <c r="C213" s="108"/>
      <c r="D213" s="108"/>
      <c r="E213" s="300" t="s">
        <v>2186</v>
      </c>
      <c r="F213" s="176">
        <v>60</v>
      </c>
      <c r="G213" s="176">
        <v>910</v>
      </c>
      <c r="H213" s="144">
        <v>150</v>
      </c>
      <c r="I213" s="176" t="s">
        <v>1247</v>
      </c>
      <c r="J213" s="146" t="s">
        <v>1234</v>
      </c>
      <c r="K213" s="220" t="s">
        <v>2165</v>
      </c>
      <c r="L213" s="147" t="s">
        <v>1236</v>
      </c>
      <c r="M213" s="148">
        <v>150</v>
      </c>
      <c r="N213" s="148" t="s">
        <v>1559</v>
      </c>
      <c r="O213" s="149">
        <v>1</v>
      </c>
      <c r="P213" s="150">
        <v>0</v>
      </c>
      <c r="Q213" s="150" t="s">
        <v>1238</v>
      </c>
      <c r="R213" s="162">
        <v>30</v>
      </c>
      <c r="S213" s="144">
        <v>1</v>
      </c>
      <c r="T213" s="176">
        <v>5</v>
      </c>
      <c r="U213" s="176">
        <v>16</v>
      </c>
      <c r="V213" s="109" t="s">
        <v>1560</v>
      </c>
      <c r="W213" s="335" t="s">
        <v>1240</v>
      </c>
      <c r="X213" s="144" t="s">
        <v>1562</v>
      </c>
      <c r="Y213" s="144" t="s">
        <v>272</v>
      </c>
      <c r="Z213" s="144" t="s">
        <v>1227</v>
      </c>
      <c r="AA213" s="152"/>
      <c r="AB213" s="152"/>
      <c r="AC213" s="163" t="s">
        <v>2117</v>
      </c>
      <c r="AD213" s="51"/>
    </row>
    <row r="214" spans="1:30" s="104" customFormat="1" ht="29.1">
      <c r="A214" s="399" t="s">
        <v>2187</v>
      </c>
      <c r="B214" s="107"/>
      <c r="C214" s="108"/>
      <c r="D214" s="108"/>
      <c r="E214" s="300" t="s">
        <v>2188</v>
      </c>
      <c r="F214" s="176">
        <v>60</v>
      </c>
      <c r="G214" s="176">
        <v>910</v>
      </c>
      <c r="H214" s="144">
        <v>150</v>
      </c>
      <c r="I214" s="176" t="s">
        <v>1247</v>
      </c>
      <c r="J214" s="146" t="s">
        <v>1234</v>
      </c>
      <c r="K214" s="220" t="s">
        <v>2169</v>
      </c>
      <c r="L214" s="147" t="s">
        <v>1236</v>
      </c>
      <c r="M214" s="148">
        <v>150</v>
      </c>
      <c r="N214" s="148" t="s">
        <v>1559</v>
      </c>
      <c r="O214" s="249">
        <v>0</v>
      </c>
      <c r="P214" s="150">
        <v>0</v>
      </c>
      <c r="Q214" s="150" t="s">
        <v>1238</v>
      </c>
      <c r="R214" s="162">
        <v>30</v>
      </c>
      <c r="S214" s="144">
        <v>1</v>
      </c>
      <c r="T214" s="176">
        <v>5</v>
      </c>
      <c r="U214" s="176">
        <v>16</v>
      </c>
      <c r="V214" s="109" t="s">
        <v>1560</v>
      </c>
      <c r="W214" s="274" t="s">
        <v>1250</v>
      </c>
      <c r="X214" s="172" t="s">
        <v>272</v>
      </c>
      <c r="Y214" s="144" t="s">
        <v>272</v>
      </c>
      <c r="Z214" s="144" t="s">
        <v>1227</v>
      </c>
      <c r="AA214" s="152"/>
      <c r="AB214" s="152"/>
      <c r="AC214" s="163" t="s">
        <v>2117</v>
      </c>
      <c r="AD214" s="51"/>
    </row>
    <row r="215" spans="1:30" s="104" customFormat="1" ht="29.1">
      <c r="A215" s="398" t="s">
        <v>2189</v>
      </c>
      <c r="B215" s="107" t="s">
        <v>2163</v>
      </c>
      <c r="C215" s="108"/>
      <c r="D215" s="108"/>
      <c r="E215" s="300" t="s">
        <v>2190</v>
      </c>
      <c r="F215" s="176">
        <v>60</v>
      </c>
      <c r="G215" s="176">
        <v>910</v>
      </c>
      <c r="H215" s="144">
        <v>150</v>
      </c>
      <c r="I215" s="176" t="s">
        <v>1247</v>
      </c>
      <c r="J215" s="146" t="s">
        <v>1234</v>
      </c>
      <c r="K215" s="145" t="s">
        <v>2172</v>
      </c>
      <c r="L215" s="147" t="s">
        <v>1236</v>
      </c>
      <c r="M215" s="148">
        <v>150</v>
      </c>
      <c r="N215" s="148" t="s">
        <v>1559</v>
      </c>
      <c r="O215" s="149">
        <v>1</v>
      </c>
      <c r="P215" s="150">
        <v>0</v>
      </c>
      <c r="Q215" s="150" t="s">
        <v>1238</v>
      </c>
      <c r="R215" s="162">
        <v>30</v>
      </c>
      <c r="S215" s="144">
        <v>1</v>
      </c>
      <c r="T215" s="176">
        <v>5</v>
      </c>
      <c r="U215" s="176">
        <v>16</v>
      </c>
      <c r="V215" s="109" t="s">
        <v>1560</v>
      </c>
      <c r="W215" s="335" t="s">
        <v>1240</v>
      </c>
      <c r="X215" s="144" t="s">
        <v>1562</v>
      </c>
      <c r="Y215" s="144" t="s">
        <v>272</v>
      </c>
      <c r="Z215" s="144" t="s">
        <v>1227</v>
      </c>
      <c r="AA215" s="152"/>
      <c r="AB215" s="152"/>
      <c r="AC215" s="163" t="s">
        <v>2117</v>
      </c>
      <c r="AD215" s="51"/>
    </row>
    <row r="216" spans="1:30" s="104" customFormat="1" ht="29.1">
      <c r="A216" s="398" t="s">
        <v>2191</v>
      </c>
      <c r="B216" s="107" t="s">
        <v>2163</v>
      </c>
      <c r="C216" s="108"/>
      <c r="D216" s="108"/>
      <c r="E216" s="300" t="s">
        <v>2190</v>
      </c>
      <c r="F216" s="176">
        <v>60</v>
      </c>
      <c r="G216" s="176">
        <v>910</v>
      </c>
      <c r="H216" s="144">
        <v>150</v>
      </c>
      <c r="I216" s="176" t="s">
        <v>1247</v>
      </c>
      <c r="J216" s="146" t="s">
        <v>1234</v>
      </c>
      <c r="K216" s="145" t="s">
        <v>2172</v>
      </c>
      <c r="L216" s="147" t="s">
        <v>1236</v>
      </c>
      <c r="M216" s="148">
        <v>150</v>
      </c>
      <c r="N216" s="148" t="s">
        <v>1559</v>
      </c>
      <c r="O216" s="149">
        <v>1</v>
      </c>
      <c r="P216" s="150">
        <v>0</v>
      </c>
      <c r="Q216" s="150" t="s">
        <v>1238</v>
      </c>
      <c r="R216" s="162">
        <v>30</v>
      </c>
      <c r="S216" s="144">
        <v>1</v>
      </c>
      <c r="T216" s="176">
        <v>5</v>
      </c>
      <c r="U216" s="176">
        <v>16</v>
      </c>
      <c r="V216" s="109" t="s">
        <v>1560</v>
      </c>
      <c r="W216" s="335" t="s">
        <v>1240</v>
      </c>
      <c r="X216" s="144" t="s">
        <v>1562</v>
      </c>
      <c r="Y216" s="144" t="s">
        <v>272</v>
      </c>
      <c r="Z216" s="144" t="s">
        <v>1227</v>
      </c>
      <c r="AA216" s="152"/>
      <c r="AB216" s="152"/>
      <c r="AC216" s="163" t="s">
        <v>2117</v>
      </c>
      <c r="AD216" s="51"/>
    </row>
    <row r="217" spans="1:30" s="104" customFormat="1" ht="29.1">
      <c r="A217" s="399" t="s">
        <v>2192</v>
      </c>
      <c r="B217" s="107"/>
      <c r="C217" s="108"/>
      <c r="D217" s="108"/>
      <c r="E217" s="300" t="s">
        <v>2188</v>
      </c>
      <c r="F217" s="176">
        <v>60</v>
      </c>
      <c r="G217" s="176">
        <v>910</v>
      </c>
      <c r="H217" s="144">
        <v>150</v>
      </c>
      <c r="I217" s="176" t="s">
        <v>1247</v>
      </c>
      <c r="J217" s="146" t="s">
        <v>1234</v>
      </c>
      <c r="K217" s="145" t="s">
        <v>2172</v>
      </c>
      <c r="L217" s="147" t="s">
        <v>1236</v>
      </c>
      <c r="M217" s="148">
        <v>150</v>
      </c>
      <c r="N217" s="148" t="s">
        <v>1559</v>
      </c>
      <c r="O217" s="249">
        <v>0</v>
      </c>
      <c r="P217" s="150">
        <v>0</v>
      </c>
      <c r="Q217" s="150" t="s">
        <v>1238</v>
      </c>
      <c r="R217" s="162">
        <v>30</v>
      </c>
      <c r="S217" s="144">
        <v>1</v>
      </c>
      <c r="T217" s="176">
        <v>5</v>
      </c>
      <c r="U217" s="176">
        <v>16</v>
      </c>
      <c r="V217" s="109" t="s">
        <v>1560</v>
      </c>
      <c r="W217" s="274" t="s">
        <v>1250</v>
      </c>
      <c r="X217" s="394" t="s">
        <v>272</v>
      </c>
      <c r="Y217" s="144" t="s">
        <v>272</v>
      </c>
      <c r="Z217" s="144" t="s">
        <v>1227</v>
      </c>
      <c r="AA217" s="152"/>
      <c r="AB217" s="152"/>
      <c r="AC217" s="163" t="s">
        <v>2117</v>
      </c>
      <c r="AD217" s="51"/>
    </row>
    <row r="218" spans="1:30" s="104" customFormat="1" ht="29.1">
      <c r="A218" s="399" t="s">
        <v>2187</v>
      </c>
      <c r="B218" s="107"/>
      <c r="C218" s="108"/>
      <c r="D218" s="108"/>
      <c r="E218" s="300" t="s">
        <v>2188</v>
      </c>
      <c r="F218" s="176">
        <v>60</v>
      </c>
      <c r="G218" s="176">
        <v>910</v>
      </c>
      <c r="H218" s="144">
        <v>150</v>
      </c>
      <c r="I218" s="176" t="s">
        <v>1247</v>
      </c>
      <c r="J218" s="146" t="s">
        <v>1234</v>
      </c>
      <c r="K218" s="220" t="s">
        <v>2169</v>
      </c>
      <c r="L218" s="147" t="s">
        <v>1236</v>
      </c>
      <c r="M218" s="148">
        <v>150</v>
      </c>
      <c r="N218" s="148" t="s">
        <v>1559</v>
      </c>
      <c r="O218" s="249">
        <v>0</v>
      </c>
      <c r="P218" s="150">
        <v>0</v>
      </c>
      <c r="Q218" s="150" t="s">
        <v>1238</v>
      </c>
      <c r="R218" s="162">
        <v>30</v>
      </c>
      <c r="S218" s="144">
        <v>1</v>
      </c>
      <c r="T218" s="176">
        <v>5</v>
      </c>
      <c r="U218" s="176">
        <v>16</v>
      </c>
      <c r="V218" s="109" t="s">
        <v>1560</v>
      </c>
      <c r="W218" s="274" t="s">
        <v>1250</v>
      </c>
      <c r="X218" s="172" t="s">
        <v>272</v>
      </c>
      <c r="Y218" s="144" t="s">
        <v>272</v>
      </c>
      <c r="Z218" s="144" t="s">
        <v>1227</v>
      </c>
      <c r="AA218" s="152"/>
      <c r="AB218" s="152"/>
      <c r="AC218" s="163" t="s">
        <v>2117</v>
      </c>
      <c r="AD218" s="51"/>
    </row>
    <row r="219" spans="1:30" s="104" customFormat="1" ht="43.5">
      <c r="A219" s="398" t="s">
        <v>2193</v>
      </c>
      <c r="B219" s="107" t="s">
        <v>2163</v>
      </c>
      <c r="C219" s="108"/>
      <c r="D219" s="108"/>
      <c r="E219" s="300" t="s">
        <v>2190</v>
      </c>
      <c r="F219" s="176">
        <v>60</v>
      </c>
      <c r="G219" s="176">
        <v>910</v>
      </c>
      <c r="H219" s="144">
        <v>150</v>
      </c>
      <c r="I219" s="176" t="s">
        <v>1247</v>
      </c>
      <c r="J219" s="146" t="s">
        <v>1234</v>
      </c>
      <c r="K219" s="145" t="s">
        <v>2172</v>
      </c>
      <c r="L219" s="147" t="s">
        <v>1236</v>
      </c>
      <c r="M219" s="148">
        <v>150</v>
      </c>
      <c r="N219" s="148" t="s">
        <v>1559</v>
      </c>
      <c r="O219" s="149">
        <v>1</v>
      </c>
      <c r="P219" s="150">
        <v>0</v>
      </c>
      <c r="Q219" s="150" t="s">
        <v>1238</v>
      </c>
      <c r="R219" s="162">
        <v>30</v>
      </c>
      <c r="S219" s="144">
        <v>1</v>
      </c>
      <c r="T219" s="176">
        <v>5</v>
      </c>
      <c r="U219" s="176">
        <v>16</v>
      </c>
      <c r="V219" s="109" t="s">
        <v>1560</v>
      </c>
      <c r="W219" s="335" t="s">
        <v>1240</v>
      </c>
      <c r="X219" s="144" t="s">
        <v>1562</v>
      </c>
      <c r="Y219" s="144" t="s">
        <v>272</v>
      </c>
      <c r="Z219" s="144" t="s">
        <v>1227</v>
      </c>
      <c r="AA219" s="152"/>
      <c r="AB219" s="152"/>
      <c r="AC219" s="163" t="s">
        <v>2194</v>
      </c>
      <c r="AD219" s="51"/>
    </row>
    <row r="220" spans="1:30" s="104" customFormat="1" ht="43.5">
      <c r="A220" s="399" t="s">
        <v>2195</v>
      </c>
      <c r="B220" s="107"/>
      <c r="C220" s="108"/>
      <c r="D220" s="108"/>
      <c r="E220" s="300" t="s">
        <v>2188</v>
      </c>
      <c r="F220" s="176">
        <v>60</v>
      </c>
      <c r="G220" s="176">
        <v>910</v>
      </c>
      <c r="H220" s="144">
        <v>150</v>
      </c>
      <c r="I220" s="176" t="s">
        <v>1247</v>
      </c>
      <c r="J220" s="146" t="s">
        <v>1234</v>
      </c>
      <c r="K220" s="220" t="s">
        <v>2169</v>
      </c>
      <c r="L220" s="147" t="s">
        <v>1236</v>
      </c>
      <c r="M220" s="148">
        <v>150</v>
      </c>
      <c r="N220" s="148" t="s">
        <v>1559</v>
      </c>
      <c r="O220" s="249">
        <v>0</v>
      </c>
      <c r="P220" s="150">
        <v>0</v>
      </c>
      <c r="Q220" s="150" t="s">
        <v>1238</v>
      </c>
      <c r="R220" s="162">
        <v>30</v>
      </c>
      <c r="S220" s="144">
        <v>1</v>
      </c>
      <c r="T220" s="176">
        <v>5</v>
      </c>
      <c r="U220" s="176">
        <v>16</v>
      </c>
      <c r="V220" s="109" t="s">
        <v>1560</v>
      </c>
      <c r="W220" s="274" t="s">
        <v>1250</v>
      </c>
      <c r="X220" s="172" t="s">
        <v>272</v>
      </c>
      <c r="Y220" s="144" t="s">
        <v>272</v>
      </c>
      <c r="Z220" s="144" t="s">
        <v>1227</v>
      </c>
      <c r="AA220" s="152"/>
      <c r="AB220" s="152"/>
      <c r="AC220" s="163" t="s">
        <v>2194</v>
      </c>
      <c r="AD220" s="51"/>
    </row>
    <row r="221" spans="1:30" s="104" customFormat="1" ht="29.1">
      <c r="A221" s="398" t="s">
        <v>2196</v>
      </c>
      <c r="B221" s="107" t="s">
        <v>2163</v>
      </c>
      <c r="C221" s="108"/>
      <c r="D221" s="108"/>
      <c r="E221" s="300" t="s">
        <v>2190</v>
      </c>
      <c r="F221" s="176">
        <v>60</v>
      </c>
      <c r="G221" s="176">
        <v>910</v>
      </c>
      <c r="H221" s="144">
        <v>150</v>
      </c>
      <c r="I221" s="176" t="s">
        <v>1247</v>
      </c>
      <c r="J221" s="146" t="s">
        <v>1234</v>
      </c>
      <c r="K221" s="220" t="s">
        <v>2095</v>
      </c>
      <c r="L221" s="147" t="s">
        <v>1236</v>
      </c>
      <c r="M221" s="148">
        <v>150</v>
      </c>
      <c r="N221" s="148" t="s">
        <v>1559</v>
      </c>
      <c r="O221" s="149">
        <v>1</v>
      </c>
      <c r="P221" s="150">
        <v>0</v>
      </c>
      <c r="Q221" s="150" t="s">
        <v>1238</v>
      </c>
      <c r="R221" s="162">
        <v>30</v>
      </c>
      <c r="S221" s="144">
        <v>1</v>
      </c>
      <c r="T221" s="176">
        <v>5</v>
      </c>
      <c r="U221" s="176">
        <v>16</v>
      </c>
      <c r="V221" s="109" t="s">
        <v>1560</v>
      </c>
      <c r="W221" s="335" t="s">
        <v>1240</v>
      </c>
      <c r="X221" s="144" t="s">
        <v>1562</v>
      </c>
      <c r="Y221" s="144" t="s">
        <v>272</v>
      </c>
      <c r="Z221" s="144" t="s">
        <v>1227</v>
      </c>
      <c r="AA221" s="152"/>
      <c r="AB221" s="152"/>
      <c r="AC221" s="163" t="s">
        <v>2117</v>
      </c>
      <c r="AD221" s="51"/>
    </row>
    <row r="222" spans="1:30" s="104" customFormat="1" ht="29.1">
      <c r="A222" s="398" t="s">
        <v>2197</v>
      </c>
      <c r="B222" s="107" t="s">
        <v>2163</v>
      </c>
      <c r="C222" s="108"/>
      <c r="D222" s="108"/>
      <c r="E222" s="300" t="s">
        <v>2190</v>
      </c>
      <c r="F222" s="176">
        <v>60</v>
      </c>
      <c r="G222" s="176">
        <v>910</v>
      </c>
      <c r="H222" s="144">
        <v>150</v>
      </c>
      <c r="I222" s="176" t="s">
        <v>1247</v>
      </c>
      <c r="J222" s="146" t="s">
        <v>1234</v>
      </c>
      <c r="K222" s="145" t="s">
        <v>2172</v>
      </c>
      <c r="L222" s="147" t="s">
        <v>1236</v>
      </c>
      <c r="M222" s="148">
        <v>150</v>
      </c>
      <c r="N222" s="148" t="s">
        <v>1559</v>
      </c>
      <c r="O222" s="149">
        <v>1</v>
      </c>
      <c r="P222" s="150">
        <v>0</v>
      </c>
      <c r="Q222" s="150" t="s">
        <v>1238</v>
      </c>
      <c r="R222" s="151">
        <v>20</v>
      </c>
      <c r="S222" s="144">
        <v>1</v>
      </c>
      <c r="T222" s="176">
        <v>5</v>
      </c>
      <c r="U222" s="176">
        <v>16</v>
      </c>
      <c r="V222" s="109" t="s">
        <v>1560</v>
      </c>
      <c r="W222" s="335" t="s">
        <v>1240</v>
      </c>
      <c r="X222" s="144" t="s">
        <v>1562</v>
      </c>
      <c r="Y222" s="144" t="s">
        <v>272</v>
      </c>
      <c r="Z222" s="144" t="s">
        <v>1227</v>
      </c>
      <c r="AA222" s="152"/>
      <c r="AB222" s="152"/>
      <c r="AC222" s="163" t="s">
        <v>2117</v>
      </c>
      <c r="AD222" s="51"/>
    </row>
    <row r="223" spans="1:30" s="104" customFormat="1" ht="29.1">
      <c r="A223" s="398" t="s">
        <v>2198</v>
      </c>
      <c r="B223" s="107" t="s">
        <v>2163</v>
      </c>
      <c r="C223" s="108"/>
      <c r="D223" s="108"/>
      <c r="E223" s="300" t="s">
        <v>2190</v>
      </c>
      <c r="F223" s="176">
        <v>60</v>
      </c>
      <c r="G223" s="176">
        <v>910</v>
      </c>
      <c r="H223" s="144">
        <v>150</v>
      </c>
      <c r="I223" s="176" t="s">
        <v>1247</v>
      </c>
      <c r="J223" s="146" t="s">
        <v>1234</v>
      </c>
      <c r="K223" s="145" t="s">
        <v>2172</v>
      </c>
      <c r="L223" s="147" t="s">
        <v>1236</v>
      </c>
      <c r="M223" s="148">
        <v>150</v>
      </c>
      <c r="N223" s="148" t="s">
        <v>1559</v>
      </c>
      <c r="O223" s="149">
        <v>1</v>
      </c>
      <c r="P223" s="150">
        <v>0</v>
      </c>
      <c r="Q223" s="150" t="s">
        <v>1238</v>
      </c>
      <c r="R223" s="162">
        <v>20</v>
      </c>
      <c r="S223" s="144">
        <v>1</v>
      </c>
      <c r="T223" s="176">
        <v>5</v>
      </c>
      <c r="U223" s="176">
        <v>16</v>
      </c>
      <c r="V223" s="109" t="s">
        <v>1560</v>
      </c>
      <c r="W223" s="335" t="s">
        <v>1240</v>
      </c>
      <c r="X223" s="144" t="s">
        <v>1562</v>
      </c>
      <c r="Y223" s="144" t="s">
        <v>272</v>
      </c>
      <c r="Z223" s="144" t="s">
        <v>1227</v>
      </c>
      <c r="AA223" s="152"/>
      <c r="AB223" s="152"/>
      <c r="AC223" s="163" t="s">
        <v>2117</v>
      </c>
      <c r="AD223" s="51"/>
    </row>
    <row r="224" spans="1:30" s="104" customFormat="1" ht="29.1">
      <c r="A224" s="107" t="s">
        <v>2199</v>
      </c>
      <c r="B224" s="107" t="s">
        <v>2163</v>
      </c>
      <c r="C224" s="108"/>
      <c r="D224" s="108"/>
      <c r="E224" s="300" t="s">
        <v>2190</v>
      </c>
      <c r="F224" s="176">
        <v>60</v>
      </c>
      <c r="G224" s="176">
        <v>910</v>
      </c>
      <c r="H224" s="144">
        <v>150</v>
      </c>
      <c r="I224" s="176" t="s">
        <v>1247</v>
      </c>
      <c r="J224" s="146" t="s">
        <v>1234</v>
      </c>
      <c r="K224" s="145" t="s">
        <v>2172</v>
      </c>
      <c r="L224" s="147" t="s">
        <v>1236</v>
      </c>
      <c r="M224" s="148">
        <v>150</v>
      </c>
      <c r="N224" s="148" t="s">
        <v>1559</v>
      </c>
      <c r="O224" s="149">
        <v>1</v>
      </c>
      <c r="P224" s="150">
        <v>0</v>
      </c>
      <c r="Q224" s="150" t="s">
        <v>1238</v>
      </c>
      <c r="R224" s="162">
        <v>30</v>
      </c>
      <c r="S224" s="144">
        <v>1</v>
      </c>
      <c r="T224" s="176">
        <v>5</v>
      </c>
      <c r="U224" s="176">
        <v>16</v>
      </c>
      <c r="V224" s="109" t="s">
        <v>1560</v>
      </c>
      <c r="W224" s="335" t="s">
        <v>1240</v>
      </c>
      <c r="X224" s="144" t="s">
        <v>1562</v>
      </c>
      <c r="Y224" s="144" t="s">
        <v>272</v>
      </c>
      <c r="Z224" s="144" t="s">
        <v>1227</v>
      </c>
      <c r="AA224" s="152"/>
      <c r="AB224" s="152"/>
      <c r="AC224" s="163" t="s">
        <v>2117</v>
      </c>
      <c r="AD224" s="51"/>
    </row>
    <row r="225" spans="1:31" s="104" customFormat="1" ht="43.5">
      <c r="A225" s="107" t="s">
        <v>2200</v>
      </c>
      <c r="B225" s="107" t="s">
        <v>2163</v>
      </c>
      <c r="C225" s="108"/>
      <c r="D225" s="108"/>
      <c r="E225" s="300" t="s">
        <v>2190</v>
      </c>
      <c r="F225" s="176">
        <v>60</v>
      </c>
      <c r="G225" s="176">
        <v>910</v>
      </c>
      <c r="H225" s="144">
        <v>150</v>
      </c>
      <c r="I225" s="176" t="s">
        <v>1247</v>
      </c>
      <c r="J225" s="146" t="s">
        <v>1234</v>
      </c>
      <c r="K225" s="145" t="s">
        <v>2172</v>
      </c>
      <c r="L225" s="147" t="s">
        <v>1236</v>
      </c>
      <c r="M225" s="148">
        <v>150</v>
      </c>
      <c r="N225" s="148" t="s">
        <v>1559</v>
      </c>
      <c r="O225" s="149">
        <v>1</v>
      </c>
      <c r="P225" s="150">
        <v>0</v>
      </c>
      <c r="Q225" s="150" t="s">
        <v>1238</v>
      </c>
      <c r="R225" s="162">
        <v>30</v>
      </c>
      <c r="S225" s="144">
        <v>1</v>
      </c>
      <c r="T225" s="176">
        <v>5</v>
      </c>
      <c r="U225" s="176">
        <v>16</v>
      </c>
      <c r="V225" s="109" t="s">
        <v>1560</v>
      </c>
      <c r="W225" s="335" t="s">
        <v>1240</v>
      </c>
      <c r="X225" s="144" t="s">
        <v>1562</v>
      </c>
      <c r="Y225" s="144" t="s">
        <v>272</v>
      </c>
      <c r="Z225" s="144" t="s">
        <v>1227</v>
      </c>
      <c r="AA225" s="152"/>
      <c r="AB225" s="152"/>
      <c r="AC225" s="163" t="s">
        <v>2194</v>
      </c>
      <c r="AD225" s="51"/>
    </row>
    <row r="226" spans="1:31" s="104" customFormat="1" ht="43.5">
      <c r="A226" s="398" t="s">
        <v>2201</v>
      </c>
      <c r="B226" s="107" t="s">
        <v>2163</v>
      </c>
      <c r="C226" s="108"/>
      <c r="D226" s="108"/>
      <c r="E226" s="300" t="s">
        <v>2190</v>
      </c>
      <c r="F226" s="176">
        <v>60</v>
      </c>
      <c r="G226" s="176">
        <v>910</v>
      </c>
      <c r="H226" s="144">
        <v>150</v>
      </c>
      <c r="I226" s="176" t="s">
        <v>1247</v>
      </c>
      <c r="J226" s="146" t="s">
        <v>1234</v>
      </c>
      <c r="K226" s="145" t="s">
        <v>2172</v>
      </c>
      <c r="L226" s="147" t="s">
        <v>1236</v>
      </c>
      <c r="M226" s="148">
        <v>150</v>
      </c>
      <c r="N226" s="148" t="s">
        <v>1559</v>
      </c>
      <c r="O226" s="149">
        <v>1</v>
      </c>
      <c r="P226" s="150">
        <v>0</v>
      </c>
      <c r="Q226" s="150" t="s">
        <v>1238</v>
      </c>
      <c r="R226" s="162">
        <v>30</v>
      </c>
      <c r="S226" s="144">
        <v>1</v>
      </c>
      <c r="T226" s="176">
        <v>5</v>
      </c>
      <c r="U226" s="176">
        <v>16</v>
      </c>
      <c r="V226" s="109" t="s">
        <v>1560</v>
      </c>
      <c r="W226" s="335" t="s">
        <v>1240</v>
      </c>
      <c r="X226" s="144" t="s">
        <v>1562</v>
      </c>
      <c r="Y226" s="144" t="s">
        <v>272</v>
      </c>
      <c r="Z226" s="144" t="s">
        <v>1227</v>
      </c>
      <c r="AA226" s="152"/>
      <c r="AB226" s="152"/>
      <c r="AC226" s="163" t="s">
        <v>2194</v>
      </c>
      <c r="AD226" s="51"/>
    </row>
    <row r="227" spans="1:31" s="104" customFormat="1" ht="43.5">
      <c r="A227" s="398" t="s">
        <v>2202</v>
      </c>
      <c r="B227" s="107" t="s">
        <v>2163</v>
      </c>
      <c r="C227" s="108"/>
      <c r="D227" s="108"/>
      <c r="E227" s="300" t="s">
        <v>2190</v>
      </c>
      <c r="F227" s="176">
        <v>60</v>
      </c>
      <c r="G227" s="176">
        <v>910</v>
      </c>
      <c r="H227" s="144">
        <v>150</v>
      </c>
      <c r="I227" s="176" t="s">
        <v>1247</v>
      </c>
      <c r="J227" s="146" t="s">
        <v>1234</v>
      </c>
      <c r="K227" s="145" t="s">
        <v>2172</v>
      </c>
      <c r="L227" s="147" t="s">
        <v>1236</v>
      </c>
      <c r="M227" s="148">
        <v>150</v>
      </c>
      <c r="N227" s="148" t="s">
        <v>1559</v>
      </c>
      <c r="O227" s="149">
        <v>1</v>
      </c>
      <c r="P227" s="150">
        <v>0</v>
      </c>
      <c r="Q227" s="150" t="s">
        <v>1238</v>
      </c>
      <c r="R227" s="162">
        <v>30</v>
      </c>
      <c r="S227" s="144">
        <v>1</v>
      </c>
      <c r="T227" s="176">
        <v>5</v>
      </c>
      <c r="U227" s="176">
        <v>16</v>
      </c>
      <c r="V227" s="109" t="s">
        <v>1560</v>
      </c>
      <c r="W227" s="335" t="s">
        <v>1240</v>
      </c>
      <c r="X227" s="611" t="s">
        <v>1562</v>
      </c>
      <c r="Y227" s="144" t="s">
        <v>272</v>
      </c>
      <c r="Z227" s="144" t="s">
        <v>1227</v>
      </c>
      <c r="AA227" s="152"/>
      <c r="AB227" s="152"/>
      <c r="AC227" s="163" t="s">
        <v>2194</v>
      </c>
      <c r="AD227" s="51"/>
    </row>
    <row r="228" spans="1:31" s="104" customFormat="1" ht="43.5">
      <c r="A228" s="107" t="s">
        <v>2203</v>
      </c>
      <c r="B228" s="107" t="s">
        <v>2163</v>
      </c>
      <c r="C228" s="108"/>
      <c r="D228" s="108"/>
      <c r="E228" s="300" t="s">
        <v>2204</v>
      </c>
      <c r="F228" s="176">
        <v>60</v>
      </c>
      <c r="G228" s="176">
        <v>910</v>
      </c>
      <c r="H228" s="144">
        <v>150</v>
      </c>
      <c r="I228" s="176" t="s">
        <v>1247</v>
      </c>
      <c r="J228" s="146" t="s">
        <v>1234</v>
      </c>
      <c r="K228" s="145" t="s">
        <v>2172</v>
      </c>
      <c r="L228" s="147" t="s">
        <v>1236</v>
      </c>
      <c r="M228" s="148">
        <v>150</v>
      </c>
      <c r="N228" s="148" t="s">
        <v>1559</v>
      </c>
      <c r="O228" s="149">
        <v>1</v>
      </c>
      <c r="P228" s="150">
        <v>0</v>
      </c>
      <c r="Q228" s="150" t="s">
        <v>1238</v>
      </c>
      <c r="R228" s="162">
        <v>30</v>
      </c>
      <c r="S228" s="144">
        <v>1</v>
      </c>
      <c r="T228" s="176">
        <v>5</v>
      </c>
      <c r="U228" s="176">
        <v>16</v>
      </c>
      <c r="V228" s="109" t="s">
        <v>1560</v>
      </c>
      <c r="W228" s="335" t="s">
        <v>1240</v>
      </c>
      <c r="X228" s="611" t="s">
        <v>2205</v>
      </c>
      <c r="Y228" s="144" t="s">
        <v>272</v>
      </c>
      <c r="Z228" s="144" t="s">
        <v>1227</v>
      </c>
      <c r="AA228" s="152"/>
      <c r="AB228" s="152"/>
      <c r="AC228" s="163" t="s">
        <v>2206</v>
      </c>
      <c r="AD228" s="51"/>
    </row>
    <row r="229" spans="1:31" s="104" customFormat="1" ht="43.5">
      <c r="A229" s="107" t="s">
        <v>2207</v>
      </c>
      <c r="B229" s="107" t="s">
        <v>2203</v>
      </c>
      <c r="C229" s="108"/>
      <c r="D229" s="108"/>
      <c r="E229" s="300" t="s">
        <v>2208</v>
      </c>
      <c r="F229" s="176">
        <v>60</v>
      </c>
      <c r="G229" s="176">
        <v>910</v>
      </c>
      <c r="H229" s="144">
        <v>150</v>
      </c>
      <c r="I229" s="176" t="s">
        <v>1247</v>
      </c>
      <c r="J229" s="146" t="s">
        <v>1234</v>
      </c>
      <c r="K229" s="145" t="s">
        <v>2172</v>
      </c>
      <c r="L229" s="147" t="s">
        <v>1236</v>
      </c>
      <c r="M229" s="148">
        <v>150</v>
      </c>
      <c r="N229" s="148" t="s">
        <v>1559</v>
      </c>
      <c r="O229" s="149">
        <v>1</v>
      </c>
      <c r="P229" s="150">
        <v>0</v>
      </c>
      <c r="Q229" s="150" t="s">
        <v>1238</v>
      </c>
      <c r="R229" s="162">
        <v>30</v>
      </c>
      <c r="S229" s="144">
        <v>1</v>
      </c>
      <c r="T229" s="176">
        <v>5</v>
      </c>
      <c r="U229" s="176">
        <v>16</v>
      </c>
      <c r="V229" s="109" t="s">
        <v>1560</v>
      </c>
      <c r="W229" s="335" t="s">
        <v>1240</v>
      </c>
      <c r="X229" s="144" t="s">
        <v>2209</v>
      </c>
      <c r="Y229" s="144" t="s">
        <v>272</v>
      </c>
      <c r="Z229" s="144" t="s">
        <v>1227</v>
      </c>
      <c r="AA229" s="152"/>
      <c r="AB229" s="152"/>
      <c r="AC229" s="163" t="s">
        <v>2210</v>
      </c>
      <c r="AD229" s="51"/>
    </row>
    <row r="230" spans="1:31" s="104" customFormat="1" ht="43.5">
      <c r="A230" s="107" t="s">
        <v>2211</v>
      </c>
      <c r="B230" s="107" t="s">
        <v>2203</v>
      </c>
      <c r="C230" s="108"/>
      <c r="D230" s="108"/>
      <c r="E230" s="300" t="s">
        <v>2212</v>
      </c>
      <c r="F230" s="176">
        <v>60</v>
      </c>
      <c r="G230" s="176">
        <v>910</v>
      </c>
      <c r="H230" s="144">
        <v>150</v>
      </c>
      <c r="I230" s="176" t="s">
        <v>1247</v>
      </c>
      <c r="J230" s="146" t="s">
        <v>1234</v>
      </c>
      <c r="K230" s="145" t="s">
        <v>2172</v>
      </c>
      <c r="L230" s="147" t="s">
        <v>1236</v>
      </c>
      <c r="M230" s="148">
        <v>150</v>
      </c>
      <c r="N230" s="148" t="s">
        <v>1559</v>
      </c>
      <c r="O230" s="149">
        <v>1</v>
      </c>
      <c r="P230" s="150">
        <v>0</v>
      </c>
      <c r="Q230" s="150" t="s">
        <v>1238</v>
      </c>
      <c r="R230" s="162">
        <v>30</v>
      </c>
      <c r="S230" s="144">
        <v>1</v>
      </c>
      <c r="T230" s="176">
        <v>5</v>
      </c>
      <c r="U230" s="176">
        <v>16</v>
      </c>
      <c r="V230" s="109" t="s">
        <v>1560</v>
      </c>
      <c r="W230" s="335" t="s">
        <v>1240</v>
      </c>
      <c r="X230" s="144" t="s">
        <v>2213</v>
      </c>
      <c r="Y230" s="144" t="s">
        <v>272</v>
      </c>
      <c r="Z230" s="144" t="s">
        <v>1227</v>
      </c>
      <c r="AA230" s="152"/>
      <c r="AB230" s="152"/>
      <c r="AC230" s="163" t="s">
        <v>2210</v>
      </c>
      <c r="AD230" s="51"/>
    </row>
    <row r="231" spans="1:31" s="104" customFormat="1" ht="43.5">
      <c r="A231" s="107" t="s">
        <v>2214</v>
      </c>
      <c r="B231" s="107" t="s">
        <v>2203</v>
      </c>
      <c r="C231" s="108"/>
      <c r="D231" s="108"/>
      <c r="E231" s="300" t="s">
        <v>2215</v>
      </c>
      <c r="F231" s="176">
        <v>60</v>
      </c>
      <c r="G231" s="176">
        <v>910</v>
      </c>
      <c r="H231" s="144">
        <v>150</v>
      </c>
      <c r="I231" s="176" t="s">
        <v>1247</v>
      </c>
      <c r="J231" s="146" t="s">
        <v>1234</v>
      </c>
      <c r="K231" s="145" t="s">
        <v>2172</v>
      </c>
      <c r="L231" s="147" t="s">
        <v>1236</v>
      </c>
      <c r="M231" s="148">
        <v>150</v>
      </c>
      <c r="N231" s="148" t="s">
        <v>1559</v>
      </c>
      <c r="O231" s="149">
        <v>1</v>
      </c>
      <c r="P231" s="150">
        <v>0</v>
      </c>
      <c r="Q231" s="150" t="s">
        <v>1238</v>
      </c>
      <c r="R231" s="151">
        <v>20</v>
      </c>
      <c r="S231" s="144">
        <v>1</v>
      </c>
      <c r="T231" s="176">
        <v>5</v>
      </c>
      <c r="U231" s="176">
        <v>16</v>
      </c>
      <c r="V231" s="109" t="s">
        <v>1560</v>
      </c>
      <c r="W231" s="335" t="s">
        <v>1240</v>
      </c>
      <c r="X231" s="144" t="s">
        <v>2205</v>
      </c>
      <c r="Y231" s="144" t="s">
        <v>272</v>
      </c>
      <c r="Z231" s="144" t="s">
        <v>1227</v>
      </c>
      <c r="AA231" s="152"/>
      <c r="AB231" s="152"/>
      <c r="AC231" s="163" t="s">
        <v>2206</v>
      </c>
      <c r="AD231" s="51"/>
    </row>
    <row r="232" spans="1:31" s="104" customFormat="1" ht="43.5">
      <c r="A232" s="107" t="s">
        <v>2216</v>
      </c>
      <c r="B232" s="107" t="s">
        <v>2214</v>
      </c>
      <c r="C232" s="108"/>
      <c r="D232" s="108"/>
      <c r="E232" s="300" t="s">
        <v>2217</v>
      </c>
      <c r="F232" s="176">
        <v>60</v>
      </c>
      <c r="G232" s="176">
        <v>910</v>
      </c>
      <c r="H232" s="144">
        <v>150</v>
      </c>
      <c r="I232" s="176" t="s">
        <v>1247</v>
      </c>
      <c r="J232" s="146" t="s">
        <v>1234</v>
      </c>
      <c r="K232" s="145" t="s">
        <v>2172</v>
      </c>
      <c r="L232" s="147" t="s">
        <v>1236</v>
      </c>
      <c r="M232" s="148">
        <v>150</v>
      </c>
      <c r="N232" s="148" t="s">
        <v>1559</v>
      </c>
      <c r="O232" s="149">
        <v>1</v>
      </c>
      <c r="P232" s="150">
        <v>0</v>
      </c>
      <c r="Q232" s="150" t="s">
        <v>1238</v>
      </c>
      <c r="R232" s="162">
        <v>20</v>
      </c>
      <c r="S232" s="144">
        <v>1</v>
      </c>
      <c r="T232" s="176">
        <v>5</v>
      </c>
      <c r="U232" s="176">
        <v>16</v>
      </c>
      <c r="V232" s="109" t="s">
        <v>1560</v>
      </c>
      <c r="W232" s="335" t="s">
        <v>1240</v>
      </c>
      <c r="X232" s="144" t="s">
        <v>2205</v>
      </c>
      <c r="Y232" s="144" t="s">
        <v>272</v>
      </c>
      <c r="Z232" s="144" t="s">
        <v>1227</v>
      </c>
      <c r="AA232" s="152"/>
      <c r="AB232" s="152"/>
      <c r="AC232" s="163" t="s">
        <v>2206</v>
      </c>
      <c r="AD232" s="51"/>
    </row>
    <row r="233" spans="1:31" s="107" customFormat="1" ht="43.5">
      <c r="A233" s="107" t="s">
        <v>2218</v>
      </c>
      <c r="B233" s="108" t="s">
        <v>2216</v>
      </c>
      <c r="C233" s="108"/>
      <c r="D233" s="108" t="s">
        <v>208</v>
      </c>
      <c r="E233" s="300" t="s">
        <v>2219</v>
      </c>
      <c r="F233" s="176">
        <v>60</v>
      </c>
      <c r="G233" s="176">
        <v>910</v>
      </c>
      <c r="H233" s="144">
        <v>150</v>
      </c>
      <c r="I233" s="176" t="s">
        <v>1247</v>
      </c>
      <c r="J233" s="146" t="s">
        <v>1234</v>
      </c>
      <c r="K233" s="145" t="s">
        <v>2172</v>
      </c>
      <c r="L233" s="147" t="s">
        <v>1236</v>
      </c>
      <c r="M233" s="148">
        <v>150</v>
      </c>
      <c r="N233" s="148" t="s">
        <v>1559</v>
      </c>
      <c r="O233" s="149">
        <v>1</v>
      </c>
      <c r="P233" s="150">
        <v>0</v>
      </c>
      <c r="Q233" s="150" t="s">
        <v>1238</v>
      </c>
      <c r="R233" s="162">
        <v>20</v>
      </c>
      <c r="S233" s="144">
        <v>10</v>
      </c>
      <c r="T233" s="176">
        <v>5</v>
      </c>
      <c r="U233" s="176">
        <v>16</v>
      </c>
      <c r="V233" s="109" t="s">
        <v>1560</v>
      </c>
      <c r="W233" s="335" t="s">
        <v>1240</v>
      </c>
      <c r="X233" s="144" t="s">
        <v>2220</v>
      </c>
      <c r="Y233" s="144" t="s">
        <v>272</v>
      </c>
      <c r="Z233" s="144" t="s">
        <v>1227</v>
      </c>
      <c r="AA233" s="152"/>
      <c r="AB233" s="152"/>
      <c r="AC233" s="163" t="s">
        <v>2206</v>
      </c>
      <c r="AD233" s="411" t="s">
        <v>2221</v>
      </c>
      <c r="AE233" s="101"/>
    </row>
    <row r="234" spans="1:31" s="107" customFormat="1" ht="43.5">
      <c r="A234" s="107" t="s">
        <v>2222</v>
      </c>
      <c r="B234" s="108" t="s">
        <v>2216</v>
      </c>
      <c r="C234" s="108"/>
      <c r="D234" s="108" t="s">
        <v>208</v>
      </c>
      <c r="E234" s="300" t="s">
        <v>2223</v>
      </c>
      <c r="F234" s="176">
        <v>60</v>
      </c>
      <c r="G234" s="176">
        <v>910</v>
      </c>
      <c r="H234" s="144">
        <v>150</v>
      </c>
      <c r="I234" s="176" t="s">
        <v>1247</v>
      </c>
      <c r="J234" s="146" t="s">
        <v>1234</v>
      </c>
      <c r="K234" s="145" t="s">
        <v>2172</v>
      </c>
      <c r="L234" s="147" t="s">
        <v>1236</v>
      </c>
      <c r="M234" s="148">
        <v>150</v>
      </c>
      <c r="N234" s="148" t="s">
        <v>1559</v>
      </c>
      <c r="O234" s="149">
        <v>1</v>
      </c>
      <c r="P234" s="150">
        <v>0</v>
      </c>
      <c r="Q234" s="150" t="s">
        <v>1238</v>
      </c>
      <c r="R234" s="162">
        <v>20</v>
      </c>
      <c r="S234" s="144">
        <v>10</v>
      </c>
      <c r="T234" s="176">
        <v>5</v>
      </c>
      <c r="U234" s="176">
        <v>16</v>
      </c>
      <c r="V234" s="109" t="s">
        <v>1560</v>
      </c>
      <c r="W234" s="335" t="s">
        <v>1240</v>
      </c>
      <c r="X234" s="144" t="s">
        <v>2224</v>
      </c>
      <c r="Y234" s="144" t="s">
        <v>272</v>
      </c>
      <c r="Z234" s="144" t="s">
        <v>1227</v>
      </c>
      <c r="AA234" s="152"/>
      <c r="AB234" s="152"/>
      <c r="AC234" s="163" t="s">
        <v>2206</v>
      </c>
      <c r="AD234" s="411" t="s">
        <v>2225</v>
      </c>
      <c r="AE234" s="101"/>
    </row>
    <row r="235" spans="1:31" s="107" customFormat="1" ht="29.1">
      <c r="A235" s="107" t="s">
        <v>2226</v>
      </c>
      <c r="B235" s="108" t="s">
        <v>2226</v>
      </c>
      <c r="C235" s="108"/>
      <c r="D235" s="108" t="s">
        <v>208</v>
      </c>
      <c r="E235" s="300" t="s">
        <v>2227</v>
      </c>
      <c r="F235" s="176">
        <v>60</v>
      </c>
      <c r="G235" s="176">
        <v>910</v>
      </c>
      <c r="H235" s="144">
        <v>150</v>
      </c>
      <c r="I235" s="176" t="s">
        <v>1247</v>
      </c>
      <c r="J235" s="146" t="s">
        <v>1234</v>
      </c>
      <c r="K235" s="145" t="s">
        <v>2172</v>
      </c>
      <c r="L235" s="147" t="s">
        <v>1236</v>
      </c>
      <c r="M235" s="148">
        <v>150</v>
      </c>
      <c r="N235" s="148" t="s">
        <v>1559</v>
      </c>
      <c r="O235" s="149">
        <v>1</v>
      </c>
      <c r="P235" s="219">
        <v>0.5</v>
      </c>
      <c r="Q235" s="150" t="s">
        <v>1238</v>
      </c>
      <c r="R235" s="162">
        <v>0</v>
      </c>
      <c r="S235" s="144">
        <v>1</v>
      </c>
      <c r="T235" s="176">
        <v>5</v>
      </c>
      <c r="U235" s="176">
        <v>16</v>
      </c>
      <c r="V235" s="109" t="s">
        <v>1560</v>
      </c>
      <c r="W235" s="335" t="s">
        <v>1250</v>
      </c>
      <c r="X235" s="109" t="s">
        <v>272</v>
      </c>
      <c r="Y235" s="109" t="s">
        <v>272</v>
      </c>
      <c r="Z235" s="109"/>
      <c r="AA235" s="114"/>
      <c r="AB235" s="114"/>
      <c r="AC235" s="109"/>
      <c r="AD235" s="101"/>
      <c r="AE235" s="101"/>
    </row>
    <row r="236" spans="1:31" s="107" customFormat="1" ht="43.5">
      <c r="A236" s="107" t="s">
        <v>2228</v>
      </c>
      <c r="B236" s="108" t="s">
        <v>2211</v>
      </c>
      <c r="C236" s="108"/>
      <c r="D236" s="108" t="s">
        <v>208</v>
      </c>
      <c r="E236" s="300" t="s">
        <v>2229</v>
      </c>
      <c r="F236" s="176">
        <v>60</v>
      </c>
      <c r="G236" s="176">
        <v>910</v>
      </c>
      <c r="H236" s="144">
        <v>150</v>
      </c>
      <c r="I236" s="176" t="s">
        <v>1247</v>
      </c>
      <c r="J236" s="146" t="s">
        <v>1234</v>
      </c>
      <c r="K236" s="145" t="s">
        <v>2172</v>
      </c>
      <c r="L236" s="147" t="s">
        <v>1236</v>
      </c>
      <c r="M236" s="148">
        <v>150</v>
      </c>
      <c r="N236" s="148" t="s">
        <v>1559</v>
      </c>
      <c r="O236" s="149">
        <v>1</v>
      </c>
      <c r="P236" s="150">
        <v>0</v>
      </c>
      <c r="Q236" s="150" t="s">
        <v>1238</v>
      </c>
      <c r="R236" s="162">
        <v>20</v>
      </c>
      <c r="S236" s="144">
        <v>10</v>
      </c>
      <c r="T236" s="176">
        <v>5</v>
      </c>
      <c r="U236" s="176">
        <v>16</v>
      </c>
      <c r="V236" s="109" t="s">
        <v>1560</v>
      </c>
      <c r="W236" s="335" t="s">
        <v>1240</v>
      </c>
      <c r="X236" s="144" t="s">
        <v>2230</v>
      </c>
      <c r="Y236" s="109" t="s">
        <v>272</v>
      </c>
      <c r="Z236" s="109"/>
      <c r="AA236" s="114"/>
      <c r="AB236" s="114"/>
      <c r="AC236" s="163" t="s">
        <v>2206</v>
      </c>
      <c r="AD236" s="411" t="s">
        <v>2231</v>
      </c>
      <c r="AE236" s="101"/>
    </row>
    <row r="237" spans="1:31" s="107" customFormat="1" ht="29.1">
      <c r="A237" s="107" t="s">
        <v>1246</v>
      </c>
      <c r="B237" s="107" t="s">
        <v>2226</v>
      </c>
      <c r="C237" s="108"/>
      <c r="D237" s="108" t="s">
        <v>208</v>
      </c>
      <c r="E237" s="300" t="s">
        <v>2232</v>
      </c>
      <c r="F237" s="176">
        <v>60</v>
      </c>
      <c r="G237" s="176">
        <v>910</v>
      </c>
      <c r="H237" s="144">
        <v>150</v>
      </c>
      <c r="I237" s="176" t="s">
        <v>1247</v>
      </c>
      <c r="J237" s="146" t="s">
        <v>1234</v>
      </c>
      <c r="K237" s="145" t="s">
        <v>2172</v>
      </c>
      <c r="L237" s="147" t="s">
        <v>1236</v>
      </c>
      <c r="M237" s="148">
        <v>150</v>
      </c>
      <c r="N237" s="148" t="s">
        <v>1559</v>
      </c>
      <c r="O237" s="149">
        <v>1</v>
      </c>
      <c r="P237" s="219">
        <v>1</v>
      </c>
      <c r="Q237" s="150" t="s">
        <v>1238</v>
      </c>
      <c r="R237" s="162">
        <v>0</v>
      </c>
      <c r="S237" s="144">
        <v>1</v>
      </c>
      <c r="T237" s="176">
        <v>5</v>
      </c>
      <c r="U237" s="176">
        <v>16</v>
      </c>
      <c r="V237" s="109" t="s">
        <v>1560</v>
      </c>
      <c r="W237" s="335" t="s">
        <v>1250</v>
      </c>
      <c r="X237" s="109" t="s">
        <v>272</v>
      </c>
      <c r="Y237" s="109" t="s">
        <v>272</v>
      </c>
      <c r="Z237" s="109"/>
      <c r="AA237" s="114"/>
      <c r="AB237" s="114"/>
      <c r="AC237" s="109"/>
      <c r="AD237" s="101"/>
      <c r="AE237" s="101"/>
    </row>
    <row r="238" spans="1:31" s="104" customFormat="1" ht="43.5">
      <c r="A238" s="107" t="s">
        <v>2233</v>
      </c>
      <c r="B238" s="107" t="s">
        <v>2211</v>
      </c>
      <c r="C238" s="108"/>
      <c r="D238" s="108" t="s">
        <v>208</v>
      </c>
      <c r="E238" s="300" t="s">
        <v>2234</v>
      </c>
      <c r="F238" s="176">
        <v>60</v>
      </c>
      <c r="G238" s="176">
        <v>910</v>
      </c>
      <c r="H238" s="144">
        <v>150</v>
      </c>
      <c r="I238" s="176" t="s">
        <v>1247</v>
      </c>
      <c r="J238" s="146" t="s">
        <v>1234</v>
      </c>
      <c r="K238" s="145" t="s">
        <v>2172</v>
      </c>
      <c r="L238" s="147" t="s">
        <v>1236</v>
      </c>
      <c r="M238" s="148">
        <v>150</v>
      </c>
      <c r="N238" s="148" t="s">
        <v>1559</v>
      </c>
      <c r="O238" s="149">
        <v>1</v>
      </c>
      <c r="P238" s="150">
        <v>0</v>
      </c>
      <c r="Q238" s="150" t="s">
        <v>1238</v>
      </c>
      <c r="R238" s="162">
        <v>20</v>
      </c>
      <c r="S238" s="144">
        <v>1</v>
      </c>
      <c r="T238" s="176">
        <v>5</v>
      </c>
      <c r="U238" s="176">
        <v>16</v>
      </c>
      <c r="V238" s="109" t="s">
        <v>1560</v>
      </c>
      <c r="W238" s="335" t="s">
        <v>1240</v>
      </c>
      <c r="X238" s="144" t="s">
        <v>1241</v>
      </c>
      <c r="Y238" s="144" t="s">
        <v>272</v>
      </c>
      <c r="Z238" s="144" t="s">
        <v>1227</v>
      </c>
      <c r="AA238" s="152"/>
      <c r="AB238" s="152"/>
      <c r="AC238" s="163" t="s">
        <v>2210</v>
      </c>
      <c r="AD238" s="51"/>
    </row>
    <row r="239" spans="1:31" s="107" customFormat="1" ht="29.1">
      <c r="A239" s="107" t="s">
        <v>1245</v>
      </c>
      <c r="B239" s="107" t="s">
        <v>1246</v>
      </c>
      <c r="C239" s="108"/>
      <c r="D239" s="108" t="s">
        <v>208</v>
      </c>
      <c r="E239" s="300" t="s">
        <v>2235</v>
      </c>
      <c r="F239" s="176">
        <v>60</v>
      </c>
      <c r="G239" s="176">
        <v>910</v>
      </c>
      <c r="H239" s="144">
        <v>150</v>
      </c>
      <c r="I239" s="176" t="s">
        <v>1247</v>
      </c>
      <c r="J239" s="146" t="s">
        <v>1234</v>
      </c>
      <c r="K239" s="145" t="s">
        <v>2172</v>
      </c>
      <c r="L239" s="147" t="s">
        <v>1236</v>
      </c>
      <c r="M239" s="148">
        <v>150</v>
      </c>
      <c r="N239" s="148" t="s">
        <v>1559</v>
      </c>
      <c r="O239" s="149">
        <v>1</v>
      </c>
      <c r="P239" s="219">
        <v>5</v>
      </c>
      <c r="Q239" s="150" t="s">
        <v>1238</v>
      </c>
      <c r="R239" s="162">
        <v>0</v>
      </c>
      <c r="S239" s="144">
        <v>1</v>
      </c>
      <c r="T239" s="176">
        <v>5</v>
      </c>
      <c r="U239" s="176">
        <v>16</v>
      </c>
      <c r="V239" s="109" t="s">
        <v>1560</v>
      </c>
      <c r="W239" s="335" t="s">
        <v>1250</v>
      </c>
      <c r="X239" s="109" t="s">
        <v>272</v>
      </c>
      <c r="Y239" s="109" t="s">
        <v>272</v>
      </c>
      <c r="Z239" s="109"/>
      <c r="AA239" s="114"/>
      <c r="AB239" s="114"/>
      <c r="AC239" s="109"/>
      <c r="AD239" s="101"/>
      <c r="AE239" s="101"/>
    </row>
    <row r="240" spans="1:31" s="104" customFormat="1" ht="43.5">
      <c r="A240" s="107" t="s">
        <v>2236</v>
      </c>
      <c r="B240" s="107" t="s">
        <v>2211</v>
      </c>
      <c r="C240" s="108"/>
      <c r="D240" s="108" t="s">
        <v>208</v>
      </c>
      <c r="E240" s="300" t="s">
        <v>2237</v>
      </c>
      <c r="F240" s="176">
        <v>60</v>
      </c>
      <c r="G240" s="176">
        <v>910</v>
      </c>
      <c r="H240" s="144">
        <v>150</v>
      </c>
      <c r="I240" s="176" t="s">
        <v>1247</v>
      </c>
      <c r="J240" s="146" t="s">
        <v>1234</v>
      </c>
      <c r="K240" s="220" t="s">
        <v>2238</v>
      </c>
      <c r="L240" s="147" t="s">
        <v>1236</v>
      </c>
      <c r="M240" s="148">
        <v>150</v>
      </c>
      <c r="N240" s="148" t="s">
        <v>1559</v>
      </c>
      <c r="O240" s="149">
        <v>1</v>
      </c>
      <c r="P240" s="150">
        <v>0</v>
      </c>
      <c r="Q240" s="150" t="s">
        <v>1238</v>
      </c>
      <c r="R240" s="162">
        <v>20</v>
      </c>
      <c r="S240" s="144">
        <v>1</v>
      </c>
      <c r="T240" s="176">
        <v>5</v>
      </c>
      <c r="U240" s="176">
        <v>16</v>
      </c>
      <c r="V240" s="109" t="s">
        <v>1560</v>
      </c>
      <c r="W240" s="335" t="s">
        <v>1240</v>
      </c>
      <c r="X240" s="144" t="s">
        <v>1241</v>
      </c>
      <c r="Y240" s="144" t="s">
        <v>272</v>
      </c>
      <c r="Z240" s="144" t="s">
        <v>1227</v>
      </c>
      <c r="AA240" s="152"/>
      <c r="AB240" s="152"/>
      <c r="AC240" s="163" t="s">
        <v>2210</v>
      </c>
      <c r="AD240" s="51"/>
    </row>
    <row r="241" spans="1:31" s="107" customFormat="1" ht="29.1">
      <c r="A241" s="107" t="s">
        <v>1245</v>
      </c>
      <c r="B241" s="107" t="s">
        <v>1246</v>
      </c>
      <c r="C241" s="108"/>
      <c r="D241" s="108" t="s">
        <v>208</v>
      </c>
      <c r="E241" s="300" t="s">
        <v>2235</v>
      </c>
      <c r="F241" s="176">
        <v>60</v>
      </c>
      <c r="G241" s="176">
        <v>910</v>
      </c>
      <c r="H241" s="144">
        <v>150</v>
      </c>
      <c r="I241" s="176" t="s">
        <v>1247</v>
      </c>
      <c r="J241" s="146" t="s">
        <v>1234</v>
      </c>
      <c r="K241" s="145" t="s">
        <v>2239</v>
      </c>
      <c r="L241" s="147" t="s">
        <v>1236</v>
      </c>
      <c r="M241" s="148">
        <v>150</v>
      </c>
      <c r="N241" s="148" t="s">
        <v>1559</v>
      </c>
      <c r="O241" s="149">
        <v>1</v>
      </c>
      <c r="P241" s="469">
        <v>5</v>
      </c>
      <c r="Q241" s="150" t="s">
        <v>1238</v>
      </c>
      <c r="R241" s="162">
        <v>0</v>
      </c>
      <c r="S241" s="144">
        <v>1</v>
      </c>
      <c r="T241" s="176">
        <v>5</v>
      </c>
      <c r="U241" s="176">
        <v>16</v>
      </c>
      <c r="V241" s="109" t="s">
        <v>1560</v>
      </c>
      <c r="W241" s="335" t="s">
        <v>1250</v>
      </c>
      <c r="X241" s="109" t="s">
        <v>272</v>
      </c>
      <c r="Y241" s="109" t="s">
        <v>272</v>
      </c>
      <c r="Z241" s="109"/>
      <c r="AA241" s="114"/>
      <c r="AB241" s="114"/>
      <c r="AC241" s="109"/>
      <c r="AD241" s="101"/>
      <c r="AE241" s="101"/>
    </row>
    <row r="242" spans="1:31" s="104" customFormat="1" ht="43.5">
      <c r="A242" s="107" t="s">
        <v>2240</v>
      </c>
      <c r="B242" s="107" t="s">
        <v>2240</v>
      </c>
      <c r="C242" s="108"/>
      <c r="D242" s="108" t="s">
        <v>208</v>
      </c>
      <c r="E242" s="300" t="s">
        <v>2234</v>
      </c>
      <c r="F242" s="176">
        <v>60</v>
      </c>
      <c r="G242" s="176">
        <v>910</v>
      </c>
      <c r="H242" s="144">
        <v>150</v>
      </c>
      <c r="I242" s="176" t="s">
        <v>1247</v>
      </c>
      <c r="J242" s="146" t="s">
        <v>1234</v>
      </c>
      <c r="K242" s="145" t="s">
        <v>2239</v>
      </c>
      <c r="L242" s="147" t="s">
        <v>1236</v>
      </c>
      <c r="M242" s="148">
        <v>150</v>
      </c>
      <c r="N242" s="148" t="s">
        <v>1559</v>
      </c>
      <c r="O242" s="149">
        <v>1</v>
      </c>
      <c r="P242" s="469">
        <v>0</v>
      </c>
      <c r="Q242" s="150" t="s">
        <v>1238</v>
      </c>
      <c r="R242" s="162">
        <v>20</v>
      </c>
      <c r="S242" s="144">
        <v>1</v>
      </c>
      <c r="T242" s="176">
        <v>5</v>
      </c>
      <c r="U242" s="176">
        <v>16</v>
      </c>
      <c r="V242" s="109" t="s">
        <v>1560</v>
      </c>
      <c r="W242" s="335" t="s">
        <v>1240</v>
      </c>
      <c r="X242" s="144" t="s">
        <v>1241</v>
      </c>
      <c r="Y242" s="144" t="s">
        <v>272</v>
      </c>
      <c r="Z242" s="144" t="s">
        <v>1227</v>
      </c>
      <c r="AA242" s="152"/>
      <c r="AB242" s="152"/>
      <c r="AC242" s="163" t="s">
        <v>2210</v>
      </c>
      <c r="AD242" s="51"/>
    </row>
    <row r="243" spans="1:31" s="107" customFormat="1" ht="14.45">
      <c r="B243" s="108"/>
      <c r="C243" s="108"/>
      <c r="D243" s="108"/>
      <c r="E243" s="300"/>
      <c r="F243" s="109"/>
      <c r="G243" s="109"/>
      <c r="H243" s="109"/>
      <c r="I243" s="109"/>
      <c r="J243" s="110"/>
      <c r="K243" s="110"/>
      <c r="L243" s="111"/>
      <c r="M243" s="111"/>
      <c r="N243" s="111"/>
      <c r="O243" s="112"/>
      <c r="P243" s="470"/>
      <c r="Q243" s="113"/>
      <c r="R243" s="114"/>
      <c r="S243" s="109"/>
      <c r="T243" s="109"/>
      <c r="U243" s="109"/>
      <c r="V243" s="109" t="s">
        <v>1560</v>
      </c>
      <c r="W243" s="109"/>
      <c r="X243" s="109"/>
      <c r="Y243" s="109"/>
      <c r="Z243" s="109"/>
      <c r="AA243" s="114"/>
      <c r="AB243" s="114"/>
      <c r="AC243" s="106"/>
      <c r="AD243" s="101"/>
      <c r="AE243" s="101"/>
    </row>
    <row r="244" spans="1:31" s="107" customFormat="1" ht="14.45">
      <c r="B244" s="108"/>
      <c r="C244" s="108"/>
      <c r="D244" s="108"/>
      <c r="E244" s="300"/>
      <c r="F244" s="109"/>
      <c r="G244" s="109"/>
      <c r="H244" s="109"/>
      <c r="I244" s="109"/>
      <c r="J244" s="110"/>
      <c r="K244" s="110"/>
      <c r="L244" s="111"/>
      <c r="M244" s="111"/>
      <c r="N244" s="111"/>
      <c r="O244" s="112"/>
      <c r="P244" s="470"/>
      <c r="Q244" s="113"/>
      <c r="R244" s="114"/>
      <c r="S244" s="109"/>
      <c r="T244" s="109"/>
      <c r="U244" s="109"/>
      <c r="V244" s="109" t="s">
        <v>1560</v>
      </c>
      <c r="W244" s="109"/>
      <c r="X244" s="109"/>
      <c r="Y244" s="109"/>
      <c r="Z244" s="109"/>
      <c r="AA244" s="114"/>
      <c r="AB244" s="114"/>
      <c r="AC244" s="106"/>
      <c r="AD244" s="101"/>
      <c r="AE244" s="101"/>
    </row>
    <row r="245" spans="1:31" s="107" customFormat="1" ht="14.45">
      <c r="B245" s="108"/>
      <c r="C245" s="108"/>
      <c r="D245" s="108"/>
      <c r="E245" s="300"/>
      <c r="F245" s="109"/>
      <c r="G245" s="109"/>
      <c r="H245" s="109"/>
      <c r="I245" s="109"/>
      <c r="J245" s="110"/>
      <c r="K245" s="110"/>
      <c r="L245" s="111"/>
      <c r="M245" s="111"/>
      <c r="N245" s="111"/>
      <c r="O245" s="112"/>
      <c r="P245" s="470"/>
      <c r="Q245" s="113"/>
      <c r="R245" s="114"/>
      <c r="S245" s="109"/>
      <c r="T245" s="109"/>
      <c r="U245" s="109"/>
      <c r="V245" s="109" t="s">
        <v>1560</v>
      </c>
      <c r="W245" s="109"/>
      <c r="X245" s="109"/>
      <c r="Y245" s="109"/>
      <c r="Z245" s="109"/>
      <c r="AA245" s="114"/>
      <c r="AB245" s="114"/>
      <c r="AC245" s="106"/>
      <c r="AD245" s="101"/>
      <c r="AE245" s="101"/>
    </row>
    <row r="246" spans="1:31" s="107" customFormat="1" ht="14.45">
      <c r="B246" s="108"/>
      <c r="C246" s="108"/>
      <c r="D246" s="108"/>
      <c r="E246" s="300"/>
      <c r="F246" s="109"/>
      <c r="G246" s="109"/>
      <c r="H246" s="109"/>
      <c r="I246" s="109"/>
      <c r="J246" s="110"/>
      <c r="K246" s="110"/>
      <c r="L246" s="111"/>
      <c r="M246" s="111"/>
      <c r="N246" s="111"/>
      <c r="O246" s="112"/>
      <c r="P246" s="470"/>
      <c r="Q246" s="113"/>
      <c r="R246" s="114"/>
      <c r="S246" s="109"/>
      <c r="T246" s="109"/>
      <c r="U246" s="109"/>
      <c r="V246" s="109" t="s">
        <v>1560</v>
      </c>
      <c r="W246" s="109"/>
      <c r="X246" s="109"/>
      <c r="Y246" s="109"/>
      <c r="Z246" s="109"/>
      <c r="AA246" s="114"/>
      <c r="AB246" s="114"/>
      <c r="AC246" s="106"/>
      <c r="AD246" s="101"/>
      <c r="AE246" s="101"/>
    </row>
    <row r="247" spans="1:31" s="107" customFormat="1" ht="29.1">
      <c r="A247" s="107" t="s">
        <v>1245</v>
      </c>
      <c r="B247" s="107" t="s">
        <v>1246</v>
      </c>
      <c r="C247" s="108"/>
      <c r="D247" s="108" t="s">
        <v>208</v>
      </c>
      <c r="E247" s="300" t="s">
        <v>2235</v>
      </c>
      <c r="F247" s="176">
        <v>60</v>
      </c>
      <c r="G247" s="176">
        <v>910</v>
      </c>
      <c r="H247" s="144">
        <v>150</v>
      </c>
      <c r="I247" s="176" t="s">
        <v>1247</v>
      </c>
      <c r="J247" s="146" t="s">
        <v>1234</v>
      </c>
      <c r="K247" s="145" t="s">
        <v>2239</v>
      </c>
      <c r="L247" s="147" t="s">
        <v>1236</v>
      </c>
      <c r="M247" s="148">
        <v>150</v>
      </c>
      <c r="N247" s="148" t="s">
        <v>1559</v>
      </c>
      <c r="O247" s="149">
        <v>1</v>
      </c>
      <c r="P247" s="469">
        <v>5</v>
      </c>
      <c r="Q247" s="150" t="s">
        <v>1238</v>
      </c>
      <c r="R247" s="162">
        <v>0</v>
      </c>
      <c r="S247" s="144">
        <v>1</v>
      </c>
      <c r="T247" s="176">
        <v>5</v>
      </c>
      <c r="U247" s="176">
        <v>16</v>
      </c>
      <c r="V247" s="109" t="s">
        <v>1560</v>
      </c>
      <c r="W247" s="335" t="s">
        <v>1250</v>
      </c>
      <c r="X247" s="109" t="s">
        <v>272</v>
      </c>
      <c r="Y247" s="109" t="s">
        <v>272</v>
      </c>
      <c r="Z247" s="109"/>
      <c r="AA247" s="114"/>
      <c r="AB247" s="114"/>
      <c r="AC247" s="109"/>
      <c r="AD247" s="101"/>
      <c r="AE247" s="101"/>
    </row>
    <row r="248" spans="1:31" s="104" customFormat="1" ht="43.5">
      <c r="A248" s="107" t="s">
        <v>2241</v>
      </c>
      <c r="B248" s="107" t="s">
        <v>2240</v>
      </c>
      <c r="C248" s="108">
        <v>46176</v>
      </c>
      <c r="D248" s="108" t="s">
        <v>209</v>
      </c>
      <c r="E248" s="300" t="s">
        <v>2234</v>
      </c>
      <c r="F248" s="176">
        <v>60</v>
      </c>
      <c r="G248" s="176">
        <v>910</v>
      </c>
      <c r="H248" s="144">
        <v>150</v>
      </c>
      <c r="I248" s="176" t="s">
        <v>1247</v>
      </c>
      <c r="J248" s="146" t="s">
        <v>1234</v>
      </c>
      <c r="K248" s="145" t="s">
        <v>2239</v>
      </c>
      <c r="L248" s="147" t="s">
        <v>1236</v>
      </c>
      <c r="M248" s="148">
        <v>150</v>
      </c>
      <c r="N248" s="336" t="s">
        <v>1249</v>
      </c>
      <c r="O248" s="149">
        <v>1</v>
      </c>
      <c r="P248" s="469">
        <v>0</v>
      </c>
      <c r="Q248" s="150" t="s">
        <v>1238</v>
      </c>
      <c r="R248" s="162">
        <v>20</v>
      </c>
      <c r="S248" s="144">
        <v>1</v>
      </c>
      <c r="T248" s="176">
        <v>5</v>
      </c>
      <c r="U248" s="176">
        <v>16</v>
      </c>
      <c r="V248" s="109" t="s">
        <v>1560</v>
      </c>
      <c r="W248" s="335" t="s">
        <v>1240</v>
      </c>
      <c r="X248" s="144" t="s">
        <v>1241</v>
      </c>
      <c r="Y248" s="144" t="s">
        <v>272</v>
      </c>
      <c r="Z248" s="144" t="s">
        <v>1227</v>
      </c>
      <c r="AA248" s="152"/>
      <c r="AB248" s="152"/>
      <c r="AC248" s="163" t="s">
        <v>2210</v>
      </c>
      <c r="AD248" s="51"/>
    </row>
    <row r="249" spans="1:31" s="107" customFormat="1" ht="29.1">
      <c r="A249" s="107" t="s">
        <v>1245</v>
      </c>
      <c r="B249" s="107" t="s">
        <v>1246</v>
      </c>
      <c r="C249" s="108">
        <v>46177</v>
      </c>
      <c r="D249" s="108"/>
      <c r="E249" s="300" t="s">
        <v>2235</v>
      </c>
      <c r="F249" s="176">
        <v>60</v>
      </c>
      <c r="G249" s="176">
        <v>910</v>
      </c>
      <c r="H249" s="144">
        <v>150</v>
      </c>
      <c r="I249" s="176" t="s">
        <v>1247</v>
      </c>
      <c r="J249" s="146" t="s">
        <v>1234</v>
      </c>
      <c r="K249" s="145" t="s">
        <v>2239</v>
      </c>
      <c r="L249" s="147" t="s">
        <v>1236</v>
      </c>
      <c r="M249" s="148">
        <v>150</v>
      </c>
      <c r="N249" s="148" t="s">
        <v>1249</v>
      </c>
      <c r="O249" s="149">
        <v>1</v>
      </c>
      <c r="P249" s="469">
        <v>5</v>
      </c>
      <c r="Q249" s="150" t="s">
        <v>1238</v>
      </c>
      <c r="R249" s="162">
        <v>0</v>
      </c>
      <c r="S249" s="144">
        <v>1</v>
      </c>
      <c r="T249" s="176">
        <v>5</v>
      </c>
      <c r="U249" s="176">
        <v>16</v>
      </c>
      <c r="V249" s="109" t="s">
        <v>1560</v>
      </c>
      <c r="W249" s="335" t="s">
        <v>1250</v>
      </c>
      <c r="X249" s="109" t="s">
        <v>272</v>
      </c>
      <c r="Y249" s="109" t="s">
        <v>272</v>
      </c>
      <c r="Z249" s="109"/>
      <c r="AA249" s="114"/>
      <c r="AB249" s="114"/>
      <c r="AC249" s="109"/>
      <c r="AD249" s="101"/>
      <c r="AE249" s="101"/>
    </row>
    <row r="250" spans="1:31" s="104" customFormat="1" ht="43.5">
      <c r="A250" s="107" t="s">
        <v>2242</v>
      </c>
      <c r="B250" s="107" t="s">
        <v>2240</v>
      </c>
      <c r="C250" s="108">
        <v>46177</v>
      </c>
      <c r="D250" s="108"/>
      <c r="E250" s="300" t="s">
        <v>2234</v>
      </c>
      <c r="F250" s="176">
        <v>60</v>
      </c>
      <c r="G250" s="176">
        <v>910</v>
      </c>
      <c r="H250" s="144">
        <v>150</v>
      </c>
      <c r="I250" s="176" t="s">
        <v>1247</v>
      </c>
      <c r="J250" s="146" t="s">
        <v>1234</v>
      </c>
      <c r="K250" s="145" t="s">
        <v>2239</v>
      </c>
      <c r="L250" s="147" t="s">
        <v>1236</v>
      </c>
      <c r="M250" s="148">
        <v>150</v>
      </c>
      <c r="N250" s="148" t="s">
        <v>1237</v>
      </c>
      <c r="O250" s="149">
        <v>1</v>
      </c>
      <c r="P250" s="469">
        <v>0</v>
      </c>
      <c r="Q250" s="150" t="s">
        <v>1238</v>
      </c>
      <c r="R250" s="162">
        <v>20</v>
      </c>
      <c r="S250" s="144">
        <v>1</v>
      </c>
      <c r="T250" s="176">
        <v>5</v>
      </c>
      <c r="U250" s="176">
        <v>16</v>
      </c>
      <c r="V250" s="109" t="s">
        <v>1560</v>
      </c>
      <c r="W250" s="335" t="s">
        <v>1240</v>
      </c>
      <c r="X250" s="144" t="s">
        <v>1241</v>
      </c>
      <c r="Y250" s="144" t="s">
        <v>272</v>
      </c>
      <c r="Z250" s="144" t="s">
        <v>1227</v>
      </c>
      <c r="AA250" s="152"/>
      <c r="AB250" s="152"/>
      <c r="AC250" s="163" t="s">
        <v>2210</v>
      </c>
      <c r="AD250" s="51"/>
    </row>
    <row r="251" spans="1:31" s="107" customFormat="1" ht="29.1">
      <c r="A251" s="107" t="s">
        <v>1245</v>
      </c>
      <c r="B251" s="107" t="s">
        <v>1246</v>
      </c>
      <c r="C251" s="108">
        <v>46177</v>
      </c>
      <c r="D251" s="108"/>
      <c r="E251" s="300" t="s">
        <v>2235</v>
      </c>
      <c r="F251" s="176">
        <v>60</v>
      </c>
      <c r="G251" s="176">
        <v>910</v>
      </c>
      <c r="H251" s="144">
        <v>150</v>
      </c>
      <c r="I251" s="176" t="s">
        <v>1247</v>
      </c>
      <c r="J251" s="146" t="s">
        <v>1234</v>
      </c>
      <c r="K251" s="145" t="s">
        <v>2239</v>
      </c>
      <c r="L251" s="147" t="s">
        <v>1236</v>
      </c>
      <c r="M251" s="148">
        <v>150</v>
      </c>
      <c r="N251" s="148" t="s">
        <v>1249</v>
      </c>
      <c r="O251" s="149">
        <v>1</v>
      </c>
      <c r="P251" s="469">
        <v>5</v>
      </c>
      <c r="Q251" s="150" t="s">
        <v>1238</v>
      </c>
      <c r="R251" s="162">
        <v>0</v>
      </c>
      <c r="S251" s="144">
        <v>1</v>
      </c>
      <c r="T251" s="176">
        <v>5</v>
      </c>
      <c r="U251" s="176">
        <v>16</v>
      </c>
      <c r="V251" s="109" t="s">
        <v>1560</v>
      </c>
      <c r="W251" s="335" t="s">
        <v>1250</v>
      </c>
      <c r="X251" s="109" t="s">
        <v>272</v>
      </c>
      <c r="Y251" s="109" t="s">
        <v>272</v>
      </c>
      <c r="Z251" s="109"/>
      <c r="AA251" s="114"/>
      <c r="AB251" s="114"/>
      <c r="AC251" s="109"/>
      <c r="AD251" s="101"/>
      <c r="AE251" s="101"/>
    </row>
    <row r="252" spans="1:31" s="104" customFormat="1" ht="43.5">
      <c r="A252" s="107" t="s">
        <v>2243</v>
      </c>
      <c r="B252" s="107" t="s">
        <v>2240</v>
      </c>
      <c r="C252" s="108">
        <v>46177</v>
      </c>
      <c r="D252" s="108"/>
      <c r="E252" s="300" t="s">
        <v>2234</v>
      </c>
      <c r="F252" s="176">
        <v>60</v>
      </c>
      <c r="G252" s="176">
        <v>910</v>
      </c>
      <c r="H252" s="144">
        <v>150</v>
      </c>
      <c r="I252" s="176" t="s">
        <v>1247</v>
      </c>
      <c r="J252" s="146" t="s">
        <v>1234</v>
      </c>
      <c r="K252" s="145" t="s">
        <v>2239</v>
      </c>
      <c r="L252" s="147" t="s">
        <v>1236</v>
      </c>
      <c r="M252" s="148">
        <v>150</v>
      </c>
      <c r="N252" s="148" t="s">
        <v>1237</v>
      </c>
      <c r="O252" s="149">
        <v>1</v>
      </c>
      <c r="P252" s="469">
        <v>0</v>
      </c>
      <c r="Q252" s="150" t="s">
        <v>1238</v>
      </c>
      <c r="R252" s="162">
        <v>20</v>
      </c>
      <c r="S252" s="144">
        <v>1</v>
      </c>
      <c r="T252" s="172">
        <v>7</v>
      </c>
      <c r="U252" s="176">
        <v>16</v>
      </c>
      <c r="V252" s="109" t="s">
        <v>1560</v>
      </c>
      <c r="W252" s="335" t="s">
        <v>1240</v>
      </c>
      <c r="X252" s="144" t="s">
        <v>1241</v>
      </c>
      <c r="Y252" s="144" t="s">
        <v>272</v>
      </c>
      <c r="Z252" s="144" t="s">
        <v>1227</v>
      </c>
      <c r="AA252" s="152"/>
      <c r="AB252" s="152"/>
      <c r="AC252" s="163" t="s">
        <v>2210</v>
      </c>
      <c r="AD252" s="51"/>
    </row>
    <row r="253" spans="1:31" s="107" customFormat="1" ht="29.1">
      <c r="A253" s="107" t="s">
        <v>1245</v>
      </c>
      <c r="B253" s="107" t="s">
        <v>1246</v>
      </c>
      <c r="C253" s="108">
        <v>46178</v>
      </c>
      <c r="D253" s="108"/>
      <c r="E253" s="300" t="s">
        <v>2235</v>
      </c>
      <c r="F253" s="176">
        <v>60</v>
      </c>
      <c r="G253" s="176">
        <v>910</v>
      </c>
      <c r="H253" s="144">
        <v>150</v>
      </c>
      <c r="I253" s="176" t="s">
        <v>1247</v>
      </c>
      <c r="J253" s="146" t="s">
        <v>1234</v>
      </c>
      <c r="K253" s="145" t="s">
        <v>2239</v>
      </c>
      <c r="L253" s="147" t="s">
        <v>1236</v>
      </c>
      <c r="M253" s="148">
        <v>150</v>
      </c>
      <c r="N253" s="148" t="s">
        <v>1249</v>
      </c>
      <c r="O253" s="149">
        <v>1</v>
      </c>
      <c r="P253" s="469">
        <v>5</v>
      </c>
      <c r="Q253" s="150" t="s">
        <v>1238</v>
      </c>
      <c r="R253" s="162">
        <v>0</v>
      </c>
      <c r="S253" s="144">
        <v>1</v>
      </c>
      <c r="T253" s="176">
        <v>5</v>
      </c>
      <c r="U253" s="176">
        <v>16</v>
      </c>
      <c r="V253" s="109" t="s">
        <v>1560</v>
      </c>
      <c r="W253" s="335" t="s">
        <v>1250</v>
      </c>
      <c r="X253" s="109" t="s">
        <v>272</v>
      </c>
      <c r="Y253" s="109" t="s">
        <v>272</v>
      </c>
      <c r="Z253" s="109"/>
      <c r="AA253" s="114"/>
      <c r="AB253" s="114"/>
      <c r="AC253" s="109"/>
      <c r="AD253" s="101"/>
      <c r="AE253" s="101"/>
    </row>
    <row r="254" spans="1:31" s="104" customFormat="1" ht="43.5">
      <c r="A254" s="107" t="s">
        <v>2244</v>
      </c>
      <c r="B254" s="107" t="s">
        <v>2240</v>
      </c>
      <c r="C254" s="108">
        <v>46178</v>
      </c>
      <c r="D254" s="108"/>
      <c r="E254" s="300" t="s">
        <v>2245</v>
      </c>
      <c r="F254" s="176">
        <v>60</v>
      </c>
      <c r="G254" s="176">
        <v>910</v>
      </c>
      <c r="H254" s="144">
        <v>150</v>
      </c>
      <c r="I254" s="176" t="s">
        <v>1247</v>
      </c>
      <c r="J254" s="146" t="s">
        <v>1234</v>
      </c>
      <c r="K254" s="145" t="s">
        <v>2239</v>
      </c>
      <c r="L254" s="147" t="s">
        <v>1236</v>
      </c>
      <c r="M254" s="148">
        <v>300</v>
      </c>
      <c r="N254" s="148" t="s">
        <v>1237</v>
      </c>
      <c r="O254" s="149">
        <v>1</v>
      </c>
      <c r="P254" s="469">
        <v>0</v>
      </c>
      <c r="Q254" s="150" t="s">
        <v>1238</v>
      </c>
      <c r="R254" s="162">
        <v>20</v>
      </c>
      <c r="S254" s="144">
        <v>1</v>
      </c>
      <c r="T254" s="176">
        <v>5</v>
      </c>
      <c r="U254" s="176">
        <v>16</v>
      </c>
      <c r="V254" s="109" t="s">
        <v>1560</v>
      </c>
      <c r="W254" s="335" t="s">
        <v>1240</v>
      </c>
      <c r="X254" s="144" t="s">
        <v>1241</v>
      </c>
      <c r="Y254" s="144" t="s">
        <v>272</v>
      </c>
      <c r="Z254" s="144" t="s">
        <v>1227</v>
      </c>
      <c r="AA254" s="152"/>
      <c r="AB254" s="152"/>
      <c r="AC254" s="163" t="s">
        <v>2210</v>
      </c>
      <c r="AD254" s="51"/>
    </row>
    <row r="255" spans="1:31" s="107" customFormat="1" ht="29.1">
      <c r="A255" s="107" t="s">
        <v>1245</v>
      </c>
      <c r="B255" s="107" t="s">
        <v>1246</v>
      </c>
      <c r="C255" s="108">
        <v>46178</v>
      </c>
      <c r="D255" s="108"/>
      <c r="E255" s="300" t="s">
        <v>2235</v>
      </c>
      <c r="F255" s="176">
        <v>60</v>
      </c>
      <c r="G255" s="176">
        <v>910</v>
      </c>
      <c r="H255" s="144">
        <v>150</v>
      </c>
      <c r="I255" s="176" t="s">
        <v>1247</v>
      </c>
      <c r="J255" s="146" t="s">
        <v>1234</v>
      </c>
      <c r="K255" s="145" t="s">
        <v>2239</v>
      </c>
      <c r="L255" s="147" t="s">
        <v>1236</v>
      </c>
      <c r="M255" s="148">
        <v>150</v>
      </c>
      <c r="N255" s="148" t="s">
        <v>1249</v>
      </c>
      <c r="O255" s="149">
        <v>1</v>
      </c>
      <c r="P255" s="469">
        <v>5</v>
      </c>
      <c r="Q255" s="150" t="s">
        <v>1238</v>
      </c>
      <c r="R255" s="162">
        <v>0</v>
      </c>
      <c r="S255" s="144">
        <v>1</v>
      </c>
      <c r="T255" s="176">
        <v>5</v>
      </c>
      <c r="U255" s="176">
        <v>16</v>
      </c>
      <c r="V255" s="109" t="s">
        <v>1560</v>
      </c>
      <c r="W255" s="335" t="s">
        <v>1250</v>
      </c>
      <c r="X255" s="109" t="s">
        <v>272</v>
      </c>
      <c r="Y255" s="109" t="s">
        <v>272</v>
      </c>
      <c r="Z255" s="109"/>
      <c r="AA255" s="114"/>
      <c r="AB255" s="114"/>
      <c r="AC255" s="109"/>
      <c r="AD255" s="101"/>
      <c r="AE255" s="101"/>
    </row>
    <row r="256" spans="1:31" s="104" customFormat="1" ht="43.5">
      <c r="A256" s="107" t="s">
        <v>2246</v>
      </c>
      <c r="B256" s="107" t="s">
        <v>2240</v>
      </c>
      <c r="C256" s="108"/>
      <c r="D256" s="108" t="s">
        <v>208</v>
      </c>
      <c r="E256" s="300" t="s">
        <v>2245</v>
      </c>
      <c r="F256" s="176">
        <v>60</v>
      </c>
      <c r="G256" s="176">
        <v>910</v>
      </c>
      <c r="H256" s="144">
        <v>150</v>
      </c>
      <c r="I256" s="176" t="s">
        <v>1247</v>
      </c>
      <c r="J256" s="146" t="s">
        <v>1234</v>
      </c>
      <c r="K256" s="145" t="s">
        <v>2239</v>
      </c>
      <c r="L256" s="147" t="s">
        <v>1236</v>
      </c>
      <c r="M256" s="148">
        <v>300</v>
      </c>
      <c r="N256" s="148" t="s">
        <v>1237</v>
      </c>
      <c r="O256" s="149">
        <v>1</v>
      </c>
      <c r="P256" s="469">
        <v>0</v>
      </c>
      <c r="Q256" s="150" t="s">
        <v>1238</v>
      </c>
      <c r="R256" s="162">
        <v>20</v>
      </c>
      <c r="S256" s="144">
        <v>1</v>
      </c>
      <c r="T256" s="176">
        <v>5</v>
      </c>
      <c r="U256" s="176">
        <v>16</v>
      </c>
      <c r="V256" s="109" t="s">
        <v>1560</v>
      </c>
      <c r="W256" s="335" t="s">
        <v>1240</v>
      </c>
      <c r="X256" s="144" t="s">
        <v>1241</v>
      </c>
      <c r="Y256" s="144" t="s">
        <v>272</v>
      </c>
      <c r="Z256" s="144" t="s">
        <v>1227</v>
      </c>
      <c r="AA256" s="152"/>
      <c r="AB256" s="152"/>
      <c r="AC256" s="163" t="s">
        <v>2210</v>
      </c>
      <c r="AD256" s="51"/>
    </row>
    <row r="257" spans="1:32" s="107" customFormat="1" ht="29.1">
      <c r="A257" s="107" t="s">
        <v>1245</v>
      </c>
      <c r="B257" s="107" t="s">
        <v>1246</v>
      </c>
      <c r="C257" s="108"/>
      <c r="D257" s="108"/>
      <c r="E257" s="300" t="s">
        <v>2235</v>
      </c>
      <c r="F257" s="176">
        <v>60</v>
      </c>
      <c r="G257" s="176">
        <v>910</v>
      </c>
      <c r="H257" s="144">
        <v>150</v>
      </c>
      <c r="I257" s="176" t="s">
        <v>1247</v>
      </c>
      <c r="J257" s="146" t="s">
        <v>1234</v>
      </c>
      <c r="K257" s="145" t="s">
        <v>2239</v>
      </c>
      <c r="L257" s="147" t="s">
        <v>1236</v>
      </c>
      <c r="M257" s="148">
        <v>150</v>
      </c>
      <c r="N257" s="148" t="s">
        <v>1249</v>
      </c>
      <c r="O257" s="149">
        <v>1</v>
      </c>
      <c r="P257" s="469">
        <v>5</v>
      </c>
      <c r="Q257" s="150" t="s">
        <v>1238</v>
      </c>
      <c r="R257" s="162">
        <v>0</v>
      </c>
      <c r="S257" s="144">
        <v>1</v>
      </c>
      <c r="T257" s="176">
        <v>5</v>
      </c>
      <c r="U257" s="176">
        <v>16</v>
      </c>
      <c r="V257" s="109" t="s">
        <v>1560</v>
      </c>
      <c r="W257" s="335" t="s">
        <v>1250</v>
      </c>
      <c r="X257" s="109" t="s">
        <v>272</v>
      </c>
      <c r="Y257" s="109" t="s">
        <v>272</v>
      </c>
      <c r="Z257" s="109"/>
      <c r="AA257" s="114"/>
      <c r="AB257" s="114"/>
      <c r="AC257" s="109"/>
      <c r="AD257" s="101"/>
      <c r="AE257" s="101"/>
    </row>
    <row r="258" spans="1:32" s="107" customFormat="1" ht="43.5">
      <c r="A258" s="107" t="s">
        <v>2247</v>
      </c>
      <c r="B258" s="107" t="s">
        <v>2246</v>
      </c>
      <c r="C258" s="108">
        <v>46181</v>
      </c>
      <c r="D258" s="108" t="s">
        <v>2248</v>
      </c>
      <c r="E258" s="300" t="s">
        <v>2245</v>
      </c>
      <c r="F258" s="176">
        <v>60</v>
      </c>
      <c r="G258" s="176">
        <v>910</v>
      </c>
      <c r="H258" s="144">
        <v>150</v>
      </c>
      <c r="I258" s="176" t="s">
        <v>1247</v>
      </c>
      <c r="J258" s="146" t="s">
        <v>1234</v>
      </c>
      <c r="K258" s="145" t="s">
        <v>2239</v>
      </c>
      <c r="L258" s="147" t="s">
        <v>1236</v>
      </c>
      <c r="M258" s="148">
        <v>300</v>
      </c>
      <c r="N258" s="148" t="s">
        <v>1237</v>
      </c>
      <c r="O258" s="149">
        <v>1</v>
      </c>
      <c r="P258" s="469">
        <v>0</v>
      </c>
      <c r="Q258" s="150" t="s">
        <v>1238</v>
      </c>
      <c r="R258" s="162">
        <v>20</v>
      </c>
      <c r="S258" s="144">
        <v>1</v>
      </c>
      <c r="T258" s="176">
        <v>5</v>
      </c>
      <c r="U258" s="176">
        <v>16</v>
      </c>
      <c r="V258" s="109" t="s">
        <v>1560</v>
      </c>
      <c r="W258" s="335" t="s">
        <v>1240</v>
      </c>
      <c r="X258" s="144" t="s">
        <v>1241</v>
      </c>
      <c r="Y258" s="144" t="s">
        <v>272</v>
      </c>
      <c r="Z258" s="144" t="s">
        <v>1227</v>
      </c>
      <c r="AA258" s="152"/>
      <c r="AB258" s="152"/>
      <c r="AC258" s="163" t="s">
        <v>2210</v>
      </c>
      <c r="AD258" s="51"/>
      <c r="AE258" s="104"/>
      <c r="AF258" s="104"/>
    </row>
    <row r="259" spans="1:32" s="107" customFormat="1" ht="29.1">
      <c r="A259" s="107" t="s">
        <v>1245</v>
      </c>
      <c r="B259" s="107" t="s">
        <v>1246</v>
      </c>
      <c r="C259" s="108">
        <v>46181</v>
      </c>
      <c r="D259" s="108" t="s">
        <v>2248</v>
      </c>
      <c r="E259" s="300" t="s">
        <v>2235</v>
      </c>
      <c r="F259" s="176">
        <v>60</v>
      </c>
      <c r="G259" s="176">
        <v>910</v>
      </c>
      <c r="H259" s="144">
        <v>150</v>
      </c>
      <c r="I259" s="176" t="s">
        <v>1247</v>
      </c>
      <c r="J259" s="146" t="s">
        <v>1234</v>
      </c>
      <c r="K259" s="145" t="s">
        <v>2239</v>
      </c>
      <c r="L259" s="147" t="s">
        <v>1236</v>
      </c>
      <c r="M259" s="148">
        <v>150</v>
      </c>
      <c r="N259" s="148" t="s">
        <v>1249</v>
      </c>
      <c r="O259" s="149">
        <v>1</v>
      </c>
      <c r="P259" s="469">
        <v>5</v>
      </c>
      <c r="Q259" s="150" t="s">
        <v>1238</v>
      </c>
      <c r="R259" s="162">
        <v>0</v>
      </c>
      <c r="S259" s="144">
        <v>1</v>
      </c>
      <c r="T259" s="176">
        <v>5</v>
      </c>
      <c r="U259" s="176">
        <v>16</v>
      </c>
      <c r="V259" s="109" t="s">
        <v>1560</v>
      </c>
      <c r="W259" s="335" t="s">
        <v>1250</v>
      </c>
      <c r="X259" s="109" t="s">
        <v>272</v>
      </c>
      <c r="Y259" s="109" t="s">
        <v>272</v>
      </c>
      <c r="Z259" s="109"/>
      <c r="AA259" s="114"/>
      <c r="AB259" s="114"/>
      <c r="AC259" s="109"/>
      <c r="AD259" s="101"/>
      <c r="AE259" s="101"/>
    </row>
    <row r="260" spans="1:32" s="107" customFormat="1" ht="43.5">
      <c r="A260" s="390" t="s">
        <v>2249</v>
      </c>
      <c r="B260" s="107" t="s">
        <v>2246</v>
      </c>
      <c r="C260" s="108">
        <v>46181</v>
      </c>
      <c r="D260" s="108" t="s">
        <v>209</v>
      </c>
      <c r="E260" s="300" t="s">
        <v>2250</v>
      </c>
      <c r="F260" s="176">
        <v>60</v>
      </c>
      <c r="G260" s="176">
        <v>910</v>
      </c>
      <c r="H260" s="144">
        <v>150</v>
      </c>
      <c r="I260" s="176" t="s">
        <v>1247</v>
      </c>
      <c r="J260" s="146" t="s">
        <v>1234</v>
      </c>
      <c r="K260" s="145" t="s">
        <v>2239</v>
      </c>
      <c r="L260" s="147" t="s">
        <v>1236</v>
      </c>
      <c r="M260" s="148">
        <v>300</v>
      </c>
      <c r="N260" s="148" t="s">
        <v>1237</v>
      </c>
      <c r="O260" s="149">
        <v>1</v>
      </c>
      <c r="P260" s="469">
        <v>0</v>
      </c>
      <c r="Q260" s="150" t="s">
        <v>1238</v>
      </c>
      <c r="R260" s="162">
        <v>20</v>
      </c>
      <c r="S260" s="144">
        <v>1</v>
      </c>
      <c r="T260" s="176">
        <v>5</v>
      </c>
      <c r="U260" s="176">
        <v>16</v>
      </c>
      <c r="V260" s="109" t="s">
        <v>1560</v>
      </c>
      <c r="W260" s="335" t="s">
        <v>1240</v>
      </c>
      <c r="X260" s="144" t="s">
        <v>1241</v>
      </c>
      <c r="Y260" s="144" t="s">
        <v>272</v>
      </c>
      <c r="Z260" s="144" t="s">
        <v>1227</v>
      </c>
      <c r="AA260" s="152"/>
      <c r="AB260" s="152"/>
      <c r="AC260" s="163" t="s">
        <v>2210</v>
      </c>
      <c r="AD260" s="51"/>
      <c r="AE260" s="104"/>
      <c r="AF260" s="104"/>
    </row>
    <row r="261" spans="1:32" s="107" customFormat="1" ht="29.1">
      <c r="A261" s="107" t="s">
        <v>1245</v>
      </c>
      <c r="B261" s="107" t="s">
        <v>1246</v>
      </c>
      <c r="C261" s="108">
        <v>46182</v>
      </c>
      <c r="D261" s="108" t="s">
        <v>208</v>
      </c>
      <c r="E261" s="300" t="s">
        <v>2235</v>
      </c>
      <c r="F261" s="176">
        <v>60</v>
      </c>
      <c r="G261" s="176">
        <v>910</v>
      </c>
      <c r="H261" s="144">
        <v>150</v>
      </c>
      <c r="I261" s="176" t="s">
        <v>1247</v>
      </c>
      <c r="J261" s="146" t="s">
        <v>1234</v>
      </c>
      <c r="K261" s="145" t="s">
        <v>2239</v>
      </c>
      <c r="L261" s="147" t="s">
        <v>1236</v>
      </c>
      <c r="M261" s="148">
        <v>150</v>
      </c>
      <c r="N261" s="148" t="s">
        <v>1249</v>
      </c>
      <c r="O261" s="149">
        <v>1</v>
      </c>
      <c r="P261" s="469">
        <v>5</v>
      </c>
      <c r="Q261" s="150" t="s">
        <v>1238</v>
      </c>
      <c r="R261" s="162">
        <v>0</v>
      </c>
      <c r="S261" s="144">
        <v>1</v>
      </c>
      <c r="T261" s="176">
        <v>5</v>
      </c>
      <c r="U261" s="176">
        <v>16</v>
      </c>
      <c r="V261" s="109" t="s">
        <v>1560</v>
      </c>
      <c r="W261" s="335" t="s">
        <v>1250</v>
      </c>
      <c r="X261" s="109" t="s">
        <v>272</v>
      </c>
      <c r="Y261" s="109" t="s">
        <v>272</v>
      </c>
      <c r="Z261" s="109"/>
      <c r="AA261" s="114"/>
      <c r="AB261" s="114"/>
      <c r="AC261" s="109"/>
      <c r="AD261" s="101"/>
      <c r="AE261" s="101"/>
    </row>
    <row r="262" spans="1:32" s="107" customFormat="1" ht="43.5">
      <c r="A262" s="107" t="s">
        <v>2251</v>
      </c>
      <c r="B262" s="107" t="s">
        <v>2246</v>
      </c>
      <c r="C262" s="108">
        <v>46182</v>
      </c>
      <c r="D262" s="108" t="s">
        <v>2252</v>
      </c>
      <c r="E262" s="617" t="s">
        <v>2253</v>
      </c>
      <c r="F262" s="176">
        <v>60</v>
      </c>
      <c r="G262" s="176">
        <v>910</v>
      </c>
      <c r="H262" s="144">
        <v>150</v>
      </c>
      <c r="I262" s="176" t="s">
        <v>1247</v>
      </c>
      <c r="J262" s="146" t="s">
        <v>1234</v>
      </c>
      <c r="K262" s="145" t="s">
        <v>2239</v>
      </c>
      <c r="L262" s="147" t="s">
        <v>1236</v>
      </c>
      <c r="M262" s="148">
        <v>300</v>
      </c>
      <c r="N262" s="148" t="s">
        <v>1237</v>
      </c>
      <c r="O262" s="149">
        <v>1</v>
      </c>
      <c r="P262" s="469">
        <v>0</v>
      </c>
      <c r="Q262" s="150" t="s">
        <v>1238</v>
      </c>
      <c r="R262" s="162">
        <v>20</v>
      </c>
      <c r="S262" s="144">
        <v>1</v>
      </c>
      <c r="T262" s="176">
        <v>5</v>
      </c>
      <c r="U262" s="176">
        <v>16</v>
      </c>
      <c r="V262" s="109" t="s">
        <v>1560</v>
      </c>
      <c r="W262" s="335" t="s">
        <v>1240</v>
      </c>
      <c r="X262" s="144" t="s">
        <v>1241</v>
      </c>
      <c r="Y262" s="144" t="s">
        <v>272</v>
      </c>
      <c r="Z262" s="144" t="s">
        <v>1227</v>
      </c>
      <c r="AA262" s="152"/>
      <c r="AB262" s="152"/>
      <c r="AC262" s="163" t="s">
        <v>2254</v>
      </c>
      <c r="AD262" s="51"/>
      <c r="AE262" s="104"/>
      <c r="AF262" s="104"/>
    </row>
    <row r="263" spans="1:32" s="107" customFormat="1" ht="29.1">
      <c r="A263" s="107" t="s">
        <v>1245</v>
      </c>
      <c r="B263" s="107" t="s">
        <v>1246</v>
      </c>
      <c r="C263" s="108">
        <v>46182</v>
      </c>
      <c r="D263" s="108" t="s">
        <v>2248</v>
      </c>
      <c r="E263" s="300" t="s">
        <v>2235</v>
      </c>
      <c r="F263" s="176">
        <v>60</v>
      </c>
      <c r="G263" s="176">
        <v>910</v>
      </c>
      <c r="H263" s="144">
        <v>150</v>
      </c>
      <c r="I263" s="176" t="s">
        <v>1247</v>
      </c>
      <c r="J263" s="146" t="s">
        <v>1234</v>
      </c>
      <c r="K263" s="145" t="s">
        <v>2239</v>
      </c>
      <c r="L263" s="147" t="s">
        <v>1236</v>
      </c>
      <c r="M263" s="148">
        <v>150</v>
      </c>
      <c r="N263" s="148" t="s">
        <v>1249</v>
      </c>
      <c r="O263" s="149">
        <v>1</v>
      </c>
      <c r="P263" s="469">
        <v>5</v>
      </c>
      <c r="Q263" s="150" t="s">
        <v>1238</v>
      </c>
      <c r="R263" s="162">
        <v>0</v>
      </c>
      <c r="S263" s="144">
        <v>1</v>
      </c>
      <c r="T263" s="176">
        <v>5</v>
      </c>
      <c r="U263" s="176">
        <v>16</v>
      </c>
      <c r="V263" s="109" t="s">
        <v>1560</v>
      </c>
      <c r="W263" s="335" t="s">
        <v>1250</v>
      </c>
      <c r="X263" s="109" t="s">
        <v>272</v>
      </c>
      <c r="Y263" s="109" t="s">
        <v>272</v>
      </c>
      <c r="Z263" s="109"/>
      <c r="AA263" s="114"/>
      <c r="AB263" s="114"/>
      <c r="AC263" s="109"/>
      <c r="AD263" s="101"/>
      <c r="AE263" s="101"/>
    </row>
    <row r="264" spans="1:32" s="107" customFormat="1" ht="43.5">
      <c r="A264" s="107" t="s">
        <v>2255</v>
      </c>
      <c r="B264" s="107" t="s">
        <v>2246</v>
      </c>
      <c r="C264" s="108">
        <v>46182</v>
      </c>
      <c r="D264" s="108" t="s">
        <v>2248</v>
      </c>
      <c r="E264" s="617" t="s">
        <v>2256</v>
      </c>
      <c r="F264" s="176">
        <v>60</v>
      </c>
      <c r="G264" s="176">
        <v>910</v>
      </c>
      <c r="H264" s="144">
        <v>150</v>
      </c>
      <c r="I264" s="176" t="s">
        <v>1247</v>
      </c>
      <c r="J264" s="146" t="s">
        <v>1234</v>
      </c>
      <c r="K264" s="145" t="s">
        <v>2239</v>
      </c>
      <c r="L264" s="147" t="s">
        <v>1236</v>
      </c>
      <c r="M264" s="148">
        <v>300</v>
      </c>
      <c r="N264" s="148" t="s">
        <v>1237</v>
      </c>
      <c r="O264" s="149">
        <v>1</v>
      </c>
      <c r="P264" s="469">
        <v>0</v>
      </c>
      <c r="Q264" s="150" t="s">
        <v>1238</v>
      </c>
      <c r="R264" s="162">
        <v>20</v>
      </c>
      <c r="S264" s="144">
        <v>1</v>
      </c>
      <c r="T264" s="176">
        <v>5</v>
      </c>
      <c r="U264" s="176">
        <v>16</v>
      </c>
      <c r="V264" s="109" t="s">
        <v>1560</v>
      </c>
      <c r="W264" s="335" t="s">
        <v>1240</v>
      </c>
      <c r="X264" s="144" t="s">
        <v>1241</v>
      </c>
      <c r="Y264" s="144" t="s">
        <v>272</v>
      </c>
      <c r="Z264" s="144" t="s">
        <v>1227</v>
      </c>
      <c r="AA264" s="152"/>
      <c r="AB264" s="152"/>
      <c r="AC264" s="163" t="s">
        <v>2254</v>
      </c>
      <c r="AD264" s="51"/>
      <c r="AE264" s="104"/>
      <c r="AF264" s="104"/>
    </row>
    <row r="265" spans="1:32" s="107" customFormat="1" ht="29.1">
      <c r="A265" s="107" t="s">
        <v>1245</v>
      </c>
      <c r="B265" s="107" t="s">
        <v>1246</v>
      </c>
      <c r="C265" s="108">
        <v>46182</v>
      </c>
      <c r="D265" s="108" t="s">
        <v>209</v>
      </c>
      <c r="E265" s="300" t="s">
        <v>2235</v>
      </c>
      <c r="F265" s="176">
        <v>60</v>
      </c>
      <c r="G265" s="176">
        <v>910</v>
      </c>
      <c r="H265" s="144">
        <v>150</v>
      </c>
      <c r="I265" s="176" t="s">
        <v>1247</v>
      </c>
      <c r="J265" s="146" t="s">
        <v>1234</v>
      </c>
      <c r="K265" s="145" t="s">
        <v>2239</v>
      </c>
      <c r="L265" s="147" t="s">
        <v>1236</v>
      </c>
      <c r="M265" s="148">
        <v>150</v>
      </c>
      <c r="N265" s="148" t="s">
        <v>1249</v>
      </c>
      <c r="O265" s="149">
        <v>1</v>
      </c>
      <c r="P265" s="469">
        <v>5</v>
      </c>
      <c r="Q265" s="150" t="s">
        <v>1238</v>
      </c>
      <c r="R265" s="162">
        <v>0</v>
      </c>
      <c r="S265" s="144">
        <v>1</v>
      </c>
      <c r="T265" s="176">
        <v>5</v>
      </c>
      <c r="U265" s="176">
        <v>16</v>
      </c>
      <c r="V265" s="109" t="s">
        <v>1560</v>
      </c>
      <c r="W265" s="335" t="s">
        <v>1250</v>
      </c>
      <c r="X265" s="109" t="s">
        <v>272</v>
      </c>
      <c r="Y265" s="109" t="s">
        <v>272</v>
      </c>
      <c r="Z265" s="109"/>
      <c r="AA265" s="114"/>
      <c r="AB265" s="114"/>
      <c r="AC265" s="109"/>
      <c r="AD265" s="101"/>
      <c r="AE265" s="101"/>
    </row>
    <row r="266" spans="1:32" s="107" customFormat="1" ht="43.5">
      <c r="A266" s="107" t="s">
        <v>2257</v>
      </c>
      <c r="B266" s="107" t="s">
        <v>2246</v>
      </c>
      <c r="C266" s="108">
        <v>46182</v>
      </c>
      <c r="D266" s="108" t="s">
        <v>209</v>
      </c>
      <c r="E266" s="617" t="s">
        <v>2256</v>
      </c>
      <c r="F266" s="176">
        <v>60</v>
      </c>
      <c r="G266" s="176">
        <v>910</v>
      </c>
      <c r="H266" s="144">
        <v>150</v>
      </c>
      <c r="I266" s="176" t="s">
        <v>1247</v>
      </c>
      <c r="J266" s="146" t="s">
        <v>1234</v>
      </c>
      <c r="K266" s="145" t="s">
        <v>2239</v>
      </c>
      <c r="L266" s="147" t="s">
        <v>1236</v>
      </c>
      <c r="M266" s="148">
        <v>300</v>
      </c>
      <c r="N266" s="148" t="s">
        <v>1237</v>
      </c>
      <c r="O266" s="149">
        <v>1</v>
      </c>
      <c r="P266" s="469">
        <v>0</v>
      </c>
      <c r="Q266" s="150" t="s">
        <v>1238</v>
      </c>
      <c r="R266" s="162">
        <v>20</v>
      </c>
      <c r="S266" s="144">
        <v>1</v>
      </c>
      <c r="T266" s="176">
        <v>5</v>
      </c>
      <c r="U266" s="176">
        <v>16</v>
      </c>
      <c r="V266" s="109" t="s">
        <v>1560</v>
      </c>
      <c r="W266" s="335" t="s">
        <v>1240</v>
      </c>
      <c r="X266" s="144" t="s">
        <v>1241</v>
      </c>
      <c r="Y266" s="144" t="s">
        <v>272</v>
      </c>
      <c r="Z266" s="144" t="s">
        <v>1227</v>
      </c>
      <c r="AA266" s="152"/>
      <c r="AB266" s="152"/>
      <c r="AC266" s="163" t="s">
        <v>2254</v>
      </c>
      <c r="AD266" s="51"/>
      <c r="AE266" s="104"/>
      <c r="AF266" s="104"/>
    </row>
    <row r="267" spans="1:32" s="107" customFormat="1" ht="29.1">
      <c r="A267" s="107" t="s">
        <v>1245</v>
      </c>
      <c r="B267" s="107" t="s">
        <v>1246</v>
      </c>
      <c r="C267" s="108">
        <v>46183</v>
      </c>
      <c r="D267" s="108" t="s">
        <v>208</v>
      </c>
      <c r="E267" s="300" t="s">
        <v>2235</v>
      </c>
      <c r="F267" s="176">
        <v>60</v>
      </c>
      <c r="G267" s="176">
        <v>910</v>
      </c>
      <c r="H267" s="144">
        <v>150</v>
      </c>
      <c r="I267" s="176" t="s">
        <v>1247</v>
      </c>
      <c r="J267" s="146" t="s">
        <v>1234</v>
      </c>
      <c r="K267" s="145" t="s">
        <v>2239</v>
      </c>
      <c r="L267" s="147" t="s">
        <v>1236</v>
      </c>
      <c r="M267" s="148">
        <v>150</v>
      </c>
      <c r="N267" s="148" t="s">
        <v>1249</v>
      </c>
      <c r="O267" s="149">
        <v>1</v>
      </c>
      <c r="P267" s="469">
        <v>5</v>
      </c>
      <c r="Q267" s="150" t="s">
        <v>1238</v>
      </c>
      <c r="R267" s="162">
        <v>0</v>
      </c>
      <c r="S267" s="144">
        <v>1</v>
      </c>
      <c r="T267" s="176">
        <v>5</v>
      </c>
      <c r="U267" s="176">
        <v>16</v>
      </c>
      <c r="V267" s="109" t="s">
        <v>1560</v>
      </c>
      <c r="W267" s="335" t="s">
        <v>1250</v>
      </c>
      <c r="X267" s="109" t="s">
        <v>272</v>
      </c>
      <c r="Y267" s="109" t="s">
        <v>272</v>
      </c>
      <c r="Z267" s="109"/>
      <c r="AA267" s="114"/>
      <c r="AB267" s="114"/>
      <c r="AC267" s="109"/>
      <c r="AD267" s="101"/>
      <c r="AE267" s="101"/>
    </row>
    <row r="268" spans="1:32" s="107" customFormat="1" ht="43.5">
      <c r="A268" s="390" t="s">
        <v>2258</v>
      </c>
      <c r="B268" s="107" t="s">
        <v>2246</v>
      </c>
      <c r="C268" s="108">
        <v>46183</v>
      </c>
      <c r="D268" s="108" t="s">
        <v>2248</v>
      </c>
      <c r="E268" s="617" t="s">
        <v>2256</v>
      </c>
      <c r="F268" s="176">
        <v>60</v>
      </c>
      <c r="G268" s="176">
        <v>910</v>
      </c>
      <c r="H268" s="144">
        <v>150</v>
      </c>
      <c r="I268" s="176" t="s">
        <v>1247</v>
      </c>
      <c r="J268" s="146" t="s">
        <v>1234</v>
      </c>
      <c r="K268" s="145" t="s">
        <v>2239</v>
      </c>
      <c r="L268" s="147" t="s">
        <v>1236</v>
      </c>
      <c r="M268" s="148">
        <v>300</v>
      </c>
      <c r="N268" s="148" t="s">
        <v>1237</v>
      </c>
      <c r="O268" s="149">
        <v>1</v>
      </c>
      <c r="P268" s="469">
        <v>0</v>
      </c>
      <c r="Q268" s="150" t="s">
        <v>1238</v>
      </c>
      <c r="R268" s="162">
        <v>20</v>
      </c>
      <c r="S268" s="144">
        <v>1</v>
      </c>
      <c r="T268" s="176">
        <v>5</v>
      </c>
      <c r="U268" s="176">
        <v>16</v>
      </c>
      <c r="V268" s="109" t="s">
        <v>1560</v>
      </c>
      <c r="W268" s="335" t="s">
        <v>1240</v>
      </c>
      <c r="X268" s="144" t="s">
        <v>1241</v>
      </c>
      <c r="Y268" s="144" t="s">
        <v>272</v>
      </c>
      <c r="Z268" s="144" t="s">
        <v>1227</v>
      </c>
      <c r="AA268" s="152"/>
      <c r="AB268" s="152"/>
      <c r="AC268" s="163" t="s">
        <v>2254</v>
      </c>
      <c r="AD268" s="51"/>
      <c r="AE268" s="104"/>
      <c r="AF268" s="104"/>
    </row>
    <row r="269" spans="1:32" s="107" customFormat="1" ht="29.1">
      <c r="A269" s="107" t="s">
        <v>1245</v>
      </c>
      <c r="B269" s="107" t="s">
        <v>1246</v>
      </c>
      <c r="C269" s="108">
        <v>46183</v>
      </c>
      <c r="D269" s="108" t="s">
        <v>2248</v>
      </c>
      <c r="E269" s="300" t="s">
        <v>2235</v>
      </c>
      <c r="F269" s="176">
        <v>60</v>
      </c>
      <c r="G269" s="176">
        <v>910</v>
      </c>
      <c r="H269" s="144">
        <v>150</v>
      </c>
      <c r="I269" s="176" t="s">
        <v>1247</v>
      </c>
      <c r="J269" s="146" t="s">
        <v>1234</v>
      </c>
      <c r="K269" s="145" t="s">
        <v>2239</v>
      </c>
      <c r="L269" s="147" t="s">
        <v>1236</v>
      </c>
      <c r="M269" s="148">
        <v>150</v>
      </c>
      <c r="N269" s="148" t="s">
        <v>1249</v>
      </c>
      <c r="O269" s="149">
        <v>1</v>
      </c>
      <c r="P269" s="469">
        <v>5</v>
      </c>
      <c r="Q269" s="150" t="s">
        <v>1238</v>
      </c>
      <c r="R269" s="162">
        <v>0</v>
      </c>
      <c r="S269" s="144">
        <v>1</v>
      </c>
      <c r="T269" s="176">
        <v>5</v>
      </c>
      <c r="U269" s="176">
        <v>16</v>
      </c>
      <c r="V269" s="109" t="s">
        <v>1560</v>
      </c>
      <c r="W269" s="335" t="s">
        <v>1250</v>
      </c>
      <c r="X269" s="109" t="s">
        <v>272</v>
      </c>
      <c r="Y269" s="109" t="s">
        <v>272</v>
      </c>
      <c r="Z269" s="109"/>
      <c r="AA269" s="114"/>
      <c r="AB269" s="114"/>
      <c r="AC269" s="109"/>
      <c r="AD269" s="101"/>
      <c r="AE269" s="101"/>
    </row>
    <row r="270" spans="1:32" s="107" customFormat="1" ht="43.5">
      <c r="A270" s="107" t="s">
        <v>2259</v>
      </c>
      <c r="B270" s="107" t="s">
        <v>2246</v>
      </c>
      <c r="C270" s="108">
        <v>46183</v>
      </c>
      <c r="D270" s="108" t="s">
        <v>2248</v>
      </c>
      <c r="E270" s="617" t="s">
        <v>2256</v>
      </c>
      <c r="F270" s="176">
        <v>60</v>
      </c>
      <c r="G270" s="176">
        <v>910</v>
      </c>
      <c r="H270" s="144">
        <v>150</v>
      </c>
      <c r="I270" s="176" t="s">
        <v>1247</v>
      </c>
      <c r="J270" s="146" t="s">
        <v>1234</v>
      </c>
      <c r="K270" s="145" t="s">
        <v>2239</v>
      </c>
      <c r="L270" s="147" t="s">
        <v>1236</v>
      </c>
      <c r="M270" s="148">
        <v>300</v>
      </c>
      <c r="N270" s="148" t="s">
        <v>1237</v>
      </c>
      <c r="O270" s="149">
        <v>1</v>
      </c>
      <c r="P270" s="469">
        <v>0</v>
      </c>
      <c r="Q270" s="150" t="s">
        <v>1238</v>
      </c>
      <c r="R270" s="162">
        <v>20</v>
      </c>
      <c r="S270" s="144">
        <v>1</v>
      </c>
      <c r="T270" s="176">
        <v>5</v>
      </c>
      <c r="U270" s="176">
        <v>16</v>
      </c>
      <c r="V270" s="109" t="s">
        <v>1560</v>
      </c>
      <c r="W270" s="335" t="s">
        <v>1240</v>
      </c>
      <c r="X270" s="144" t="s">
        <v>1241</v>
      </c>
      <c r="Y270" s="144" t="s">
        <v>272</v>
      </c>
      <c r="Z270" s="144" t="s">
        <v>1227</v>
      </c>
      <c r="AA270" s="152"/>
      <c r="AB270" s="152"/>
      <c r="AC270" s="163" t="s">
        <v>2254</v>
      </c>
      <c r="AD270" s="51"/>
      <c r="AE270" s="104"/>
      <c r="AF270" s="104"/>
    </row>
    <row r="271" spans="1:32" s="107" customFormat="1" ht="29.1">
      <c r="A271" s="107" t="s">
        <v>1245</v>
      </c>
      <c r="B271" s="107" t="s">
        <v>1246</v>
      </c>
      <c r="C271" s="108">
        <v>46184</v>
      </c>
      <c r="D271" s="108" t="s">
        <v>208</v>
      </c>
      <c r="E271" s="300" t="s">
        <v>2235</v>
      </c>
      <c r="F271" s="176">
        <v>60</v>
      </c>
      <c r="G271" s="176">
        <v>910</v>
      </c>
      <c r="H271" s="144">
        <v>150</v>
      </c>
      <c r="I271" s="176" t="s">
        <v>1247</v>
      </c>
      <c r="J271" s="146" t="s">
        <v>1234</v>
      </c>
      <c r="K271" s="145" t="s">
        <v>2239</v>
      </c>
      <c r="L271" s="147" t="s">
        <v>1236</v>
      </c>
      <c r="M271" s="148">
        <v>150</v>
      </c>
      <c r="N271" s="148" t="s">
        <v>1249</v>
      </c>
      <c r="O271" s="149">
        <v>1</v>
      </c>
      <c r="P271" s="469">
        <v>5</v>
      </c>
      <c r="Q271" s="150" t="s">
        <v>1238</v>
      </c>
      <c r="R271" s="162">
        <v>0</v>
      </c>
      <c r="S271" s="144">
        <v>1</v>
      </c>
      <c r="T271" s="176">
        <v>5</v>
      </c>
      <c r="U271" s="176">
        <v>16</v>
      </c>
      <c r="V271" s="109" t="s">
        <v>1560</v>
      </c>
      <c r="W271" s="335" t="s">
        <v>1250</v>
      </c>
      <c r="X271" s="109" t="s">
        <v>272</v>
      </c>
      <c r="Y271" s="109" t="s">
        <v>272</v>
      </c>
      <c r="Z271" s="109"/>
      <c r="AA271" s="114"/>
      <c r="AB271" s="114"/>
      <c r="AC271" s="109"/>
      <c r="AD271" s="101"/>
      <c r="AE271" s="101"/>
    </row>
    <row r="272" spans="1:32" s="107" customFormat="1" ht="43.5">
      <c r="A272" s="107" t="s">
        <v>2260</v>
      </c>
      <c r="B272" s="107" t="s">
        <v>2246</v>
      </c>
      <c r="C272" s="108">
        <v>46184</v>
      </c>
      <c r="D272" s="108" t="s">
        <v>2248</v>
      </c>
      <c r="E272" s="617" t="s">
        <v>2256</v>
      </c>
      <c r="F272" s="176">
        <v>60</v>
      </c>
      <c r="G272" s="176">
        <v>910</v>
      </c>
      <c r="H272" s="144">
        <v>150</v>
      </c>
      <c r="I272" s="176" t="s">
        <v>1247</v>
      </c>
      <c r="J272" s="146" t="s">
        <v>1234</v>
      </c>
      <c r="K272" s="145" t="s">
        <v>2239</v>
      </c>
      <c r="L272" s="147" t="s">
        <v>1236</v>
      </c>
      <c r="M272" s="148">
        <v>300</v>
      </c>
      <c r="N272" s="148" t="s">
        <v>1237</v>
      </c>
      <c r="O272" s="149">
        <v>1</v>
      </c>
      <c r="P272" s="469">
        <v>0</v>
      </c>
      <c r="Q272" s="150" t="s">
        <v>1238</v>
      </c>
      <c r="R272" s="162">
        <v>20</v>
      </c>
      <c r="S272" s="144">
        <v>1</v>
      </c>
      <c r="T272" s="176">
        <v>5</v>
      </c>
      <c r="U272" s="176">
        <v>16</v>
      </c>
      <c r="V272" s="109" t="s">
        <v>1560</v>
      </c>
      <c r="W272" s="335" t="s">
        <v>1240</v>
      </c>
      <c r="X272" s="144" t="s">
        <v>1241</v>
      </c>
      <c r="Y272" s="144" t="s">
        <v>272</v>
      </c>
      <c r="Z272" s="144" t="s">
        <v>1227</v>
      </c>
      <c r="AA272" s="152"/>
      <c r="AB272" s="152"/>
      <c r="AC272" s="163" t="s">
        <v>2254</v>
      </c>
      <c r="AD272" s="51"/>
      <c r="AE272" s="104"/>
      <c r="AF272" s="104"/>
    </row>
    <row r="273" spans="1:32" s="107" customFormat="1" ht="29.1">
      <c r="A273" s="107" t="s">
        <v>1245</v>
      </c>
      <c r="B273" s="107" t="s">
        <v>1246</v>
      </c>
      <c r="C273" s="108">
        <v>46184</v>
      </c>
      <c r="D273" s="108" t="s">
        <v>2248</v>
      </c>
      <c r="E273" s="300" t="s">
        <v>2235</v>
      </c>
      <c r="F273" s="176">
        <v>60</v>
      </c>
      <c r="G273" s="176">
        <v>910</v>
      </c>
      <c r="H273" s="144">
        <v>150</v>
      </c>
      <c r="I273" s="176" t="s">
        <v>1247</v>
      </c>
      <c r="J273" s="146" t="s">
        <v>1234</v>
      </c>
      <c r="K273" s="145" t="s">
        <v>2239</v>
      </c>
      <c r="L273" s="147" t="s">
        <v>1236</v>
      </c>
      <c r="M273" s="148">
        <v>150</v>
      </c>
      <c r="N273" s="148" t="s">
        <v>1249</v>
      </c>
      <c r="O273" s="149">
        <v>1</v>
      </c>
      <c r="P273" s="469">
        <v>5</v>
      </c>
      <c r="Q273" s="150" t="s">
        <v>1238</v>
      </c>
      <c r="R273" s="162">
        <v>0</v>
      </c>
      <c r="S273" s="144">
        <v>1</v>
      </c>
      <c r="T273" s="176">
        <v>5</v>
      </c>
      <c r="U273" s="176">
        <v>16</v>
      </c>
      <c r="V273" s="109" t="s">
        <v>1560</v>
      </c>
      <c r="W273" s="335" t="s">
        <v>1250</v>
      </c>
      <c r="X273" s="109" t="s">
        <v>272</v>
      </c>
      <c r="Y273" s="109" t="s">
        <v>272</v>
      </c>
      <c r="Z273" s="109"/>
      <c r="AA273" s="114"/>
      <c r="AB273" s="114"/>
      <c r="AC273" s="109"/>
      <c r="AD273" s="101"/>
      <c r="AE273" s="101"/>
    </row>
    <row r="274" spans="1:32" s="107" customFormat="1" ht="43.5">
      <c r="A274" s="107" t="s">
        <v>2261</v>
      </c>
      <c r="B274" s="107" t="s">
        <v>2246</v>
      </c>
      <c r="C274" s="108">
        <v>46184</v>
      </c>
      <c r="D274" s="108" t="s">
        <v>2248</v>
      </c>
      <c r="E274" s="617" t="s">
        <v>2256</v>
      </c>
      <c r="F274" s="176">
        <v>60</v>
      </c>
      <c r="G274" s="176">
        <v>910</v>
      </c>
      <c r="H274" s="144">
        <v>150</v>
      </c>
      <c r="I274" s="176" t="s">
        <v>1247</v>
      </c>
      <c r="J274" s="146" t="s">
        <v>1234</v>
      </c>
      <c r="K274" s="145" t="s">
        <v>2239</v>
      </c>
      <c r="L274" s="147" t="s">
        <v>1236</v>
      </c>
      <c r="M274" s="148">
        <v>300</v>
      </c>
      <c r="N274" s="148" t="s">
        <v>1237</v>
      </c>
      <c r="O274" s="149">
        <v>1</v>
      </c>
      <c r="P274" s="469">
        <v>0</v>
      </c>
      <c r="Q274" s="150" t="s">
        <v>1238</v>
      </c>
      <c r="R274" s="162">
        <v>20</v>
      </c>
      <c r="S274" s="144">
        <v>1</v>
      </c>
      <c r="T274" s="176">
        <v>5</v>
      </c>
      <c r="U274" s="176">
        <v>16</v>
      </c>
      <c r="V274" s="109" t="s">
        <v>1560</v>
      </c>
      <c r="W274" s="335" t="s">
        <v>1240</v>
      </c>
      <c r="X274" s="144" t="s">
        <v>1241</v>
      </c>
      <c r="Y274" s="144" t="s">
        <v>272</v>
      </c>
      <c r="Z274" s="144" t="s">
        <v>1227</v>
      </c>
      <c r="AA274" s="152"/>
      <c r="AB274" s="152"/>
      <c r="AC274" s="163" t="s">
        <v>2254</v>
      </c>
      <c r="AD274" s="51"/>
      <c r="AE274" s="104"/>
      <c r="AF274" s="104"/>
    </row>
    <row r="275" spans="1:32" s="107" customFormat="1" ht="29.1">
      <c r="A275" s="107" t="s">
        <v>1245</v>
      </c>
      <c r="B275" s="107" t="s">
        <v>1246</v>
      </c>
      <c r="C275" s="108">
        <v>46184</v>
      </c>
      <c r="D275" s="108" t="s">
        <v>2248</v>
      </c>
      <c r="E275" s="300" t="s">
        <v>2235</v>
      </c>
      <c r="F275" s="176">
        <v>60</v>
      </c>
      <c r="G275" s="176">
        <v>910</v>
      </c>
      <c r="H275" s="144">
        <v>150</v>
      </c>
      <c r="I275" s="176" t="s">
        <v>1247</v>
      </c>
      <c r="J275" s="146" t="s">
        <v>1234</v>
      </c>
      <c r="K275" s="145" t="s">
        <v>2239</v>
      </c>
      <c r="L275" s="147" t="s">
        <v>1236</v>
      </c>
      <c r="M275" s="148">
        <v>150</v>
      </c>
      <c r="N275" s="148" t="s">
        <v>1249</v>
      </c>
      <c r="O275" s="149">
        <v>1</v>
      </c>
      <c r="P275" s="469">
        <v>5</v>
      </c>
      <c r="Q275" s="150" t="s">
        <v>1238</v>
      </c>
      <c r="R275" s="162">
        <v>0</v>
      </c>
      <c r="S275" s="144">
        <v>1</v>
      </c>
      <c r="T275" s="176">
        <v>5</v>
      </c>
      <c r="U275" s="176">
        <v>16</v>
      </c>
      <c r="V275" s="109" t="s">
        <v>1560</v>
      </c>
      <c r="W275" s="335" t="s">
        <v>1250</v>
      </c>
      <c r="X275" s="109" t="s">
        <v>272</v>
      </c>
      <c r="Y275" s="109" t="s">
        <v>272</v>
      </c>
      <c r="Z275" s="109"/>
      <c r="AA275" s="114"/>
      <c r="AB275" s="114"/>
      <c r="AC275" s="109"/>
      <c r="AD275" s="101"/>
      <c r="AE275" s="101"/>
    </row>
    <row r="276" spans="1:32" s="107" customFormat="1" ht="43.5">
      <c r="A276" s="107" t="s">
        <v>2262</v>
      </c>
      <c r="B276" s="107" t="s">
        <v>2246</v>
      </c>
      <c r="C276" s="108">
        <v>46185</v>
      </c>
      <c r="D276" s="108" t="s">
        <v>208</v>
      </c>
      <c r="E276" s="617" t="s">
        <v>2256</v>
      </c>
      <c r="F276" s="176">
        <v>60</v>
      </c>
      <c r="G276" s="176">
        <v>910</v>
      </c>
      <c r="H276" s="144">
        <v>150</v>
      </c>
      <c r="I276" s="176" t="s">
        <v>1247</v>
      </c>
      <c r="J276" s="146" t="s">
        <v>1234</v>
      </c>
      <c r="K276" s="145" t="s">
        <v>2239</v>
      </c>
      <c r="L276" s="147" t="s">
        <v>1236</v>
      </c>
      <c r="M276" s="148">
        <v>300</v>
      </c>
      <c r="N276" s="148" t="s">
        <v>1237</v>
      </c>
      <c r="O276" s="149">
        <v>1</v>
      </c>
      <c r="P276" s="469">
        <v>0</v>
      </c>
      <c r="Q276" s="150" t="s">
        <v>1238</v>
      </c>
      <c r="R276" s="162">
        <v>20</v>
      </c>
      <c r="S276" s="144">
        <v>1</v>
      </c>
      <c r="T276" s="176">
        <v>5</v>
      </c>
      <c r="U276" s="176">
        <v>16</v>
      </c>
      <c r="V276" s="109" t="s">
        <v>1560</v>
      </c>
      <c r="W276" s="335" t="s">
        <v>1240</v>
      </c>
      <c r="X276" s="144" t="s">
        <v>1241</v>
      </c>
      <c r="Y276" s="144" t="s">
        <v>272</v>
      </c>
      <c r="Z276" s="144" t="s">
        <v>1227</v>
      </c>
      <c r="AA276" s="152"/>
      <c r="AB276" s="152"/>
      <c r="AC276" s="163" t="s">
        <v>2254</v>
      </c>
      <c r="AD276" s="51"/>
      <c r="AE276" s="104"/>
      <c r="AF276" s="104"/>
    </row>
    <row r="277" spans="1:32" s="107" customFormat="1" ht="29.1">
      <c r="A277" s="107" t="s">
        <v>1245</v>
      </c>
      <c r="B277" s="107" t="s">
        <v>1246</v>
      </c>
      <c r="C277" s="108">
        <v>46185</v>
      </c>
      <c r="D277" s="108" t="s">
        <v>2248</v>
      </c>
      <c r="E277" s="300" t="s">
        <v>2235</v>
      </c>
      <c r="F277" s="176">
        <v>60</v>
      </c>
      <c r="G277" s="176">
        <v>910</v>
      </c>
      <c r="H277" s="144">
        <v>150</v>
      </c>
      <c r="I277" s="176" t="s">
        <v>1247</v>
      </c>
      <c r="J277" s="146" t="s">
        <v>1234</v>
      </c>
      <c r="K277" s="145" t="s">
        <v>2239</v>
      </c>
      <c r="L277" s="147" t="s">
        <v>1236</v>
      </c>
      <c r="M277" s="148">
        <v>150</v>
      </c>
      <c r="N277" s="148" t="s">
        <v>1249</v>
      </c>
      <c r="O277" s="149">
        <v>1</v>
      </c>
      <c r="P277" s="469">
        <v>5</v>
      </c>
      <c r="Q277" s="150" t="s">
        <v>1238</v>
      </c>
      <c r="R277" s="162">
        <v>0</v>
      </c>
      <c r="S277" s="144">
        <v>1</v>
      </c>
      <c r="T277" s="176">
        <v>5</v>
      </c>
      <c r="U277" s="176">
        <v>16</v>
      </c>
      <c r="V277" s="109" t="s">
        <v>1560</v>
      </c>
      <c r="W277" s="335" t="s">
        <v>1250</v>
      </c>
      <c r="X277" s="109" t="s">
        <v>272</v>
      </c>
      <c r="Y277" s="109" t="s">
        <v>272</v>
      </c>
      <c r="Z277" s="109"/>
      <c r="AA277" s="114"/>
      <c r="AB277" s="114"/>
      <c r="AC277" s="109"/>
      <c r="AD277" s="101"/>
      <c r="AE277" s="101"/>
    </row>
    <row r="278" spans="1:32" s="107" customFormat="1" ht="43.5">
      <c r="A278" s="107" t="s">
        <v>2263</v>
      </c>
      <c r="B278" s="107" t="s">
        <v>2246</v>
      </c>
      <c r="C278" s="108">
        <v>46185</v>
      </c>
      <c r="D278" s="108" t="s">
        <v>2248</v>
      </c>
      <c r="E278" s="617" t="s">
        <v>2256</v>
      </c>
      <c r="F278" s="176">
        <v>60</v>
      </c>
      <c r="G278" s="176">
        <v>910</v>
      </c>
      <c r="H278" s="144">
        <v>150</v>
      </c>
      <c r="I278" s="176" t="s">
        <v>1247</v>
      </c>
      <c r="J278" s="146" t="s">
        <v>1234</v>
      </c>
      <c r="K278" s="145" t="s">
        <v>2239</v>
      </c>
      <c r="L278" s="147" t="s">
        <v>1236</v>
      </c>
      <c r="M278" s="148">
        <v>300</v>
      </c>
      <c r="N278" s="148" t="s">
        <v>1237</v>
      </c>
      <c r="O278" s="149">
        <v>1</v>
      </c>
      <c r="P278" s="469">
        <v>0</v>
      </c>
      <c r="Q278" s="150" t="s">
        <v>1238</v>
      </c>
      <c r="R278" s="162">
        <v>20</v>
      </c>
      <c r="S278" s="144">
        <v>1</v>
      </c>
      <c r="T278" s="176">
        <v>5</v>
      </c>
      <c r="U278" s="176">
        <v>16</v>
      </c>
      <c r="V278" s="109" t="s">
        <v>1560</v>
      </c>
      <c r="W278" s="335" t="s">
        <v>1240</v>
      </c>
      <c r="X278" s="144" t="s">
        <v>1241</v>
      </c>
      <c r="Y278" s="144" t="s">
        <v>272</v>
      </c>
      <c r="Z278" s="144" t="s">
        <v>1227</v>
      </c>
      <c r="AA278" s="152"/>
      <c r="AB278" s="152"/>
      <c r="AC278" s="163" t="s">
        <v>2254</v>
      </c>
      <c r="AD278" s="51"/>
      <c r="AE278" s="104"/>
      <c r="AF278" s="104"/>
    </row>
    <row r="279" spans="1:32" s="107" customFormat="1" ht="29.1">
      <c r="A279" s="107" t="s">
        <v>1245</v>
      </c>
      <c r="B279" s="107" t="s">
        <v>1246</v>
      </c>
      <c r="C279" s="108">
        <v>46185</v>
      </c>
      <c r="D279" s="108" t="s">
        <v>2248</v>
      </c>
      <c r="E279" s="300" t="s">
        <v>2235</v>
      </c>
      <c r="F279" s="176">
        <v>60</v>
      </c>
      <c r="G279" s="176">
        <v>910</v>
      </c>
      <c r="H279" s="144">
        <v>150</v>
      </c>
      <c r="I279" s="176" t="s">
        <v>1247</v>
      </c>
      <c r="J279" s="146" t="s">
        <v>1234</v>
      </c>
      <c r="K279" s="145" t="s">
        <v>2239</v>
      </c>
      <c r="L279" s="147" t="s">
        <v>1236</v>
      </c>
      <c r="M279" s="148">
        <v>150</v>
      </c>
      <c r="N279" s="148" t="s">
        <v>1249</v>
      </c>
      <c r="O279" s="149">
        <v>1</v>
      </c>
      <c r="P279" s="469">
        <v>5</v>
      </c>
      <c r="Q279" s="150" t="s">
        <v>1238</v>
      </c>
      <c r="R279" s="162">
        <v>0</v>
      </c>
      <c r="S279" s="144">
        <v>1</v>
      </c>
      <c r="T279" s="176">
        <v>5</v>
      </c>
      <c r="U279" s="176">
        <v>16</v>
      </c>
      <c r="V279" s="109" t="s">
        <v>1560</v>
      </c>
      <c r="W279" s="335" t="s">
        <v>1250</v>
      </c>
      <c r="X279" s="109" t="s">
        <v>272</v>
      </c>
      <c r="Y279" s="109" t="s">
        <v>272</v>
      </c>
      <c r="Z279" s="109"/>
      <c r="AA279" s="114"/>
      <c r="AB279" s="114"/>
      <c r="AC279" s="109"/>
      <c r="AD279" s="101"/>
      <c r="AE279" s="101"/>
    </row>
    <row r="280" spans="1:32" s="107" customFormat="1" ht="43.5">
      <c r="A280" s="107" t="s">
        <v>2264</v>
      </c>
      <c r="B280" s="107" t="s">
        <v>2246</v>
      </c>
      <c r="C280" s="108">
        <v>46185</v>
      </c>
      <c r="D280" s="108" t="s">
        <v>209</v>
      </c>
      <c r="E280" s="617" t="s">
        <v>2256</v>
      </c>
      <c r="F280" s="176">
        <v>60</v>
      </c>
      <c r="G280" s="176">
        <v>910</v>
      </c>
      <c r="H280" s="144">
        <v>150</v>
      </c>
      <c r="I280" s="176" t="s">
        <v>1247</v>
      </c>
      <c r="J280" s="146" t="s">
        <v>1234</v>
      </c>
      <c r="K280" s="145" t="s">
        <v>2239</v>
      </c>
      <c r="L280" s="147" t="s">
        <v>1236</v>
      </c>
      <c r="M280" s="148">
        <v>300</v>
      </c>
      <c r="N280" s="148" t="s">
        <v>1237</v>
      </c>
      <c r="O280" s="149">
        <v>1</v>
      </c>
      <c r="P280" s="469">
        <v>0</v>
      </c>
      <c r="Q280" s="150" t="s">
        <v>1238</v>
      </c>
      <c r="R280" s="162">
        <v>20</v>
      </c>
      <c r="S280" s="144">
        <v>1</v>
      </c>
      <c r="T280" s="176">
        <v>5</v>
      </c>
      <c r="U280" s="176">
        <v>16</v>
      </c>
      <c r="V280" s="109" t="s">
        <v>1560</v>
      </c>
      <c r="W280" s="335" t="s">
        <v>1240</v>
      </c>
      <c r="X280" s="144" t="s">
        <v>1241</v>
      </c>
      <c r="Y280" s="144" t="s">
        <v>272</v>
      </c>
      <c r="Z280" s="144" t="s">
        <v>1227</v>
      </c>
      <c r="AA280" s="152"/>
      <c r="AB280" s="152"/>
      <c r="AC280" s="163" t="s">
        <v>2254</v>
      </c>
      <c r="AD280" s="51"/>
      <c r="AE280" s="104"/>
      <c r="AF280" s="104"/>
    </row>
    <row r="281" spans="1:32" s="107" customFormat="1" ht="29.1">
      <c r="A281" s="107" t="s">
        <v>1245</v>
      </c>
      <c r="B281" s="107" t="s">
        <v>1246</v>
      </c>
      <c r="C281" s="108">
        <v>46186</v>
      </c>
      <c r="D281" s="108" t="s">
        <v>209</v>
      </c>
      <c r="E281" s="300" t="s">
        <v>2235</v>
      </c>
      <c r="F281" s="176">
        <v>60</v>
      </c>
      <c r="G281" s="176">
        <v>910</v>
      </c>
      <c r="H281" s="144">
        <v>150</v>
      </c>
      <c r="I281" s="176" t="s">
        <v>1247</v>
      </c>
      <c r="J281" s="146" t="s">
        <v>1234</v>
      </c>
      <c r="K281" s="145" t="s">
        <v>2239</v>
      </c>
      <c r="L281" s="147" t="s">
        <v>1236</v>
      </c>
      <c r="M281" s="148">
        <v>150</v>
      </c>
      <c r="N281" s="148" t="s">
        <v>1249</v>
      </c>
      <c r="O281" s="149">
        <v>1</v>
      </c>
      <c r="P281" s="469">
        <v>5</v>
      </c>
      <c r="Q281" s="150" t="s">
        <v>1238</v>
      </c>
      <c r="R281" s="162">
        <v>0</v>
      </c>
      <c r="S281" s="144">
        <v>1</v>
      </c>
      <c r="T281" s="176">
        <v>5</v>
      </c>
      <c r="U281" s="176">
        <v>16</v>
      </c>
      <c r="V281" s="109" t="s">
        <v>1560</v>
      </c>
      <c r="W281" s="335" t="s">
        <v>1250</v>
      </c>
      <c r="X281" s="109" t="s">
        <v>272</v>
      </c>
      <c r="Y281" s="109" t="s">
        <v>272</v>
      </c>
      <c r="Z281" s="109"/>
      <c r="AA281" s="114"/>
      <c r="AB281" s="114"/>
      <c r="AC281" s="109"/>
      <c r="AD281" s="101"/>
      <c r="AE281" s="101"/>
    </row>
    <row r="282" spans="1:32" s="107" customFormat="1" ht="43.5">
      <c r="A282" s="107" t="s">
        <v>2265</v>
      </c>
      <c r="B282" s="107" t="s">
        <v>2246</v>
      </c>
      <c r="C282" s="108">
        <v>46186</v>
      </c>
      <c r="D282" s="108" t="s">
        <v>209</v>
      </c>
      <c r="E282" s="617" t="s">
        <v>2256</v>
      </c>
      <c r="F282" s="176">
        <v>60</v>
      </c>
      <c r="G282" s="176">
        <v>910</v>
      </c>
      <c r="H282" s="144">
        <v>150</v>
      </c>
      <c r="I282" s="176" t="s">
        <v>1247</v>
      </c>
      <c r="J282" s="146" t="s">
        <v>1234</v>
      </c>
      <c r="K282" s="145" t="s">
        <v>2239</v>
      </c>
      <c r="L282" s="147" t="s">
        <v>1236</v>
      </c>
      <c r="M282" s="148">
        <v>300</v>
      </c>
      <c r="N282" s="148" t="s">
        <v>1237</v>
      </c>
      <c r="O282" s="149">
        <v>1</v>
      </c>
      <c r="P282" s="469">
        <v>0</v>
      </c>
      <c r="Q282" s="150" t="s">
        <v>1238</v>
      </c>
      <c r="R282" s="162">
        <v>20</v>
      </c>
      <c r="S282" s="144">
        <v>1</v>
      </c>
      <c r="T282" s="176">
        <v>5</v>
      </c>
      <c r="U282" s="176">
        <v>16</v>
      </c>
      <c r="V282" s="109" t="s">
        <v>1560</v>
      </c>
      <c r="W282" s="335" t="s">
        <v>1240</v>
      </c>
      <c r="X282" s="144" t="s">
        <v>1241</v>
      </c>
      <c r="Y282" s="144" t="s">
        <v>272</v>
      </c>
      <c r="Z282" s="144" t="s">
        <v>1227</v>
      </c>
      <c r="AA282" s="152"/>
      <c r="AB282" s="152"/>
      <c r="AC282" s="163" t="s">
        <v>2266</v>
      </c>
      <c r="AD282" s="51"/>
      <c r="AE282" s="104"/>
      <c r="AF282" s="104"/>
    </row>
    <row r="283" spans="1:32" s="107" customFormat="1" ht="29.1">
      <c r="A283" s="107" t="s">
        <v>1245</v>
      </c>
      <c r="B283" s="107" t="s">
        <v>1246</v>
      </c>
      <c r="C283" s="108">
        <v>46186</v>
      </c>
      <c r="D283" s="108" t="s">
        <v>209</v>
      </c>
      <c r="E283" s="300" t="s">
        <v>2235</v>
      </c>
      <c r="F283" s="176">
        <v>60</v>
      </c>
      <c r="G283" s="176">
        <v>910</v>
      </c>
      <c r="H283" s="144">
        <v>150</v>
      </c>
      <c r="I283" s="176" t="s">
        <v>1247</v>
      </c>
      <c r="J283" s="146" t="s">
        <v>1234</v>
      </c>
      <c r="K283" s="145" t="s">
        <v>2239</v>
      </c>
      <c r="L283" s="147" t="s">
        <v>1236</v>
      </c>
      <c r="M283" s="148">
        <v>150</v>
      </c>
      <c r="N283" s="148" t="s">
        <v>1249</v>
      </c>
      <c r="O283" s="149">
        <v>1</v>
      </c>
      <c r="P283" s="469">
        <v>5</v>
      </c>
      <c r="Q283" s="150" t="s">
        <v>1238</v>
      </c>
      <c r="R283" s="162">
        <v>0</v>
      </c>
      <c r="S283" s="144">
        <v>1</v>
      </c>
      <c r="T283" s="176">
        <v>5</v>
      </c>
      <c r="U283" s="176">
        <v>16</v>
      </c>
      <c r="V283" s="109" t="s">
        <v>1560</v>
      </c>
      <c r="W283" s="335" t="s">
        <v>1250</v>
      </c>
      <c r="X283" s="109" t="s">
        <v>272</v>
      </c>
      <c r="Y283" s="109" t="s">
        <v>272</v>
      </c>
      <c r="Z283" s="109"/>
      <c r="AA283" s="114"/>
      <c r="AB283" s="114"/>
      <c r="AC283" s="109"/>
      <c r="AD283" s="101"/>
      <c r="AE283" s="101"/>
    </row>
    <row r="284" spans="1:32" s="107" customFormat="1" ht="43.5">
      <c r="A284" s="107" t="s">
        <v>2267</v>
      </c>
      <c r="B284" s="107" t="s">
        <v>2246</v>
      </c>
      <c r="C284" s="108">
        <v>46187</v>
      </c>
      <c r="D284" s="108" t="s">
        <v>209</v>
      </c>
      <c r="E284" s="617" t="s">
        <v>2256</v>
      </c>
      <c r="F284" s="176">
        <v>60</v>
      </c>
      <c r="G284" s="176">
        <v>910</v>
      </c>
      <c r="H284" s="144">
        <v>150</v>
      </c>
      <c r="I284" s="176" t="s">
        <v>1247</v>
      </c>
      <c r="J284" s="146" t="s">
        <v>1234</v>
      </c>
      <c r="K284" s="145" t="s">
        <v>2239</v>
      </c>
      <c r="L284" s="147" t="s">
        <v>1236</v>
      </c>
      <c r="M284" s="148">
        <v>300</v>
      </c>
      <c r="N284" s="148" t="s">
        <v>1237</v>
      </c>
      <c r="O284" s="149">
        <v>1</v>
      </c>
      <c r="P284" s="469">
        <v>0</v>
      </c>
      <c r="Q284" s="150" t="s">
        <v>1238</v>
      </c>
      <c r="R284" s="162">
        <v>20</v>
      </c>
      <c r="S284" s="144">
        <v>1</v>
      </c>
      <c r="T284" s="176">
        <v>5</v>
      </c>
      <c r="U284" s="176">
        <v>16</v>
      </c>
      <c r="V284" s="109" t="s">
        <v>1560</v>
      </c>
      <c r="W284" s="335" t="s">
        <v>1240</v>
      </c>
      <c r="X284" s="144" t="s">
        <v>1241</v>
      </c>
      <c r="Y284" s="144" t="s">
        <v>272</v>
      </c>
      <c r="Z284" s="144" t="s">
        <v>1227</v>
      </c>
      <c r="AA284" s="152"/>
      <c r="AB284" s="152"/>
      <c r="AC284" s="163" t="s">
        <v>2254</v>
      </c>
      <c r="AD284" s="51"/>
      <c r="AE284" s="104"/>
      <c r="AF284" s="104"/>
    </row>
    <row r="285" spans="1:32" s="107" customFormat="1" ht="29.1">
      <c r="A285" s="107" t="s">
        <v>1245</v>
      </c>
      <c r="B285" s="107" t="s">
        <v>1246</v>
      </c>
      <c r="C285" s="108">
        <v>46187</v>
      </c>
      <c r="D285" s="108" t="s">
        <v>209</v>
      </c>
      <c r="E285" s="300" t="s">
        <v>2235</v>
      </c>
      <c r="F285" s="176">
        <v>60</v>
      </c>
      <c r="G285" s="176">
        <v>910</v>
      </c>
      <c r="H285" s="144">
        <v>150</v>
      </c>
      <c r="I285" s="176" t="s">
        <v>1247</v>
      </c>
      <c r="J285" s="146" t="s">
        <v>1234</v>
      </c>
      <c r="K285" s="145" t="s">
        <v>2239</v>
      </c>
      <c r="L285" s="147" t="s">
        <v>1236</v>
      </c>
      <c r="M285" s="148">
        <v>150</v>
      </c>
      <c r="N285" s="148" t="s">
        <v>1249</v>
      </c>
      <c r="O285" s="149">
        <v>1</v>
      </c>
      <c r="P285" s="469">
        <v>5</v>
      </c>
      <c r="Q285" s="150" t="s">
        <v>1238</v>
      </c>
      <c r="R285" s="162">
        <v>0</v>
      </c>
      <c r="S285" s="144">
        <v>1</v>
      </c>
      <c r="T285" s="176">
        <v>5</v>
      </c>
      <c r="U285" s="176">
        <v>16</v>
      </c>
      <c r="V285" s="109" t="s">
        <v>1560</v>
      </c>
      <c r="W285" s="335" t="s">
        <v>1250</v>
      </c>
      <c r="X285" s="109" t="s">
        <v>272</v>
      </c>
      <c r="Y285" s="109" t="s">
        <v>272</v>
      </c>
      <c r="Z285" s="109"/>
      <c r="AA285" s="114"/>
      <c r="AB285" s="114"/>
      <c r="AC285" s="109"/>
      <c r="AD285" s="101"/>
      <c r="AE285" s="101"/>
    </row>
    <row r="286" spans="1:32" s="107" customFormat="1" ht="43.5">
      <c r="A286" s="107" t="s">
        <v>2268</v>
      </c>
      <c r="B286" s="107" t="s">
        <v>2246</v>
      </c>
      <c r="C286" s="108">
        <v>46187</v>
      </c>
      <c r="D286" s="108" t="s">
        <v>209</v>
      </c>
      <c r="E286" s="617" t="s">
        <v>2256</v>
      </c>
      <c r="F286" s="176">
        <v>60</v>
      </c>
      <c r="G286" s="176">
        <v>910</v>
      </c>
      <c r="H286" s="144">
        <v>150</v>
      </c>
      <c r="I286" s="176" t="s">
        <v>1247</v>
      </c>
      <c r="J286" s="146" t="s">
        <v>1234</v>
      </c>
      <c r="K286" s="145" t="s">
        <v>2239</v>
      </c>
      <c r="L286" s="147" t="s">
        <v>1236</v>
      </c>
      <c r="M286" s="148">
        <v>300</v>
      </c>
      <c r="N286" s="148" t="s">
        <v>1237</v>
      </c>
      <c r="O286" s="149">
        <v>1</v>
      </c>
      <c r="P286" s="469">
        <v>0</v>
      </c>
      <c r="Q286" s="150" t="s">
        <v>1238</v>
      </c>
      <c r="R286" s="162">
        <v>20</v>
      </c>
      <c r="S286" s="144">
        <v>1</v>
      </c>
      <c r="T286" s="176">
        <v>5</v>
      </c>
      <c r="U286" s="176">
        <v>16</v>
      </c>
      <c r="V286" s="109" t="s">
        <v>1560</v>
      </c>
      <c r="W286" s="335" t="s">
        <v>1240</v>
      </c>
      <c r="X286" s="144" t="s">
        <v>1241</v>
      </c>
      <c r="Y286" s="144" t="s">
        <v>272</v>
      </c>
      <c r="Z286" s="144" t="s">
        <v>1227</v>
      </c>
      <c r="AA286" s="152"/>
      <c r="AB286" s="152"/>
      <c r="AC286" s="163" t="s">
        <v>2254</v>
      </c>
      <c r="AD286" s="51"/>
      <c r="AE286" s="104"/>
      <c r="AF286" s="104"/>
    </row>
    <row r="287" spans="1:32" s="107" customFormat="1" ht="29.1">
      <c r="A287" s="107" t="s">
        <v>1245</v>
      </c>
      <c r="B287" s="107" t="s">
        <v>1246</v>
      </c>
      <c r="C287" s="108">
        <v>46188</v>
      </c>
      <c r="D287" s="108" t="s">
        <v>208</v>
      </c>
      <c r="E287" s="300" t="s">
        <v>2235</v>
      </c>
      <c r="F287" s="176">
        <v>60</v>
      </c>
      <c r="G287" s="176">
        <v>910</v>
      </c>
      <c r="H287" s="144">
        <v>150</v>
      </c>
      <c r="I287" s="176" t="s">
        <v>1247</v>
      </c>
      <c r="J287" s="146" t="s">
        <v>1234</v>
      </c>
      <c r="K287" s="145" t="s">
        <v>2239</v>
      </c>
      <c r="L287" s="147" t="s">
        <v>1236</v>
      </c>
      <c r="M287" s="148">
        <v>150</v>
      </c>
      <c r="N287" s="148" t="s">
        <v>1249</v>
      </c>
      <c r="O287" s="149">
        <v>1</v>
      </c>
      <c r="P287" s="469">
        <v>5</v>
      </c>
      <c r="Q287" s="150" t="s">
        <v>1238</v>
      </c>
      <c r="R287" s="162">
        <v>0</v>
      </c>
      <c r="S287" s="144">
        <v>1</v>
      </c>
      <c r="T287" s="176">
        <v>5</v>
      </c>
      <c r="U287" s="176">
        <v>16</v>
      </c>
      <c r="V287" s="109" t="s">
        <v>1560</v>
      </c>
      <c r="W287" s="335" t="s">
        <v>1250</v>
      </c>
      <c r="X287" s="109" t="s">
        <v>272</v>
      </c>
      <c r="Y287" s="109" t="s">
        <v>272</v>
      </c>
      <c r="Z287" s="109"/>
      <c r="AA287" s="114"/>
      <c r="AB287" s="114"/>
      <c r="AC287" s="109"/>
      <c r="AD287" s="101"/>
      <c r="AE287" s="101"/>
    </row>
    <row r="288" spans="1:32" s="107" customFormat="1" ht="43.5">
      <c r="A288" s="107" t="s">
        <v>2269</v>
      </c>
      <c r="B288" s="107" t="s">
        <v>2246</v>
      </c>
      <c r="C288" s="108">
        <v>46188</v>
      </c>
      <c r="D288" s="108" t="s">
        <v>2248</v>
      </c>
      <c r="E288" s="617" t="s">
        <v>2256</v>
      </c>
      <c r="F288" s="176">
        <v>60</v>
      </c>
      <c r="G288" s="176">
        <v>910</v>
      </c>
      <c r="H288" s="144">
        <v>150</v>
      </c>
      <c r="I288" s="176" t="s">
        <v>1247</v>
      </c>
      <c r="J288" s="146" t="s">
        <v>1234</v>
      </c>
      <c r="K288" s="145" t="s">
        <v>2239</v>
      </c>
      <c r="L288" s="147" t="s">
        <v>1236</v>
      </c>
      <c r="M288" s="148">
        <v>300</v>
      </c>
      <c r="N288" s="148" t="s">
        <v>1237</v>
      </c>
      <c r="O288" s="149">
        <v>1</v>
      </c>
      <c r="P288" s="469">
        <v>0</v>
      </c>
      <c r="Q288" s="150" t="s">
        <v>1238</v>
      </c>
      <c r="R288" s="162">
        <v>20</v>
      </c>
      <c r="S288" s="144">
        <v>1</v>
      </c>
      <c r="T288" s="176">
        <v>5</v>
      </c>
      <c r="U288" s="176">
        <v>16</v>
      </c>
      <c r="V288" s="109" t="s">
        <v>1560</v>
      </c>
      <c r="W288" s="335" t="s">
        <v>1240</v>
      </c>
      <c r="X288" s="144" t="s">
        <v>1241</v>
      </c>
      <c r="Y288" s="144" t="s">
        <v>272</v>
      </c>
      <c r="Z288" s="144" t="s">
        <v>1227</v>
      </c>
      <c r="AA288" s="152"/>
      <c r="AB288" s="152"/>
      <c r="AC288" s="163" t="s">
        <v>2270</v>
      </c>
      <c r="AD288" s="51"/>
      <c r="AE288" s="104"/>
      <c r="AF288" s="104"/>
    </row>
    <row r="289" spans="1:32" s="107" customFormat="1" ht="29.1">
      <c r="A289" s="107" t="s">
        <v>1245</v>
      </c>
      <c r="B289" s="107" t="s">
        <v>1246</v>
      </c>
      <c r="C289" s="108">
        <v>46188</v>
      </c>
      <c r="D289" s="108" t="s">
        <v>2248</v>
      </c>
      <c r="E289" s="300" t="s">
        <v>2235</v>
      </c>
      <c r="F289" s="176">
        <v>60</v>
      </c>
      <c r="G289" s="176">
        <v>910</v>
      </c>
      <c r="H289" s="144">
        <v>150</v>
      </c>
      <c r="I289" s="176" t="s">
        <v>1247</v>
      </c>
      <c r="J289" s="146" t="s">
        <v>1234</v>
      </c>
      <c r="K289" s="145" t="s">
        <v>2239</v>
      </c>
      <c r="L289" s="147" t="s">
        <v>1236</v>
      </c>
      <c r="M289" s="148">
        <v>150</v>
      </c>
      <c r="N289" s="148" t="s">
        <v>1249</v>
      </c>
      <c r="O289" s="149">
        <v>1</v>
      </c>
      <c r="P289" s="469">
        <v>5</v>
      </c>
      <c r="Q289" s="150" t="s">
        <v>1238</v>
      </c>
      <c r="R289" s="162">
        <v>0</v>
      </c>
      <c r="S289" s="144">
        <v>1</v>
      </c>
      <c r="T289" s="176">
        <v>5</v>
      </c>
      <c r="U289" s="176">
        <v>16</v>
      </c>
      <c r="V289" s="109" t="s">
        <v>1560</v>
      </c>
      <c r="W289" s="335" t="s">
        <v>1250</v>
      </c>
      <c r="X289" s="109" t="s">
        <v>272</v>
      </c>
      <c r="Y289" s="109" t="s">
        <v>272</v>
      </c>
      <c r="Z289" s="109"/>
      <c r="AA289" s="114"/>
      <c r="AB289" s="114"/>
      <c r="AC289" s="109"/>
      <c r="AD289" s="101"/>
      <c r="AE289" s="101"/>
    </row>
    <row r="290" spans="1:32" s="107" customFormat="1" ht="43.5">
      <c r="A290" s="107" t="s">
        <v>2271</v>
      </c>
      <c r="B290" s="107" t="s">
        <v>2246</v>
      </c>
      <c r="C290" s="108">
        <v>46189</v>
      </c>
      <c r="D290" s="108" t="s">
        <v>2248</v>
      </c>
      <c r="E290" s="617" t="s">
        <v>2256</v>
      </c>
      <c r="F290" s="176">
        <v>60</v>
      </c>
      <c r="G290" s="176">
        <v>910</v>
      </c>
      <c r="H290" s="144">
        <v>150</v>
      </c>
      <c r="I290" s="176" t="s">
        <v>1247</v>
      </c>
      <c r="J290" s="146" t="s">
        <v>1234</v>
      </c>
      <c r="K290" s="145" t="s">
        <v>2239</v>
      </c>
      <c r="L290" s="147" t="s">
        <v>1236</v>
      </c>
      <c r="M290" s="148">
        <v>300</v>
      </c>
      <c r="N290" s="148" t="s">
        <v>1237</v>
      </c>
      <c r="O290" s="149">
        <v>1</v>
      </c>
      <c r="P290" s="469">
        <v>0</v>
      </c>
      <c r="Q290" s="150" t="s">
        <v>1238</v>
      </c>
      <c r="R290" s="162">
        <v>20</v>
      </c>
      <c r="S290" s="144">
        <v>1</v>
      </c>
      <c r="T290" s="176">
        <v>5</v>
      </c>
      <c r="U290" s="176">
        <v>16</v>
      </c>
      <c r="V290" s="109" t="s">
        <v>1560</v>
      </c>
      <c r="W290" s="335" t="s">
        <v>1240</v>
      </c>
      <c r="X290" s="144" t="s">
        <v>1241</v>
      </c>
      <c r="Y290" s="144" t="s">
        <v>272</v>
      </c>
      <c r="Z290" s="144" t="s">
        <v>1227</v>
      </c>
      <c r="AA290" s="152"/>
      <c r="AB290" s="152"/>
      <c r="AC290" s="163" t="s">
        <v>2270</v>
      </c>
      <c r="AD290" s="51"/>
      <c r="AE290" s="104"/>
      <c r="AF290" s="104"/>
    </row>
    <row r="291" spans="1:32" s="107" customFormat="1" ht="29.1">
      <c r="A291" s="107" t="s">
        <v>1245</v>
      </c>
      <c r="B291" s="107" t="s">
        <v>1246</v>
      </c>
      <c r="C291" s="108">
        <v>46189</v>
      </c>
      <c r="D291" s="108" t="s">
        <v>2248</v>
      </c>
      <c r="E291" s="300" t="s">
        <v>2235</v>
      </c>
      <c r="F291" s="176">
        <v>60</v>
      </c>
      <c r="G291" s="176">
        <v>910</v>
      </c>
      <c r="H291" s="144">
        <v>150</v>
      </c>
      <c r="I291" s="176" t="s">
        <v>1247</v>
      </c>
      <c r="J291" s="146" t="s">
        <v>1234</v>
      </c>
      <c r="K291" s="145" t="s">
        <v>2239</v>
      </c>
      <c r="L291" s="147" t="s">
        <v>1236</v>
      </c>
      <c r="M291" s="148">
        <v>150</v>
      </c>
      <c r="N291" s="148" t="s">
        <v>1249</v>
      </c>
      <c r="O291" s="149">
        <v>1</v>
      </c>
      <c r="P291" s="469">
        <v>5</v>
      </c>
      <c r="Q291" s="150" t="s">
        <v>1238</v>
      </c>
      <c r="R291" s="162">
        <v>0</v>
      </c>
      <c r="S291" s="144">
        <v>1</v>
      </c>
      <c r="T291" s="176">
        <v>5</v>
      </c>
      <c r="U291" s="176">
        <v>16</v>
      </c>
      <c r="V291" s="109" t="s">
        <v>1560</v>
      </c>
      <c r="W291" s="335" t="s">
        <v>1250</v>
      </c>
      <c r="X291" s="109" t="s">
        <v>272</v>
      </c>
      <c r="Y291" s="109" t="s">
        <v>272</v>
      </c>
      <c r="Z291" s="109"/>
      <c r="AA291" s="114"/>
      <c r="AB291" s="114"/>
      <c r="AC291" s="109"/>
      <c r="AD291" s="101"/>
      <c r="AE291" s="101"/>
    </row>
    <row r="292" spans="1:32" s="107" customFormat="1" ht="43.5">
      <c r="A292" s="107" t="s">
        <v>2272</v>
      </c>
      <c r="B292" s="107" t="s">
        <v>2246</v>
      </c>
      <c r="C292" s="108">
        <v>46189</v>
      </c>
      <c r="D292" s="108" t="s">
        <v>2248</v>
      </c>
      <c r="E292" s="617" t="s">
        <v>2256</v>
      </c>
      <c r="F292" s="176">
        <v>60</v>
      </c>
      <c r="G292" s="176">
        <v>910</v>
      </c>
      <c r="H292" s="144">
        <v>150</v>
      </c>
      <c r="I292" s="176" t="s">
        <v>1247</v>
      </c>
      <c r="J292" s="146" t="s">
        <v>1234</v>
      </c>
      <c r="K292" s="145" t="s">
        <v>2239</v>
      </c>
      <c r="L292" s="147" t="s">
        <v>1236</v>
      </c>
      <c r="M292" s="148">
        <v>300</v>
      </c>
      <c r="N292" s="148" t="s">
        <v>1237</v>
      </c>
      <c r="O292" s="149">
        <v>1</v>
      </c>
      <c r="P292" s="469">
        <v>0</v>
      </c>
      <c r="Q292" s="150" t="s">
        <v>1238</v>
      </c>
      <c r="R292" s="162">
        <v>20</v>
      </c>
      <c r="S292" s="144">
        <v>1</v>
      </c>
      <c r="T292" s="176">
        <v>5</v>
      </c>
      <c r="U292" s="176">
        <v>16</v>
      </c>
      <c r="V292" s="109" t="s">
        <v>1560</v>
      </c>
      <c r="W292" s="335" t="s">
        <v>1240</v>
      </c>
      <c r="X292" s="144" t="s">
        <v>1241</v>
      </c>
      <c r="Y292" s="144" t="s">
        <v>272</v>
      </c>
      <c r="Z292" s="144" t="s">
        <v>1227</v>
      </c>
      <c r="AA292" s="152"/>
      <c r="AB292" s="152"/>
      <c r="AC292" s="163" t="s">
        <v>2270</v>
      </c>
      <c r="AD292" s="51"/>
      <c r="AE292" s="104"/>
      <c r="AF292" s="104"/>
    </row>
    <row r="293" spans="1:32" s="107" customFormat="1" ht="29.1">
      <c r="A293" s="107" t="s">
        <v>1245</v>
      </c>
      <c r="B293" s="107" t="s">
        <v>1246</v>
      </c>
      <c r="C293" s="108">
        <v>46189</v>
      </c>
      <c r="D293" s="108" t="s">
        <v>2248</v>
      </c>
      <c r="E293" s="300" t="s">
        <v>2235</v>
      </c>
      <c r="F293" s="176">
        <v>60</v>
      </c>
      <c r="G293" s="176">
        <v>910</v>
      </c>
      <c r="H293" s="144">
        <v>150</v>
      </c>
      <c r="I293" s="176" t="s">
        <v>1247</v>
      </c>
      <c r="J293" s="146" t="s">
        <v>1234</v>
      </c>
      <c r="K293" s="145" t="s">
        <v>2239</v>
      </c>
      <c r="L293" s="147" t="s">
        <v>1236</v>
      </c>
      <c r="M293" s="148">
        <v>150</v>
      </c>
      <c r="N293" s="148" t="s">
        <v>1249</v>
      </c>
      <c r="O293" s="149">
        <v>1</v>
      </c>
      <c r="P293" s="469">
        <v>5</v>
      </c>
      <c r="Q293" s="150" t="s">
        <v>1238</v>
      </c>
      <c r="R293" s="162">
        <v>0</v>
      </c>
      <c r="S293" s="144">
        <v>1</v>
      </c>
      <c r="T293" s="176">
        <v>5</v>
      </c>
      <c r="U293" s="176">
        <v>16</v>
      </c>
      <c r="V293" s="109" t="s">
        <v>1560</v>
      </c>
      <c r="W293" s="335" t="s">
        <v>1250</v>
      </c>
      <c r="X293" s="109" t="s">
        <v>272</v>
      </c>
      <c r="Y293" s="109" t="s">
        <v>272</v>
      </c>
      <c r="Z293" s="109"/>
      <c r="AA293" s="114"/>
      <c r="AB293" s="114"/>
      <c r="AC293" s="109"/>
      <c r="AD293" s="101"/>
      <c r="AE293" s="101"/>
    </row>
    <row r="294" spans="1:32" s="107" customFormat="1" ht="43.5">
      <c r="A294" s="107" t="s">
        <v>2273</v>
      </c>
      <c r="B294" s="107" t="s">
        <v>2246</v>
      </c>
      <c r="C294" s="108">
        <v>46189</v>
      </c>
      <c r="D294" s="108" t="s">
        <v>209</v>
      </c>
      <c r="E294" s="617" t="s">
        <v>2256</v>
      </c>
      <c r="F294" s="176">
        <v>60</v>
      </c>
      <c r="G294" s="176">
        <v>910</v>
      </c>
      <c r="H294" s="144">
        <v>150</v>
      </c>
      <c r="I294" s="176" t="s">
        <v>1247</v>
      </c>
      <c r="J294" s="146" t="s">
        <v>1234</v>
      </c>
      <c r="K294" s="145" t="s">
        <v>2239</v>
      </c>
      <c r="L294" s="147" t="s">
        <v>1236</v>
      </c>
      <c r="M294" s="148">
        <v>300</v>
      </c>
      <c r="N294" s="148" t="s">
        <v>1237</v>
      </c>
      <c r="O294" s="149">
        <v>1</v>
      </c>
      <c r="P294" s="469">
        <v>0</v>
      </c>
      <c r="Q294" s="150" t="s">
        <v>1238</v>
      </c>
      <c r="R294" s="162">
        <v>20</v>
      </c>
      <c r="S294" s="144">
        <v>1</v>
      </c>
      <c r="T294" s="176">
        <v>5</v>
      </c>
      <c r="U294" s="176">
        <v>16</v>
      </c>
      <c r="V294" s="109" t="s">
        <v>1560</v>
      </c>
      <c r="W294" s="335" t="s">
        <v>1240</v>
      </c>
      <c r="X294" s="144" t="s">
        <v>1241</v>
      </c>
      <c r="Y294" s="144" t="s">
        <v>272</v>
      </c>
      <c r="Z294" s="144" t="s">
        <v>1227</v>
      </c>
      <c r="AA294" s="152"/>
      <c r="AB294" s="152"/>
      <c r="AC294" s="163" t="s">
        <v>2270</v>
      </c>
      <c r="AD294" s="51"/>
      <c r="AE294" s="104"/>
      <c r="AF294" s="104"/>
    </row>
    <row r="295" spans="1:32" s="107" customFormat="1" ht="29.1">
      <c r="A295" s="107" t="s">
        <v>1245</v>
      </c>
      <c r="B295" s="107" t="s">
        <v>1246</v>
      </c>
      <c r="C295" s="108">
        <v>46190</v>
      </c>
      <c r="D295" s="108" t="s">
        <v>208</v>
      </c>
      <c r="E295" s="300" t="s">
        <v>2235</v>
      </c>
      <c r="F295" s="176">
        <v>60</v>
      </c>
      <c r="G295" s="176">
        <v>910</v>
      </c>
      <c r="H295" s="144">
        <v>150</v>
      </c>
      <c r="I295" s="176" t="s">
        <v>1247</v>
      </c>
      <c r="J295" s="146" t="s">
        <v>1234</v>
      </c>
      <c r="K295" s="145" t="s">
        <v>2239</v>
      </c>
      <c r="L295" s="147" t="s">
        <v>1236</v>
      </c>
      <c r="M295" s="148">
        <v>150</v>
      </c>
      <c r="N295" s="148" t="s">
        <v>1249</v>
      </c>
      <c r="O295" s="149">
        <v>1</v>
      </c>
      <c r="P295" s="469">
        <v>5</v>
      </c>
      <c r="Q295" s="150" t="s">
        <v>1238</v>
      </c>
      <c r="R295" s="162">
        <v>0</v>
      </c>
      <c r="S295" s="144">
        <v>1</v>
      </c>
      <c r="T295" s="176">
        <v>5</v>
      </c>
      <c r="U295" s="176">
        <v>16</v>
      </c>
      <c r="V295" s="109" t="s">
        <v>1560</v>
      </c>
      <c r="W295" s="335" t="s">
        <v>1250</v>
      </c>
      <c r="X295" s="109" t="s">
        <v>272</v>
      </c>
      <c r="Y295" s="109" t="s">
        <v>272</v>
      </c>
      <c r="Z295" s="109"/>
      <c r="AA295" s="114"/>
      <c r="AB295" s="114"/>
      <c r="AC295" s="109"/>
      <c r="AD295" s="101"/>
      <c r="AE295" s="101"/>
    </row>
    <row r="296" spans="1:32" s="107" customFormat="1" ht="43.5">
      <c r="A296" s="107" t="s">
        <v>2274</v>
      </c>
      <c r="B296" s="107" t="s">
        <v>2246</v>
      </c>
      <c r="C296" s="108">
        <v>46190</v>
      </c>
      <c r="D296" s="108" t="s">
        <v>2248</v>
      </c>
      <c r="E296" s="617" t="s">
        <v>2256</v>
      </c>
      <c r="F296" s="176">
        <v>60</v>
      </c>
      <c r="G296" s="176">
        <v>910</v>
      </c>
      <c r="H296" s="144">
        <v>150</v>
      </c>
      <c r="I296" s="176" t="s">
        <v>1247</v>
      </c>
      <c r="J296" s="146" t="s">
        <v>1234</v>
      </c>
      <c r="K296" s="145" t="s">
        <v>2239</v>
      </c>
      <c r="L296" s="147" t="s">
        <v>1236</v>
      </c>
      <c r="M296" s="148">
        <v>300</v>
      </c>
      <c r="N296" s="148" t="s">
        <v>1237</v>
      </c>
      <c r="O296" s="149">
        <v>1</v>
      </c>
      <c r="P296" s="469">
        <v>0</v>
      </c>
      <c r="Q296" s="150" t="s">
        <v>1238</v>
      </c>
      <c r="R296" s="162">
        <v>20</v>
      </c>
      <c r="S296" s="144">
        <v>1</v>
      </c>
      <c r="T296" s="176">
        <v>5</v>
      </c>
      <c r="U296" s="176">
        <v>16</v>
      </c>
      <c r="V296" s="109" t="s">
        <v>1560</v>
      </c>
      <c r="W296" s="335" t="s">
        <v>1240</v>
      </c>
      <c r="X296" s="144" t="s">
        <v>1241</v>
      </c>
      <c r="Y296" s="144" t="s">
        <v>272</v>
      </c>
      <c r="Z296" s="144" t="s">
        <v>1227</v>
      </c>
      <c r="AA296" s="152"/>
      <c r="AB296" s="152"/>
      <c r="AC296" s="163" t="s">
        <v>2270</v>
      </c>
      <c r="AD296" s="51"/>
      <c r="AE296" s="104"/>
      <c r="AF296" s="104"/>
    </row>
    <row r="297" spans="1:32" s="107" customFormat="1" ht="29.1">
      <c r="A297" s="107" t="s">
        <v>1245</v>
      </c>
      <c r="B297" s="107" t="s">
        <v>1246</v>
      </c>
      <c r="C297" s="108">
        <v>46190</v>
      </c>
      <c r="D297" s="108" t="s">
        <v>2248</v>
      </c>
      <c r="E297" s="300" t="s">
        <v>2235</v>
      </c>
      <c r="F297" s="176">
        <v>60</v>
      </c>
      <c r="G297" s="176">
        <v>910</v>
      </c>
      <c r="H297" s="144">
        <v>150</v>
      </c>
      <c r="I297" s="176" t="s">
        <v>1247</v>
      </c>
      <c r="J297" s="146" t="s">
        <v>1234</v>
      </c>
      <c r="K297" s="145" t="s">
        <v>2239</v>
      </c>
      <c r="L297" s="147" t="s">
        <v>1236</v>
      </c>
      <c r="M297" s="148">
        <v>150</v>
      </c>
      <c r="N297" s="148" t="s">
        <v>1249</v>
      </c>
      <c r="O297" s="149">
        <v>1</v>
      </c>
      <c r="P297" s="469">
        <v>5</v>
      </c>
      <c r="Q297" s="150" t="s">
        <v>1238</v>
      </c>
      <c r="R297" s="162">
        <v>0</v>
      </c>
      <c r="S297" s="144">
        <v>1</v>
      </c>
      <c r="T297" s="176">
        <v>5</v>
      </c>
      <c r="U297" s="176">
        <v>16</v>
      </c>
      <c r="V297" s="176" t="s">
        <v>1239</v>
      </c>
      <c r="W297" s="335" t="s">
        <v>1250</v>
      </c>
      <c r="X297" s="109" t="s">
        <v>272</v>
      </c>
      <c r="Y297" s="109" t="s">
        <v>272</v>
      </c>
      <c r="Z297" s="109"/>
      <c r="AA297" s="114"/>
      <c r="AB297" s="114"/>
      <c r="AC297" s="109"/>
      <c r="AD297" s="101"/>
      <c r="AE297" s="101"/>
    </row>
    <row r="298" spans="1:32" s="107" customFormat="1" ht="57.95">
      <c r="A298" s="107" t="s">
        <v>2275</v>
      </c>
      <c r="B298" s="107" t="s">
        <v>2246</v>
      </c>
      <c r="C298" s="108">
        <v>46191</v>
      </c>
      <c r="D298" s="108" t="s">
        <v>2248</v>
      </c>
      <c r="E298" s="617" t="s">
        <v>2256</v>
      </c>
      <c r="F298" s="176">
        <v>60</v>
      </c>
      <c r="G298" s="176">
        <v>910</v>
      </c>
      <c r="H298" s="144">
        <v>150</v>
      </c>
      <c r="I298" s="176" t="s">
        <v>1247</v>
      </c>
      <c r="J298" s="146" t="s">
        <v>1234</v>
      </c>
      <c r="K298" s="220" t="s">
        <v>2276</v>
      </c>
      <c r="L298" s="147" t="s">
        <v>1236</v>
      </c>
      <c r="M298" s="148">
        <v>300</v>
      </c>
      <c r="N298" s="148" t="s">
        <v>1237</v>
      </c>
      <c r="O298" s="149">
        <v>1</v>
      </c>
      <c r="P298" s="469">
        <v>0</v>
      </c>
      <c r="Q298" s="150" t="s">
        <v>1238</v>
      </c>
      <c r="R298" s="162">
        <v>20</v>
      </c>
      <c r="S298" s="144">
        <v>1</v>
      </c>
      <c r="T298" s="176">
        <v>5</v>
      </c>
      <c r="U298" s="176">
        <v>16</v>
      </c>
      <c r="V298" s="176" t="s">
        <v>1239</v>
      </c>
      <c r="W298" s="335" t="s">
        <v>1240</v>
      </c>
      <c r="X298" s="144" t="s">
        <v>1241</v>
      </c>
      <c r="Y298" s="144" t="s">
        <v>272</v>
      </c>
      <c r="Z298" s="144" t="s">
        <v>1227</v>
      </c>
      <c r="AA298" s="152"/>
      <c r="AB298" s="152"/>
      <c r="AC298" s="542" t="s">
        <v>2277</v>
      </c>
      <c r="AD298" s="51"/>
      <c r="AE298" s="104"/>
      <c r="AF298" s="104"/>
    </row>
    <row r="299" spans="1:32" s="107" customFormat="1" ht="29.1">
      <c r="A299" s="107" t="s">
        <v>1245</v>
      </c>
      <c r="B299" s="107" t="s">
        <v>1246</v>
      </c>
      <c r="C299" s="108">
        <v>46191</v>
      </c>
      <c r="D299" s="108" t="s">
        <v>2248</v>
      </c>
      <c r="E299" s="300" t="s">
        <v>2235</v>
      </c>
      <c r="F299" s="176">
        <v>60</v>
      </c>
      <c r="G299" s="176">
        <v>910</v>
      </c>
      <c r="H299" s="144">
        <v>150</v>
      </c>
      <c r="I299" s="176" t="s">
        <v>1247</v>
      </c>
      <c r="J299" s="146" t="s">
        <v>1234</v>
      </c>
      <c r="K299" s="145" t="s">
        <v>1248</v>
      </c>
      <c r="L299" s="147" t="s">
        <v>1236</v>
      </c>
      <c r="M299" s="148">
        <v>150</v>
      </c>
      <c r="N299" s="148" t="s">
        <v>1249</v>
      </c>
      <c r="O299" s="149">
        <v>1</v>
      </c>
      <c r="P299" s="469">
        <v>5</v>
      </c>
      <c r="Q299" s="150" t="s">
        <v>1238</v>
      </c>
      <c r="R299" s="162">
        <v>0</v>
      </c>
      <c r="S299" s="144">
        <v>1</v>
      </c>
      <c r="T299" s="176">
        <v>5</v>
      </c>
      <c r="U299" s="176">
        <v>16</v>
      </c>
      <c r="V299" s="176" t="s">
        <v>1239</v>
      </c>
      <c r="W299" s="335" t="s">
        <v>1250</v>
      </c>
      <c r="X299" s="109" t="s">
        <v>272</v>
      </c>
      <c r="Y299" s="109" t="s">
        <v>272</v>
      </c>
      <c r="Z299" s="109"/>
      <c r="AA299" s="114"/>
      <c r="AB299" s="114"/>
      <c r="AC299" s="109"/>
      <c r="AD299" s="101"/>
      <c r="AE299" s="101"/>
    </row>
    <row r="300" spans="1:32" s="107" customFormat="1" ht="43.5">
      <c r="A300" s="107" t="s">
        <v>2278</v>
      </c>
      <c r="B300" s="107" t="s">
        <v>2246</v>
      </c>
      <c r="C300" s="108">
        <v>46191</v>
      </c>
      <c r="D300" s="108" t="s">
        <v>2248</v>
      </c>
      <c r="E300" s="617" t="s">
        <v>2256</v>
      </c>
      <c r="F300" s="176">
        <v>60</v>
      </c>
      <c r="G300" s="176">
        <v>910</v>
      </c>
      <c r="H300" s="144">
        <v>150</v>
      </c>
      <c r="I300" s="176" t="s">
        <v>1247</v>
      </c>
      <c r="J300" s="146" t="s">
        <v>1234</v>
      </c>
      <c r="K300" s="145" t="s">
        <v>2276</v>
      </c>
      <c r="L300" s="147" t="s">
        <v>1236</v>
      </c>
      <c r="M300" s="148">
        <v>300</v>
      </c>
      <c r="N300" s="148" t="s">
        <v>1237</v>
      </c>
      <c r="O300" s="149">
        <v>1</v>
      </c>
      <c r="P300" s="469">
        <v>0</v>
      </c>
      <c r="Q300" s="150" t="s">
        <v>1238</v>
      </c>
      <c r="R300" s="162">
        <v>20</v>
      </c>
      <c r="S300" s="144">
        <v>1</v>
      </c>
      <c r="T300" s="176">
        <v>5</v>
      </c>
      <c r="U300" s="176">
        <v>16</v>
      </c>
      <c r="V300" s="176" t="s">
        <v>1239</v>
      </c>
      <c r="W300" s="335" t="s">
        <v>1240</v>
      </c>
      <c r="X300" s="144" t="s">
        <v>1241</v>
      </c>
      <c r="Y300" s="144" t="s">
        <v>272</v>
      </c>
      <c r="Z300" s="144" t="s">
        <v>1227</v>
      </c>
      <c r="AA300" s="152"/>
      <c r="AB300" s="152"/>
      <c r="AC300" s="542" t="s">
        <v>2279</v>
      </c>
      <c r="AD300" s="51"/>
      <c r="AE300" s="104"/>
      <c r="AF300" s="104"/>
    </row>
    <row r="301" spans="1:32" s="107" customFormat="1" ht="29.1">
      <c r="A301" s="107" t="s">
        <v>1245</v>
      </c>
      <c r="B301" s="107" t="s">
        <v>1246</v>
      </c>
      <c r="C301" s="108">
        <v>46191</v>
      </c>
      <c r="D301" s="108" t="s">
        <v>2248</v>
      </c>
      <c r="E301" s="300" t="s">
        <v>2235</v>
      </c>
      <c r="F301" s="176">
        <v>60</v>
      </c>
      <c r="G301" s="176">
        <v>910</v>
      </c>
      <c r="H301" s="144">
        <v>150</v>
      </c>
      <c r="I301" s="176" t="s">
        <v>1247</v>
      </c>
      <c r="J301" s="146" t="s">
        <v>1234</v>
      </c>
      <c r="K301" s="220" t="s">
        <v>2280</v>
      </c>
      <c r="L301" s="147" t="s">
        <v>1236</v>
      </c>
      <c r="M301" s="148">
        <v>150</v>
      </c>
      <c r="N301" s="148" t="s">
        <v>1249</v>
      </c>
      <c r="O301" s="149">
        <v>1</v>
      </c>
      <c r="P301" s="469">
        <v>5</v>
      </c>
      <c r="Q301" s="150" t="s">
        <v>1238</v>
      </c>
      <c r="R301" s="162">
        <v>0</v>
      </c>
      <c r="S301" s="144">
        <v>1</v>
      </c>
      <c r="T301" s="176">
        <v>5</v>
      </c>
      <c r="U301" s="176">
        <v>16</v>
      </c>
      <c r="V301" s="176" t="s">
        <v>1239</v>
      </c>
      <c r="W301" s="335" t="s">
        <v>1250</v>
      </c>
      <c r="X301" s="109" t="s">
        <v>272</v>
      </c>
      <c r="Y301" s="109" t="s">
        <v>272</v>
      </c>
      <c r="Z301" s="109"/>
      <c r="AA301" s="114"/>
      <c r="AB301" s="114"/>
      <c r="AC301" s="109"/>
      <c r="AD301" s="101"/>
      <c r="AE301" s="101"/>
    </row>
    <row r="302" spans="1:32" s="107" customFormat="1" ht="43.5">
      <c r="A302" s="107" t="s">
        <v>2281</v>
      </c>
      <c r="B302" s="107" t="s">
        <v>2246</v>
      </c>
      <c r="C302" s="108">
        <v>46191</v>
      </c>
      <c r="D302" s="108" t="s">
        <v>209</v>
      </c>
      <c r="E302" s="617" t="s">
        <v>2256</v>
      </c>
      <c r="F302" s="176">
        <v>60</v>
      </c>
      <c r="G302" s="176">
        <v>910</v>
      </c>
      <c r="H302" s="144">
        <v>150</v>
      </c>
      <c r="I302" s="176" t="s">
        <v>1247</v>
      </c>
      <c r="J302" s="146" t="s">
        <v>1234</v>
      </c>
      <c r="K302" s="220" t="s">
        <v>2276</v>
      </c>
      <c r="L302" s="147" t="s">
        <v>1236</v>
      </c>
      <c r="M302" s="148">
        <v>300</v>
      </c>
      <c r="N302" s="148" t="s">
        <v>1237</v>
      </c>
      <c r="O302" s="149">
        <v>1</v>
      </c>
      <c r="P302" s="469">
        <v>0</v>
      </c>
      <c r="Q302" s="150" t="s">
        <v>1238</v>
      </c>
      <c r="R302" s="162">
        <v>20</v>
      </c>
      <c r="S302" s="144">
        <v>1</v>
      </c>
      <c r="T302" s="176">
        <v>5</v>
      </c>
      <c r="U302" s="176">
        <v>16</v>
      </c>
      <c r="V302" s="176" t="s">
        <v>1239</v>
      </c>
      <c r="W302" s="335" t="s">
        <v>1240</v>
      </c>
      <c r="X302" s="144" t="s">
        <v>1241</v>
      </c>
      <c r="Y302" s="144" t="s">
        <v>272</v>
      </c>
      <c r="Z302" s="144" t="s">
        <v>1227</v>
      </c>
      <c r="AA302" s="152"/>
      <c r="AB302" s="152"/>
      <c r="AC302" s="471" t="s">
        <v>2270</v>
      </c>
      <c r="AD302" s="51"/>
      <c r="AE302" s="104"/>
      <c r="AF302" s="104"/>
    </row>
    <row r="303" spans="1:32" s="107" customFormat="1" ht="29.1">
      <c r="A303" s="107" t="s">
        <v>1245</v>
      </c>
      <c r="B303" s="107" t="s">
        <v>1246</v>
      </c>
      <c r="C303" s="108">
        <v>46192</v>
      </c>
      <c r="D303" s="108" t="s">
        <v>209</v>
      </c>
      <c r="E303" s="300" t="s">
        <v>2235</v>
      </c>
      <c r="F303" s="176">
        <v>60</v>
      </c>
      <c r="G303" s="176">
        <v>910</v>
      </c>
      <c r="H303" s="144">
        <v>150</v>
      </c>
      <c r="I303" s="176" t="s">
        <v>1247</v>
      </c>
      <c r="J303" s="146" t="s">
        <v>1234</v>
      </c>
      <c r="K303" s="220" t="s">
        <v>1248</v>
      </c>
      <c r="L303" s="147" t="s">
        <v>1236</v>
      </c>
      <c r="M303" s="148">
        <v>150</v>
      </c>
      <c r="N303" s="148" t="s">
        <v>1249</v>
      </c>
      <c r="O303" s="149">
        <v>1</v>
      </c>
      <c r="P303" s="469">
        <v>5</v>
      </c>
      <c r="Q303" s="150" t="s">
        <v>1238</v>
      </c>
      <c r="R303" s="162">
        <v>0</v>
      </c>
      <c r="S303" s="144">
        <v>1</v>
      </c>
      <c r="T303" s="176">
        <v>5</v>
      </c>
      <c r="U303" s="176">
        <v>16</v>
      </c>
      <c r="V303" s="176" t="s">
        <v>1239</v>
      </c>
      <c r="W303" s="335" t="s">
        <v>1250</v>
      </c>
      <c r="X303" s="109" t="s">
        <v>272</v>
      </c>
      <c r="Y303" s="109" t="s">
        <v>272</v>
      </c>
      <c r="Z303" s="109"/>
      <c r="AA303" s="114"/>
      <c r="AB303" s="114"/>
      <c r="AC303" s="388"/>
      <c r="AD303" s="101"/>
      <c r="AE303" s="101"/>
    </row>
    <row r="304" spans="1:32" s="107" customFormat="1" ht="43.5">
      <c r="A304" s="107" t="s">
        <v>2282</v>
      </c>
      <c r="B304" s="107" t="s">
        <v>2246</v>
      </c>
      <c r="C304" s="108">
        <v>46192</v>
      </c>
      <c r="D304" s="108" t="s">
        <v>2248</v>
      </c>
      <c r="E304" s="617" t="s">
        <v>2256</v>
      </c>
      <c r="F304" s="176">
        <v>60</v>
      </c>
      <c r="G304" s="176">
        <v>910</v>
      </c>
      <c r="H304" s="144">
        <v>150</v>
      </c>
      <c r="I304" s="176" t="s">
        <v>1247</v>
      </c>
      <c r="J304" s="146" t="s">
        <v>1234</v>
      </c>
      <c r="K304" s="220" t="s">
        <v>2283</v>
      </c>
      <c r="L304" s="147" t="s">
        <v>1236</v>
      </c>
      <c r="M304" s="148">
        <v>300</v>
      </c>
      <c r="N304" s="148" t="s">
        <v>1237</v>
      </c>
      <c r="O304" s="149">
        <v>1</v>
      </c>
      <c r="P304" s="469">
        <v>0</v>
      </c>
      <c r="Q304" s="150" t="s">
        <v>1238</v>
      </c>
      <c r="R304" s="162">
        <v>20</v>
      </c>
      <c r="S304" s="144">
        <v>1</v>
      </c>
      <c r="T304" s="176">
        <v>5</v>
      </c>
      <c r="U304" s="176">
        <v>16</v>
      </c>
      <c r="V304" s="176" t="s">
        <v>1239</v>
      </c>
      <c r="W304" s="335" t="s">
        <v>1240</v>
      </c>
      <c r="X304" s="144" t="s">
        <v>1241</v>
      </c>
      <c r="Y304" s="144" t="s">
        <v>272</v>
      </c>
      <c r="Z304" s="144" t="s">
        <v>1227</v>
      </c>
      <c r="AA304" s="152"/>
      <c r="AB304" s="152"/>
      <c r="AC304" s="471" t="s">
        <v>2270</v>
      </c>
      <c r="AD304" s="51"/>
      <c r="AE304" s="104"/>
      <c r="AF304" s="104"/>
    </row>
    <row r="305" spans="1:32" s="107" customFormat="1" ht="29.1">
      <c r="A305" s="107" t="s">
        <v>1245</v>
      </c>
      <c r="B305" s="107" t="s">
        <v>1246</v>
      </c>
      <c r="C305" s="108">
        <v>46192</v>
      </c>
      <c r="D305" s="108" t="s">
        <v>2248</v>
      </c>
      <c r="E305" s="300" t="s">
        <v>2235</v>
      </c>
      <c r="F305" s="176">
        <v>60</v>
      </c>
      <c r="G305" s="176">
        <v>910</v>
      </c>
      <c r="H305" s="144">
        <v>150</v>
      </c>
      <c r="I305" s="176" t="s">
        <v>1247</v>
      </c>
      <c r="J305" s="146" t="s">
        <v>1234</v>
      </c>
      <c r="K305" s="220" t="s">
        <v>1248</v>
      </c>
      <c r="L305" s="147" t="s">
        <v>1236</v>
      </c>
      <c r="M305" s="148">
        <v>150</v>
      </c>
      <c r="N305" s="148" t="s">
        <v>1249</v>
      </c>
      <c r="O305" s="149">
        <v>1</v>
      </c>
      <c r="P305" s="469">
        <v>5</v>
      </c>
      <c r="Q305" s="150" t="s">
        <v>1238</v>
      </c>
      <c r="R305" s="162">
        <v>0</v>
      </c>
      <c r="S305" s="144">
        <v>1</v>
      </c>
      <c r="T305" s="176">
        <v>5</v>
      </c>
      <c r="U305" s="176">
        <v>16</v>
      </c>
      <c r="V305" s="176" t="s">
        <v>1239</v>
      </c>
      <c r="W305" s="335" t="s">
        <v>1250</v>
      </c>
      <c r="X305" s="109" t="s">
        <v>272</v>
      </c>
      <c r="Y305" s="109" t="s">
        <v>272</v>
      </c>
      <c r="Z305" s="109"/>
      <c r="AA305" s="114"/>
      <c r="AB305" s="114"/>
      <c r="AC305" s="388"/>
      <c r="AD305" s="101"/>
      <c r="AE305" s="101"/>
    </row>
    <row r="306" spans="1:32" s="107" customFormat="1" ht="43.5">
      <c r="A306" s="107" t="s">
        <v>2284</v>
      </c>
      <c r="B306" s="107" t="s">
        <v>2246</v>
      </c>
      <c r="C306" s="108">
        <v>46192</v>
      </c>
      <c r="D306" s="108" t="s">
        <v>209</v>
      </c>
      <c r="E306" s="617" t="s">
        <v>2256</v>
      </c>
      <c r="F306" s="176">
        <v>60</v>
      </c>
      <c r="G306" s="176">
        <v>910</v>
      </c>
      <c r="H306" s="144">
        <v>150</v>
      </c>
      <c r="I306" s="176" t="s">
        <v>1247</v>
      </c>
      <c r="J306" s="146" t="s">
        <v>1234</v>
      </c>
      <c r="K306" s="145" t="s">
        <v>2285</v>
      </c>
      <c r="L306" s="147" t="s">
        <v>1236</v>
      </c>
      <c r="M306" s="148">
        <v>300</v>
      </c>
      <c r="N306" s="336" t="s">
        <v>1237</v>
      </c>
      <c r="O306" s="149">
        <v>1</v>
      </c>
      <c r="P306" s="469">
        <v>0</v>
      </c>
      <c r="Q306" s="150" t="s">
        <v>1238</v>
      </c>
      <c r="R306" s="162">
        <v>20</v>
      </c>
      <c r="S306" s="144">
        <v>1</v>
      </c>
      <c r="T306" s="172" t="s">
        <v>2286</v>
      </c>
      <c r="U306" s="176">
        <v>16</v>
      </c>
      <c r="V306" s="176" t="s">
        <v>1239</v>
      </c>
      <c r="W306" s="335" t="s">
        <v>1240</v>
      </c>
      <c r="X306" s="144" t="s">
        <v>1241</v>
      </c>
      <c r="Y306" s="144" t="s">
        <v>272</v>
      </c>
      <c r="Z306" s="144" t="s">
        <v>1227</v>
      </c>
      <c r="AA306" s="152"/>
      <c r="AB306" s="152"/>
      <c r="AC306" s="471" t="s">
        <v>2287</v>
      </c>
      <c r="AD306" s="51"/>
      <c r="AE306" s="104"/>
      <c r="AF306" s="104"/>
    </row>
    <row r="307" spans="1:32" s="107" customFormat="1" ht="29.1">
      <c r="A307" s="107" t="s">
        <v>1245</v>
      </c>
      <c r="B307" s="107" t="s">
        <v>1246</v>
      </c>
      <c r="C307" s="108">
        <v>46193</v>
      </c>
      <c r="D307" s="108" t="s">
        <v>209</v>
      </c>
      <c r="E307" s="300" t="s">
        <v>2235</v>
      </c>
      <c r="F307" s="176">
        <v>60</v>
      </c>
      <c r="G307" s="176">
        <v>910</v>
      </c>
      <c r="H307" s="144">
        <v>150</v>
      </c>
      <c r="I307" s="176" t="s">
        <v>1247</v>
      </c>
      <c r="J307" s="146" t="s">
        <v>1234</v>
      </c>
      <c r="K307" s="145" t="s">
        <v>1248</v>
      </c>
      <c r="L307" s="147" t="s">
        <v>1236</v>
      </c>
      <c r="M307" s="148">
        <v>150</v>
      </c>
      <c r="N307" s="148" t="s">
        <v>1249</v>
      </c>
      <c r="O307" s="149">
        <v>1</v>
      </c>
      <c r="P307" s="469">
        <v>5</v>
      </c>
      <c r="Q307" s="150" t="s">
        <v>1238</v>
      </c>
      <c r="R307" s="162">
        <v>0</v>
      </c>
      <c r="S307" s="144">
        <v>1</v>
      </c>
      <c r="T307" s="176">
        <v>7</v>
      </c>
      <c r="U307" s="176">
        <v>16</v>
      </c>
      <c r="V307" s="176" t="s">
        <v>1239</v>
      </c>
      <c r="W307" s="335" t="s">
        <v>1250</v>
      </c>
      <c r="X307" s="109" t="s">
        <v>272</v>
      </c>
      <c r="Y307" s="109" t="s">
        <v>272</v>
      </c>
      <c r="Z307" s="109"/>
      <c r="AA307" s="114"/>
      <c r="AB307" s="114"/>
      <c r="AC307" s="388"/>
      <c r="AD307" s="101"/>
      <c r="AE307" s="101"/>
    </row>
    <row r="308" spans="1:32" s="107" customFormat="1" ht="43.5">
      <c r="A308" s="107" t="s">
        <v>2288</v>
      </c>
      <c r="B308" s="107" t="s">
        <v>2246</v>
      </c>
      <c r="C308" s="108">
        <v>46193</v>
      </c>
      <c r="D308" s="108" t="s">
        <v>209</v>
      </c>
      <c r="E308" s="617" t="s">
        <v>2256</v>
      </c>
      <c r="F308" s="176">
        <v>60</v>
      </c>
      <c r="G308" s="176">
        <v>910</v>
      </c>
      <c r="H308" s="144">
        <v>150</v>
      </c>
      <c r="I308" s="176" t="s">
        <v>1247</v>
      </c>
      <c r="J308" s="146" t="s">
        <v>1234</v>
      </c>
      <c r="K308" s="145" t="s">
        <v>2285</v>
      </c>
      <c r="L308" s="147" t="s">
        <v>1236</v>
      </c>
      <c r="M308" s="148">
        <v>300</v>
      </c>
      <c r="N308" s="148" t="s">
        <v>1237</v>
      </c>
      <c r="O308" s="149">
        <v>1</v>
      </c>
      <c r="P308" s="469">
        <v>0</v>
      </c>
      <c r="Q308" s="150" t="s">
        <v>1238</v>
      </c>
      <c r="R308" s="162">
        <v>20</v>
      </c>
      <c r="S308" s="144">
        <v>1</v>
      </c>
      <c r="T308" s="172">
        <v>7</v>
      </c>
      <c r="U308" s="176">
        <v>16</v>
      </c>
      <c r="V308" s="176" t="s">
        <v>1239</v>
      </c>
      <c r="W308" s="335" t="s">
        <v>1240</v>
      </c>
      <c r="X308" s="144" t="s">
        <v>1241</v>
      </c>
      <c r="Y308" s="144" t="s">
        <v>272</v>
      </c>
      <c r="Z308" s="144" t="s">
        <v>1227</v>
      </c>
      <c r="AA308" s="152"/>
      <c r="AB308" s="152"/>
      <c r="AC308" s="471" t="s">
        <v>2270</v>
      </c>
      <c r="AD308" s="51"/>
      <c r="AE308" s="104"/>
      <c r="AF308" s="104"/>
    </row>
    <row r="309" spans="1:32" s="107" customFormat="1" ht="29.1">
      <c r="A309" s="107" t="s">
        <v>1245</v>
      </c>
      <c r="B309" s="107" t="s">
        <v>1246</v>
      </c>
      <c r="C309" s="108">
        <v>46193</v>
      </c>
      <c r="D309" s="108" t="s">
        <v>209</v>
      </c>
      <c r="E309" s="300" t="s">
        <v>2235</v>
      </c>
      <c r="F309" s="176">
        <v>60</v>
      </c>
      <c r="G309" s="176">
        <v>910</v>
      </c>
      <c r="H309" s="144">
        <v>150</v>
      </c>
      <c r="I309" s="176" t="s">
        <v>1247</v>
      </c>
      <c r="J309" s="146" t="s">
        <v>1234</v>
      </c>
      <c r="K309" s="145" t="s">
        <v>1248</v>
      </c>
      <c r="L309" s="147" t="s">
        <v>1236</v>
      </c>
      <c r="M309" s="148">
        <v>150</v>
      </c>
      <c r="N309" s="148" t="s">
        <v>1249</v>
      </c>
      <c r="O309" s="149">
        <v>1</v>
      </c>
      <c r="P309" s="469">
        <v>5</v>
      </c>
      <c r="Q309" s="150" t="s">
        <v>1238</v>
      </c>
      <c r="R309" s="162">
        <v>0</v>
      </c>
      <c r="S309" s="144">
        <v>1</v>
      </c>
      <c r="T309" s="176">
        <v>7</v>
      </c>
      <c r="U309" s="176">
        <v>16</v>
      </c>
      <c r="V309" s="176" t="s">
        <v>1239</v>
      </c>
      <c r="W309" s="335" t="s">
        <v>1250</v>
      </c>
      <c r="X309" s="109" t="s">
        <v>272</v>
      </c>
      <c r="Y309" s="109" t="s">
        <v>272</v>
      </c>
      <c r="Z309" s="109"/>
      <c r="AA309" s="114"/>
      <c r="AB309" s="114"/>
      <c r="AC309" s="388"/>
      <c r="AD309" s="101"/>
      <c r="AE309" s="101"/>
    </row>
    <row r="310" spans="1:32" s="107" customFormat="1" ht="43.5">
      <c r="A310" s="107" t="s">
        <v>2289</v>
      </c>
      <c r="B310" s="107" t="s">
        <v>2246</v>
      </c>
      <c r="C310" s="108">
        <v>46193</v>
      </c>
      <c r="D310" s="108" t="s">
        <v>209</v>
      </c>
      <c r="E310" s="617" t="s">
        <v>2256</v>
      </c>
      <c r="F310" s="176">
        <v>60</v>
      </c>
      <c r="G310" s="176">
        <v>910</v>
      </c>
      <c r="H310" s="144">
        <v>150</v>
      </c>
      <c r="I310" s="176" t="s">
        <v>1247</v>
      </c>
      <c r="J310" s="146" t="s">
        <v>1234</v>
      </c>
      <c r="K310" s="145" t="s">
        <v>2285</v>
      </c>
      <c r="L310" s="147" t="s">
        <v>1236</v>
      </c>
      <c r="M310" s="148">
        <v>300</v>
      </c>
      <c r="N310" s="148" t="s">
        <v>1237</v>
      </c>
      <c r="O310" s="149">
        <v>1</v>
      </c>
      <c r="P310" s="469">
        <v>0</v>
      </c>
      <c r="Q310" s="150" t="s">
        <v>1238</v>
      </c>
      <c r="R310" s="162">
        <v>20</v>
      </c>
      <c r="S310" s="144">
        <v>1</v>
      </c>
      <c r="T310" s="172">
        <v>6</v>
      </c>
      <c r="U310" s="176">
        <v>16</v>
      </c>
      <c r="V310" s="176" t="s">
        <v>1239</v>
      </c>
      <c r="W310" s="335" t="s">
        <v>1240</v>
      </c>
      <c r="X310" s="144" t="s">
        <v>1241</v>
      </c>
      <c r="Y310" s="144" t="s">
        <v>272</v>
      </c>
      <c r="Z310" s="144" t="s">
        <v>1227</v>
      </c>
      <c r="AA310" s="152"/>
      <c r="AB310" s="152"/>
      <c r="AC310" s="471" t="s">
        <v>2270</v>
      </c>
      <c r="AD310" s="51"/>
      <c r="AE310" s="104"/>
      <c r="AF310" s="104"/>
    </row>
    <row r="311" spans="1:32" s="107" customFormat="1" ht="29.1">
      <c r="A311" s="107" t="s">
        <v>1245</v>
      </c>
      <c r="B311" s="107" t="s">
        <v>1246</v>
      </c>
      <c r="C311" s="108">
        <v>46194</v>
      </c>
      <c r="D311" s="108" t="s">
        <v>209</v>
      </c>
      <c r="E311" s="300" t="s">
        <v>2235</v>
      </c>
      <c r="F311" s="176">
        <v>60</v>
      </c>
      <c r="G311" s="176">
        <v>910</v>
      </c>
      <c r="H311" s="144">
        <v>150</v>
      </c>
      <c r="I311" s="176" t="s">
        <v>1247</v>
      </c>
      <c r="J311" s="146" t="s">
        <v>1234</v>
      </c>
      <c r="K311" s="145" t="s">
        <v>1248</v>
      </c>
      <c r="L311" s="147" t="s">
        <v>1236</v>
      </c>
      <c r="M311" s="148">
        <v>150</v>
      </c>
      <c r="N311" s="148" t="s">
        <v>1249</v>
      </c>
      <c r="O311" s="149">
        <v>1</v>
      </c>
      <c r="P311" s="469">
        <v>5</v>
      </c>
      <c r="Q311" s="150" t="s">
        <v>1238</v>
      </c>
      <c r="R311" s="162">
        <v>0</v>
      </c>
      <c r="S311" s="144">
        <v>1</v>
      </c>
      <c r="T311" s="176">
        <v>6</v>
      </c>
      <c r="U311" s="176">
        <v>16</v>
      </c>
      <c r="V311" s="176" t="s">
        <v>1239</v>
      </c>
      <c r="W311" s="335" t="s">
        <v>1250</v>
      </c>
      <c r="X311" s="109" t="s">
        <v>272</v>
      </c>
      <c r="Y311" s="109" t="s">
        <v>272</v>
      </c>
      <c r="Z311" s="109"/>
      <c r="AA311" s="114"/>
      <c r="AB311" s="114"/>
      <c r="AC311" s="109"/>
      <c r="AD311" s="101"/>
      <c r="AE311" s="101"/>
    </row>
    <row r="312" spans="1:32" s="107" customFormat="1" ht="43.5">
      <c r="A312" s="107" t="s">
        <v>2290</v>
      </c>
      <c r="B312" s="107" t="s">
        <v>2246</v>
      </c>
      <c r="C312" s="108">
        <v>46194</v>
      </c>
      <c r="D312" s="108" t="s">
        <v>209</v>
      </c>
      <c r="E312" s="617" t="s">
        <v>2256</v>
      </c>
      <c r="F312" s="176">
        <v>60</v>
      </c>
      <c r="G312" s="176">
        <v>910</v>
      </c>
      <c r="H312" s="144">
        <v>150</v>
      </c>
      <c r="I312" s="176" t="s">
        <v>1247</v>
      </c>
      <c r="J312" s="146" t="s">
        <v>1234</v>
      </c>
      <c r="K312" s="145" t="s">
        <v>2285</v>
      </c>
      <c r="L312" s="147" t="s">
        <v>1236</v>
      </c>
      <c r="M312" s="148">
        <v>300</v>
      </c>
      <c r="N312" s="148" t="s">
        <v>1237</v>
      </c>
      <c r="O312" s="149">
        <v>1</v>
      </c>
      <c r="P312" s="469">
        <v>0</v>
      </c>
      <c r="Q312" s="150" t="s">
        <v>1238</v>
      </c>
      <c r="R312" s="162">
        <v>20</v>
      </c>
      <c r="S312" s="144">
        <v>1</v>
      </c>
      <c r="T312" s="172">
        <v>8</v>
      </c>
      <c r="U312" s="176">
        <v>16</v>
      </c>
      <c r="V312" s="176" t="s">
        <v>1239</v>
      </c>
      <c r="W312" s="335" t="s">
        <v>1240</v>
      </c>
      <c r="X312" s="144" t="s">
        <v>1241</v>
      </c>
      <c r="Y312" s="144" t="s">
        <v>272</v>
      </c>
      <c r="Z312" s="144" t="s">
        <v>1227</v>
      </c>
      <c r="AA312" s="152"/>
      <c r="AB312" s="152"/>
      <c r="AC312" s="471" t="s">
        <v>2270</v>
      </c>
      <c r="AD312" s="51"/>
      <c r="AE312" s="104"/>
      <c r="AF312" s="104"/>
    </row>
    <row r="313" spans="1:32" s="107" customFormat="1" ht="29.1">
      <c r="A313" s="107" t="s">
        <v>1245</v>
      </c>
      <c r="B313" s="107" t="s">
        <v>1246</v>
      </c>
      <c r="C313" s="108">
        <v>46194</v>
      </c>
      <c r="D313" s="108" t="s">
        <v>209</v>
      </c>
      <c r="E313" s="300" t="s">
        <v>2235</v>
      </c>
      <c r="F313" s="176">
        <v>60</v>
      </c>
      <c r="G313" s="176">
        <v>910</v>
      </c>
      <c r="H313" s="144">
        <v>150</v>
      </c>
      <c r="I313" s="176" t="s">
        <v>1247</v>
      </c>
      <c r="J313" s="146" t="s">
        <v>1234</v>
      </c>
      <c r="K313" s="145" t="s">
        <v>1248</v>
      </c>
      <c r="L313" s="147" t="s">
        <v>1236</v>
      </c>
      <c r="M313" s="148">
        <v>150</v>
      </c>
      <c r="N313" s="148" t="s">
        <v>1249</v>
      </c>
      <c r="O313" s="149">
        <v>1</v>
      </c>
      <c r="P313" s="469">
        <v>5</v>
      </c>
      <c r="Q313" s="150" t="s">
        <v>1238</v>
      </c>
      <c r="R313" s="162">
        <v>0</v>
      </c>
      <c r="S313" s="144">
        <v>1</v>
      </c>
      <c r="T313" s="176">
        <v>6</v>
      </c>
      <c r="U313" s="176">
        <v>16</v>
      </c>
      <c r="V313" s="176" t="s">
        <v>1239</v>
      </c>
      <c r="W313" s="335" t="s">
        <v>1250</v>
      </c>
      <c r="X313" s="109" t="s">
        <v>272</v>
      </c>
      <c r="Y313" s="109" t="s">
        <v>272</v>
      </c>
      <c r="Z313" s="109"/>
      <c r="AA313" s="114"/>
      <c r="AB313" s="114"/>
      <c r="AC313" s="109"/>
      <c r="AD313" s="101"/>
      <c r="AE313" s="101"/>
    </row>
    <row r="314" spans="1:32" s="107" customFormat="1" ht="43.5">
      <c r="A314" s="107" t="s">
        <v>2291</v>
      </c>
      <c r="B314" s="107" t="s">
        <v>2246</v>
      </c>
      <c r="C314" s="108">
        <v>46194</v>
      </c>
      <c r="D314" s="108" t="s">
        <v>209</v>
      </c>
      <c r="E314" s="617" t="s">
        <v>2256</v>
      </c>
      <c r="F314" s="176">
        <v>60</v>
      </c>
      <c r="G314" s="176">
        <v>910</v>
      </c>
      <c r="H314" s="144">
        <v>150</v>
      </c>
      <c r="I314" s="176" t="s">
        <v>1247</v>
      </c>
      <c r="J314" s="146" t="s">
        <v>1234</v>
      </c>
      <c r="K314" s="145" t="s">
        <v>2285</v>
      </c>
      <c r="L314" s="147" t="s">
        <v>1236</v>
      </c>
      <c r="M314" s="148">
        <v>300</v>
      </c>
      <c r="N314" s="148" t="s">
        <v>1237</v>
      </c>
      <c r="O314" s="149">
        <v>1</v>
      </c>
      <c r="P314" s="469">
        <v>0</v>
      </c>
      <c r="Q314" s="150" t="s">
        <v>1238</v>
      </c>
      <c r="R314" s="162">
        <v>20</v>
      </c>
      <c r="S314" s="144">
        <v>1</v>
      </c>
      <c r="T314" s="176">
        <v>6</v>
      </c>
      <c r="U314" s="176">
        <v>16</v>
      </c>
      <c r="V314" s="176" t="s">
        <v>1239</v>
      </c>
      <c r="W314" s="335" t="s">
        <v>1240</v>
      </c>
      <c r="X314" s="144" t="s">
        <v>1241</v>
      </c>
      <c r="Y314" s="144" t="s">
        <v>272</v>
      </c>
      <c r="Z314" s="144" t="s">
        <v>1227</v>
      </c>
      <c r="AA314" s="152"/>
      <c r="AB314" s="152"/>
      <c r="AC314" s="471" t="s">
        <v>2270</v>
      </c>
      <c r="AD314" s="51"/>
      <c r="AE314" s="104"/>
      <c r="AF314" s="104"/>
    </row>
    <row r="315" spans="1:32" s="107" customFormat="1" ht="29.1">
      <c r="A315" s="107" t="s">
        <v>1245</v>
      </c>
      <c r="B315" s="107" t="s">
        <v>1246</v>
      </c>
      <c r="C315" s="108">
        <v>46195</v>
      </c>
      <c r="D315" s="108" t="s">
        <v>2248</v>
      </c>
      <c r="E315" s="300" t="s">
        <v>2235</v>
      </c>
      <c r="F315" s="176">
        <v>60</v>
      </c>
      <c r="G315" s="176">
        <v>910</v>
      </c>
      <c r="H315" s="144">
        <v>150</v>
      </c>
      <c r="I315" s="176" t="s">
        <v>1247</v>
      </c>
      <c r="J315" s="146" t="s">
        <v>1234</v>
      </c>
      <c r="K315" s="145" t="s">
        <v>1248</v>
      </c>
      <c r="L315" s="147" t="s">
        <v>1236</v>
      </c>
      <c r="M315" s="148">
        <v>150</v>
      </c>
      <c r="N315" s="148" t="s">
        <v>1249</v>
      </c>
      <c r="O315" s="149">
        <v>1</v>
      </c>
      <c r="P315" s="469">
        <v>5</v>
      </c>
      <c r="Q315" s="150" t="s">
        <v>1238</v>
      </c>
      <c r="R315" s="162">
        <v>0</v>
      </c>
      <c r="S315" s="144">
        <v>1</v>
      </c>
      <c r="T315" s="176">
        <v>7</v>
      </c>
      <c r="U315" s="176">
        <v>16</v>
      </c>
      <c r="V315" s="176" t="s">
        <v>1239</v>
      </c>
      <c r="W315" s="335" t="s">
        <v>1250</v>
      </c>
      <c r="X315" s="109" t="s">
        <v>272</v>
      </c>
      <c r="Y315" s="109" t="s">
        <v>272</v>
      </c>
      <c r="Z315" s="109"/>
      <c r="AA315" s="114"/>
      <c r="AB315" s="114"/>
      <c r="AC315" s="543"/>
      <c r="AD315" s="101"/>
      <c r="AE315" s="101"/>
    </row>
    <row r="316" spans="1:32" s="107" customFormat="1" ht="43.5">
      <c r="A316" s="107" t="s">
        <v>2292</v>
      </c>
      <c r="B316" s="107" t="s">
        <v>2246</v>
      </c>
      <c r="C316" s="108">
        <v>46195</v>
      </c>
      <c r="D316" s="108" t="s">
        <v>2248</v>
      </c>
      <c r="E316" s="617" t="s">
        <v>2256</v>
      </c>
      <c r="F316" s="176">
        <v>60</v>
      </c>
      <c r="G316" s="176">
        <v>910</v>
      </c>
      <c r="H316" s="144">
        <v>150</v>
      </c>
      <c r="I316" s="176" t="s">
        <v>1247</v>
      </c>
      <c r="J316" s="146" t="s">
        <v>1234</v>
      </c>
      <c r="K316" s="145" t="s">
        <v>2285</v>
      </c>
      <c r="L316" s="147" t="s">
        <v>1236</v>
      </c>
      <c r="M316" s="148">
        <v>300</v>
      </c>
      <c r="N316" s="148" t="s">
        <v>1237</v>
      </c>
      <c r="O316" s="149">
        <v>1</v>
      </c>
      <c r="P316" s="469">
        <v>0</v>
      </c>
      <c r="Q316" s="150" t="s">
        <v>1238</v>
      </c>
      <c r="R316" s="162">
        <v>20</v>
      </c>
      <c r="S316" s="144">
        <v>1</v>
      </c>
      <c r="T316" s="172">
        <v>7</v>
      </c>
      <c r="U316" s="176">
        <v>16</v>
      </c>
      <c r="V316" s="176" t="s">
        <v>1239</v>
      </c>
      <c r="W316" s="335" t="s">
        <v>1240</v>
      </c>
      <c r="X316" s="144" t="s">
        <v>1241</v>
      </c>
      <c r="Y316" s="144" t="s">
        <v>272</v>
      </c>
      <c r="Z316" s="144" t="s">
        <v>1227</v>
      </c>
      <c r="AA316" s="152"/>
      <c r="AB316" s="152"/>
      <c r="AC316" s="471" t="s">
        <v>2270</v>
      </c>
      <c r="AD316" s="51"/>
      <c r="AE316" s="104"/>
      <c r="AF316" s="104"/>
    </row>
    <row r="317" spans="1:32" s="107" customFormat="1" ht="29.1">
      <c r="A317" s="107" t="s">
        <v>1245</v>
      </c>
      <c r="B317" s="107" t="s">
        <v>1246</v>
      </c>
      <c r="C317" s="108">
        <v>46195</v>
      </c>
      <c r="D317" s="108" t="s">
        <v>2248</v>
      </c>
      <c r="E317" s="300" t="s">
        <v>2235</v>
      </c>
      <c r="F317" s="176">
        <v>60</v>
      </c>
      <c r="G317" s="176">
        <v>910</v>
      </c>
      <c r="H317" s="144">
        <v>150</v>
      </c>
      <c r="I317" s="176" t="s">
        <v>1247</v>
      </c>
      <c r="J317" s="146" t="s">
        <v>1234</v>
      </c>
      <c r="K317" s="145" t="s">
        <v>2293</v>
      </c>
      <c r="L317" s="147" t="s">
        <v>1236</v>
      </c>
      <c r="M317" s="148">
        <v>150</v>
      </c>
      <c r="N317" s="148" t="s">
        <v>1249</v>
      </c>
      <c r="O317" s="149">
        <v>1</v>
      </c>
      <c r="P317" s="469">
        <v>5</v>
      </c>
      <c r="Q317" s="150" t="s">
        <v>1238</v>
      </c>
      <c r="R317" s="162">
        <v>0</v>
      </c>
      <c r="S317" s="144">
        <v>1</v>
      </c>
      <c r="T317" s="176">
        <v>7</v>
      </c>
      <c r="U317" s="176">
        <v>16</v>
      </c>
      <c r="V317" s="176" t="s">
        <v>1239</v>
      </c>
      <c r="W317" s="335" t="s">
        <v>1250</v>
      </c>
      <c r="X317" s="109" t="s">
        <v>272</v>
      </c>
      <c r="Y317" s="109" t="s">
        <v>272</v>
      </c>
      <c r="Z317" s="109"/>
      <c r="AA317" s="114"/>
      <c r="AB317" s="114"/>
      <c r="AC317" s="109"/>
      <c r="AD317" s="101"/>
      <c r="AE317" s="101"/>
    </row>
    <row r="318" spans="1:32" s="107" customFormat="1" ht="43.5">
      <c r="A318" s="107" t="s">
        <v>2294</v>
      </c>
      <c r="B318" s="107" t="s">
        <v>2246</v>
      </c>
      <c r="C318" s="108">
        <v>46196</v>
      </c>
      <c r="D318" s="108" t="s">
        <v>208</v>
      </c>
      <c r="E318" s="617" t="s">
        <v>2256</v>
      </c>
      <c r="F318" s="176">
        <v>60</v>
      </c>
      <c r="G318" s="176">
        <v>910</v>
      </c>
      <c r="H318" s="144">
        <v>150</v>
      </c>
      <c r="I318" s="176" t="s">
        <v>1247</v>
      </c>
      <c r="J318" s="146" t="s">
        <v>1234</v>
      </c>
      <c r="K318" s="145" t="s">
        <v>1235</v>
      </c>
      <c r="L318" s="147" t="s">
        <v>1236</v>
      </c>
      <c r="M318" s="148">
        <v>300</v>
      </c>
      <c r="N318" s="148" t="s">
        <v>1237</v>
      </c>
      <c r="O318" s="149">
        <v>1</v>
      </c>
      <c r="P318" s="469">
        <v>0</v>
      </c>
      <c r="Q318" s="150" t="s">
        <v>1238</v>
      </c>
      <c r="R318" s="162">
        <v>20</v>
      </c>
      <c r="S318" s="144">
        <v>1</v>
      </c>
      <c r="T318" s="176">
        <v>7</v>
      </c>
      <c r="U318" s="176">
        <v>16</v>
      </c>
      <c r="V318" s="176" t="s">
        <v>1239</v>
      </c>
      <c r="W318" s="335" t="s">
        <v>1240</v>
      </c>
      <c r="X318" s="144" t="s">
        <v>1241</v>
      </c>
      <c r="Y318" s="144" t="s">
        <v>272</v>
      </c>
      <c r="Z318" s="144" t="s">
        <v>1227</v>
      </c>
      <c r="AA318" s="152"/>
      <c r="AB318" s="152"/>
      <c r="AC318" s="620" t="s">
        <v>2295</v>
      </c>
      <c r="AD318" s="51"/>
      <c r="AE318" s="104"/>
      <c r="AF318" s="104"/>
    </row>
    <row r="319" spans="1:32" s="107" customFormat="1" ht="29.1">
      <c r="A319" s="107" t="s">
        <v>1245</v>
      </c>
      <c r="B319" s="107" t="s">
        <v>1246</v>
      </c>
      <c r="C319" s="108">
        <v>46196</v>
      </c>
      <c r="D319" s="108" t="s">
        <v>2248</v>
      </c>
      <c r="E319" s="300" t="s">
        <v>2235</v>
      </c>
      <c r="F319" s="176">
        <v>60</v>
      </c>
      <c r="G319" s="176">
        <v>910</v>
      </c>
      <c r="H319" s="144">
        <v>150</v>
      </c>
      <c r="I319" s="176" t="s">
        <v>1247</v>
      </c>
      <c r="J319" s="146" t="s">
        <v>1234</v>
      </c>
      <c r="K319" s="145" t="s">
        <v>1248</v>
      </c>
      <c r="L319" s="147" t="s">
        <v>1236</v>
      </c>
      <c r="M319" s="148">
        <v>150</v>
      </c>
      <c r="N319" s="148" t="s">
        <v>1249</v>
      </c>
      <c r="O319" s="149">
        <v>1</v>
      </c>
      <c r="P319" s="469">
        <v>5</v>
      </c>
      <c r="Q319" s="150" t="s">
        <v>1238</v>
      </c>
      <c r="R319" s="162">
        <v>0</v>
      </c>
      <c r="S319" s="144">
        <v>1</v>
      </c>
      <c r="T319" s="176">
        <v>7</v>
      </c>
      <c r="U319" s="176">
        <v>16</v>
      </c>
      <c r="V319" s="176" t="s">
        <v>1239</v>
      </c>
      <c r="W319" s="335" t="s">
        <v>1250</v>
      </c>
      <c r="X319" s="109" t="s">
        <v>272</v>
      </c>
      <c r="Y319" s="109" t="s">
        <v>272</v>
      </c>
      <c r="Z319" s="109"/>
      <c r="AA319" s="114"/>
      <c r="AB319" s="114"/>
      <c r="AC319" s="109"/>
      <c r="AD319" s="101"/>
      <c r="AE319" s="101"/>
    </row>
    <row r="320" spans="1:32" s="107" customFormat="1" ht="43.5">
      <c r="A320" s="107" t="s">
        <v>2296</v>
      </c>
      <c r="B320" s="107" t="s">
        <v>2246</v>
      </c>
      <c r="C320" s="108">
        <v>46196</v>
      </c>
      <c r="D320" s="108" t="s">
        <v>2248</v>
      </c>
      <c r="E320" s="617" t="s">
        <v>2256</v>
      </c>
      <c r="F320" s="176">
        <v>60</v>
      </c>
      <c r="G320" s="176">
        <v>910</v>
      </c>
      <c r="H320" s="144">
        <v>150</v>
      </c>
      <c r="I320" s="172" t="s">
        <v>1233</v>
      </c>
      <c r="J320" s="146" t="s">
        <v>1234</v>
      </c>
      <c r="K320" s="145" t="s">
        <v>1235</v>
      </c>
      <c r="L320" s="147" t="s">
        <v>1236</v>
      </c>
      <c r="M320" s="148">
        <v>300</v>
      </c>
      <c r="N320" s="148" t="s">
        <v>1237</v>
      </c>
      <c r="O320" s="149">
        <v>1</v>
      </c>
      <c r="P320" s="469">
        <v>0</v>
      </c>
      <c r="Q320" s="150" t="s">
        <v>1238</v>
      </c>
      <c r="R320" s="162">
        <v>20</v>
      </c>
      <c r="S320" s="144">
        <v>1</v>
      </c>
      <c r="T320" s="176">
        <v>7</v>
      </c>
      <c r="U320" s="176">
        <v>16</v>
      </c>
      <c r="V320" s="176" t="s">
        <v>1239</v>
      </c>
      <c r="W320" s="335" t="s">
        <v>1240</v>
      </c>
      <c r="X320" s="144" t="s">
        <v>1241</v>
      </c>
      <c r="Y320" s="144" t="s">
        <v>272</v>
      </c>
      <c r="Z320" s="144" t="s">
        <v>1227</v>
      </c>
      <c r="AA320" s="152"/>
      <c r="AB320" s="152"/>
      <c r="AC320" s="471" t="s">
        <v>2295</v>
      </c>
      <c r="AD320" s="51"/>
      <c r="AE320" s="104"/>
      <c r="AF320" s="104"/>
    </row>
    <row r="321" spans="1:32" s="107" customFormat="1" ht="29.1">
      <c r="A321" s="107" t="s">
        <v>1245</v>
      </c>
      <c r="B321" s="107" t="s">
        <v>1246</v>
      </c>
      <c r="C321" s="108">
        <v>46196</v>
      </c>
      <c r="D321" s="108" t="s">
        <v>2248</v>
      </c>
      <c r="E321" s="300" t="s">
        <v>2235</v>
      </c>
      <c r="F321" s="176">
        <v>60</v>
      </c>
      <c r="G321" s="176">
        <v>910</v>
      </c>
      <c r="H321" s="144">
        <v>150</v>
      </c>
      <c r="I321" s="611" t="s">
        <v>1247</v>
      </c>
      <c r="J321" s="146" t="s">
        <v>1234</v>
      </c>
      <c r="K321" s="145" t="s">
        <v>1248</v>
      </c>
      <c r="L321" s="147" t="s">
        <v>1236</v>
      </c>
      <c r="M321" s="148">
        <v>150</v>
      </c>
      <c r="N321" s="148" t="s">
        <v>1249</v>
      </c>
      <c r="O321" s="149">
        <v>1</v>
      </c>
      <c r="P321" s="469">
        <v>5</v>
      </c>
      <c r="Q321" s="150" t="s">
        <v>1238</v>
      </c>
      <c r="R321" s="162">
        <v>0</v>
      </c>
      <c r="S321" s="144">
        <v>1</v>
      </c>
      <c r="T321" s="176">
        <v>7</v>
      </c>
      <c r="U321" s="176">
        <v>16</v>
      </c>
      <c r="V321" s="176" t="s">
        <v>1239</v>
      </c>
      <c r="W321" s="335" t="s">
        <v>1250</v>
      </c>
      <c r="X321" s="109" t="s">
        <v>272</v>
      </c>
      <c r="Y321" s="109" t="s">
        <v>272</v>
      </c>
      <c r="Z321" s="109"/>
      <c r="AA321" s="114"/>
      <c r="AB321" s="114"/>
      <c r="AC321" s="109"/>
      <c r="AD321" s="101"/>
      <c r="AE321" s="101"/>
    </row>
    <row r="322" spans="1:32" s="107" customFormat="1" ht="43.5">
      <c r="A322" s="107" t="s">
        <v>2297</v>
      </c>
      <c r="B322" s="107" t="s">
        <v>2246</v>
      </c>
      <c r="C322" s="108">
        <v>46196</v>
      </c>
      <c r="D322" s="108" t="s">
        <v>209</v>
      </c>
      <c r="E322" s="617" t="s">
        <v>2256</v>
      </c>
      <c r="F322" s="176">
        <v>60</v>
      </c>
      <c r="G322" s="176">
        <v>910</v>
      </c>
      <c r="H322" s="144">
        <v>150</v>
      </c>
      <c r="I322" s="507">
        <v>100100</v>
      </c>
      <c r="J322" s="146" t="s">
        <v>1234</v>
      </c>
      <c r="K322" s="145" t="s">
        <v>1235</v>
      </c>
      <c r="L322" s="147" t="s">
        <v>1236</v>
      </c>
      <c r="M322" s="148">
        <v>300</v>
      </c>
      <c r="N322" s="148" t="s">
        <v>1237</v>
      </c>
      <c r="O322" s="149">
        <v>1</v>
      </c>
      <c r="P322" s="469">
        <v>0</v>
      </c>
      <c r="Q322" s="150" t="s">
        <v>1238</v>
      </c>
      <c r="R322" s="162">
        <v>20</v>
      </c>
      <c r="S322" s="144">
        <v>1</v>
      </c>
      <c r="T322" s="176">
        <v>7</v>
      </c>
      <c r="U322" s="176">
        <v>16</v>
      </c>
      <c r="V322" s="176" t="s">
        <v>1239</v>
      </c>
      <c r="W322" s="335" t="s">
        <v>1240</v>
      </c>
      <c r="X322" s="144" t="s">
        <v>1241</v>
      </c>
      <c r="Y322" s="144" t="s">
        <v>272</v>
      </c>
      <c r="Z322" s="144" t="s">
        <v>1227</v>
      </c>
      <c r="AA322" s="152"/>
      <c r="AB322" s="152"/>
      <c r="AC322" s="471" t="s">
        <v>2295</v>
      </c>
      <c r="AD322" s="51"/>
      <c r="AE322" s="104"/>
      <c r="AF322" s="104"/>
    </row>
    <row r="323" spans="1:32" s="107" customFormat="1" ht="29.1">
      <c r="A323" s="107" t="s">
        <v>1245</v>
      </c>
      <c r="B323" s="107" t="s">
        <v>1246</v>
      </c>
      <c r="C323" s="108">
        <v>46197</v>
      </c>
      <c r="D323" s="108" t="s">
        <v>2248</v>
      </c>
      <c r="E323" s="300" t="s">
        <v>2235</v>
      </c>
      <c r="F323" s="176">
        <v>60</v>
      </c>
      <c r="G323" s="176">
        <v>910</v>
      </c>
      <c r="H323" s="144">
        <v>150</v>
      </c>
      <c r="I323" s="176" t="s">
        <v>1247</v>
      </c>
      <c r="J323" s="146" t="s">
        <v>1234</v>
      </c>
      <c r="K323" s="145" t="s">
        <v>1248</v>
      </c>
      <c r="L323" s="147" t="s">
        <v>1236</v>
      </c>
      <c r="M323" s="148">
        <v>150</v>
      </c>
      <c r="N323" s="148" t="s">
        <v>1249</v>
      </c>
      <c r="O323" s="149">
        <v>1</v>
      </c>
      <c r="P323" s="469">
        <v>5</v>
      </c>
      <c r="Q323" s="150" t="s">
        <v>1238</v>
      </c>
      <c r="R323" s="162">
        <v>0</v>
      </c>
      <c r="S323" s="144">
        <v>1</v>
      </c>
      <c r="T323" s="176">
        <v>7</v>
      </c>
      <c r="U323" s="176">
        <v>16</v>
      </c>
      <c r="V323" s="176" t="s">
        <v>1239</v>
      </c>
      <c r="W323" s="335" t="s">
        <v>1250</v>
      </c>
      <c r="X323" s="109" t="s">
        <v>272</v>
      </c>
      <c r="Y323" s="109" t="s">
        <v>272</v>
      </c>
      <c r="Z323" s="109"/>
      <c r="AA323" s="114"/>
      <c r="AB323" s="114"/>
      <c r="AC323" s="109"/>
      <c r="AD323" s="101"/>
      <c r="AE323" s="101"/>
    </row>
    <row r="324" spans="1:32" s="107" customFormat="1" ht="43.5">
      <c r="A324" s="107" t="s">
        <v>2298</v>
      </c>
      <c r="B324" s="107" t="s">
        <v>2246</v>
      </c>
      <c r="C324" s="108">
        <v>46197</v>
      </c>
      <c r="D324" s="108" t="s">
        <v>208</v>
      </c>
      <c r="E324" s="617" t="s">
        <v>2256</v>
      </c>
      <c r="F324" s="176">
        <v>60</v>
      </c>
      <c r="G324" s="176">
        <v>910</v>
      </c>
      <c r="H324" s="144">
        <v>150</v>
      </c>
      <c r="I324" s="507">
        <v>150150</v>
      </c>
      <c r="J324" s="146" t="s">
        <v>1234</v>
      </c>
      <c r="K324" s="145" t="s">
        <v>1235</v>
      </c>
      <c r="L324" s="147" t="s">
        <v>1236</v>
      </c>
      <c r="M324" s="148">
        <v>300</v>
      </c>
      <c r="N324" s="148" t="s">
        <v>1237</v>
      </c>
      <c r="O324" s="149">
        <v>1</v>
      </c>
      <c r="P324" s="469">
        <v>0</v>
      </c>
      <c r="Q324" s="150" t="s">
        <v>1238</v>
      </c>
      <c r="R324" s="162">
        <v>20</v>
      </c>
      <c r="S324" s="144">
        <v>1</v>
      </c>
      <c r="T324" s="176">
        <v>7</v>
      </c>
      <c r="U324" s="176">
        <v>16</v>
      </c>
      <c r="V324" s="176" t="s">
        <v>1239</v>
      </c>
      <c r="W324" s="335" t="s">
        <v>1240</v>
      </c>
      <c r="X324" s="144" t="s">
        <v>1241</v>
      </c>
      <c r="Y324" s="144" t="s">
        <v>272</v>
      </c>
      <c r="Z324" s="144" t="s">
        <v>1227</v>
      </c>
      <c r="AA324" s="152"/>
      <c r="AB324" s="152"/>
      <c r="AC324" s="471" t="s">
        <v>2295</v>
      </c>
      <c r="AD324" s="51"/>
      <c r="AE324" s="104"/>
      <c r="AF324" s="104"/>
    </row>
    <row r="325" spans="1:32" s="107" customFormat="1" ht="29.1">
      <c r="A325" s="107" t="s">
        <v>1245</v>
      </c>
      <c r="B325" s="107" t="s">
        <v>1246</v>
      </c>
      <c r="C325" s="108">
        <v>46198</v>
      </c>
      <c r="D325" s="108" t="s">
        <v>2248</v>
      </c>
      <c r="E325" s="300" t="s">
        <v>2235</v>
      </c>
      <c r="F325" s="176">
        <v>60</v>
      </c>
      <c r="G325" s="176">
        <v>910</v>
      </c>
      <c r="H325" s="144">
        <v>150</v>
      </c>
      <c r="I325" s="176" t="s">
        <v>1247</v>
      </c>
      <c r="J325" s="146" t="s">
        <v>1234</v>
      </c>
      <c r="K325" s="145" t="s">
        <v>1248</v>
      </c>
      <c r="L325" s="147" t="s">
        <v>1236</v>
      </c>
      <c r="M325" s="148">
        <v>150</v>
      </c>
      <c r="N325" s="148" t="s">
        <v>1249</v>
      </c>
      <c r="O325" s="149">
        <v>1</v>
      </c>
      <c r="P325" s="469">
        <v>5</v>
      </c>
      <c r="Q325" s="150" t="s">
        <v>1238</v>
      </c>
      <c r="R325" s="162">
        <v>0</v>
      </c>
      <c r="S325" s="144">
        <v>1</v>
      </c>
      <c r="T325" s="176">
        <v>7</v>
      </c>
      <c r="U325" s="176">
        <v>16</v>
      </c>
      <c r="V325" s="176" t="s">
        <v>1239</v>
      </c>
      <c r="W325" s="335" t="s">
        <v>1250</v>
      </c>
      <c r="X325" s="109" t="s">
        <v>272</v>
      </c>
      <c r="Y325" s="109" t="s">
        <v>272</v>
      </c>
      <c r="Z325" s="109"/>
      <c r="AA325" s="114"/>
      <c r="AB325" s="114"/>
      <c r="AC325" s="109"/>
      <c r="AD325" s="101"/>
      <c r="AE325" s="101"/>
    </row>
    <row r="326" spans="1:32" s="107" customFormat="1" ht="43.5">
      <c r="A326" s="516" t="s">
        <v>2299</v>
      </c>
      <c r="B326" s="107" t="s">
        <v>2246</v>
      </c>
      <c r="C326" s="108">
        <v>46198</v>
      </c>
      <c r="D326" s="108" t="s">
        <v>2248</v>
      </c>
      <c r="E326" s="617" t="s">
        <v>2256</v>
      </c>
      <c r="F326" s="176">
        <v>60</v>
      </c>
      <c r="G326" s="176">
        <v>910</v>
      </c>
      <c r="H326" s="172">
        <v>135</v>
      </c>
      <c r="I326" s="176" t="s">
        <v>1233</v>
      </c>
      <c r="J326" s="146" t="s">
        <v>1234</v>
      </c>
      <c r="K326" s="145" t="s">
        <v>1235</v>
      </c>
      <c r="L326" s="147" t="s">
        <v>1236</v>
      </c>
      <c r="M326" s="148">
        <v>300</v>
      </c>
      <c r="N326" s="148" t="s">
        <v>1237</v>
      </c>
      <c r="O326" s="149">
        <v>1</v>
      </c>
      <c r="P326" s="469">
        <v>0</v>
      </c>
      <c r="Q326" s="150" t="s">
        <v>1238</v>
      </c>
      <c r="R326" s="162">
        <v>20</v>
      </c>
      <c r="S326" s="144">
        <v>1</v>
      </c>
      <c r="T326" s="176">
        <v>7</v>
      </c>
      <c r="U326" s="176">
        <v>16</v>
      </c>
      <c r="V326" s="176" t="s">
        <v>1239</v>
      </c>
      <c r="W326" s="335" t="s">
        <v>1240</v>
      </c>
      <c r="X326" s="144" t="s">
        <v>1241</v>
      </c>
      <c r="Y326" s="144" t="s">
        <v>272</v>
      </c>
      <c r="Z326" s="144" t="s">
        <v>1227</v>
      </c>
      <c r="AA326" s="152"/>
      <c r="AB326" s="152"/>
      <c r="AC326" s="471" t="s">
        <v>2295</v>
      </c>
      <c r="AD326" s="51"/>
      <c r="AE326" s="104"/>
      <c r="AF326" s="104"/>
    </row>
    <row r="327" spans="1:32" s="107" customFormat="1" ht="29.1">
      <c r="A327" s="107" t="s">
        <v>1245</v>
      </c>
      <c r="B327" s="107" t="s">
        <v>1246</v>
      </c>
      <c r="C327" s="108">
        <v>46198</v>
      </c>
      <c r="D327" s="108" t="s">
        <v>2248</v>
      </c>
      <c r="E327" s="300" t="s">
        <v>2235</v>
      </c>
      <c r="F327" s="176">
        <v>60</v>
      </c>
      <c r="G327" s="176">
        <v>910</v>
      </c>
      <c r="H327" s="144">
        <v>150</v>
      </c>
      <c r="I327" s="176" t="s">
        <v>1247</v>
      </c>
      <c r="J327" s="146" t="s">
        <v>1234</v>
      </c>
      <c r="K327" s="145" t="s">
        <v>1248</v>
      </c>
      <c r="L327" s="147" t="s">
        <v>1236</v>
      </c>
      <c r="M327" s="148">
        <v>150</v>
      </c>
      <c r="N327" s="148" t="s">
        <v>1249</v>
      </c>
      <c r="O327" s="149">
        <v>1</v>
      </c>
      <c r="P327" s="469">
        <v>5</v>
      </c>
      <c r="Q327" s="150" t="s">
        <v>1238</v>
      </c>
      <c r="R327" s="162">
        <v>0</v>
      </c>
      <c r="S327" s="144">
        <v>1</v>
      </c>
      <c r="T327" s="176">
        <v>7</v>
      </c>
      <c r="U327" s="176">
        <v>16</v>
      </c>
      <c r="V327" s="176" t="s">
        <v>1239</v>
      </c>
      <c r="W327" s="335" t="s">
        <v>1250</v>
      </c>
      <c r="X327" s="109" t="s">
        <v>272</v>
      </c>
      <c r="Y327" s="109" t="s">
        <v>272</v>
      </c>
      <c r="Z327" s="109"/>
      <c r="AA327" s="114"/>
      <c r="AB327" s="114"/>
      <c r="AC327" s="109"/>
      <c r="AD327" s="101"/>
      <c r="AE327" s="101"/>
    </row>
    <row r="328" spans="1:32" s="107" customFormat="1" ht="43.5">
      <c r="A328" s="516" t="s">
        <v>2300</v>
      </c>
      <c r="B328" s="610" t="s">
        <v>2299</v>
      </c>
      <c r="C328" s="108">
        <v>46198</v>
      </c>
      <c r="D328" s="108" t="s">
        <v>2248</v>
      </c>
      <c r="E328" s="617" t="s">
        <v>2301</v>
      </c>
      <c r="F328" s="176">
        <v>60</v>
      </c>
      <c r="G328" s="176">
        <v>910</v>
      </c>
      <c r="H328" s="172">
        <v>135</v>
      </c>
      <c r="I328" s="176" t="s">
        <v>1233</v>
      </c>
      <c r="J328" s="146" t="s">
        <v>1234</v>
      </c>
      <c r="K328" s="145" t="s">
        <v>1235</v>
      </c>
      <c r="L328" s="147" t="s">
        <v>1236</v>
      </c>
      <c r="M328" s="148">
        <v>300</v>
      </c>
      <c r="N328" s="148" t="s">
        <v>1237</v>
      </c>
      <c r="O328" s="149">
        <v>1</v>
      </c>
      <c r="P328" s="469">
        <v>0</v>
      </c>
      <c r="Q328" s="150" t="s">
        <v>1238</v>
      </c>
      <c r="R328" s="162">
        <v>20</v>
      </c>
      <c r="S328" s="144">
        <v>1</v>
      </c>
      <c r="T328" s="176">
        <v>7</v>
      </c>
      <c r="U328" s="176">
        <v>16</v>
      </c>
      <c r="V328" s="176" t="s">
        <v>1239</v>
      </c>
      <c r="W328" s="335" t="s">
        <v>1240</v>
      </c>
      <c r="X328" s="144" t="s">
        <v>1241</v>
      </c>
      <c r="Y328" s="144" t="s">
        <v>272</v>
      </c>
      <c r="Z328" s="144" t="s">
        <v>1227</v>
      </c>
      <c r="AA328" s="152"/>
      <c r="AB328" s="152"/>
      <c r="AC328" s="471" t="s">
        <v>2295</v>
      </c>
      <c r="AD328" s="51"/>
      <c r="AE328" s="104"/>
      <c r="AF328" s="104"/>
    </row>
    <row r="329" spans="1:32" s="107" customFormat="1" ht="29.1">
      <c r="A329" s="107" t="s">
        <v>1245</v>
      </c>
      <c r="B329" s="107" t="s">
        <v>1246</v>
      </c>
      <c r="C329" s="108">
        <v>46199</v>
      </c>
      <c r="D329" s="108" t="s">
        <v>2248</v>
      </c>
      <c r="E329" s="300" t="s">
        <v>2235</v>
      </c>
      <c r="F329" s="176">
        <v>60</v>
      </c>
      <c r="G329" s="176">
        <v>910</v>
      </c>
      <c r="H329" s="144">
        <v>150</v>
      </c>
      <c r="I329" s="176" t="s">
        <v>1247</v>
      </c>
      <c r="J329" s="146" t="s">
        <v>1234</v>
      </c>
      <c r="K329" s="145" t="s">
        <v>1248</v>
      </c>
      <c r="L329" s="147" t="s">
        <v>1236</v>
      </c>
      <c r="M329" s="148">
        <v>150</v>
      </c>
      <c r="N329" s="148" t="s">
        <v>1249</v>
      </c>
      <c r="O329" s="149">
        <v>1</v>
      </c>
      <c r="P329" s="469">
        <v>5</v>
      </c>
      <c r="Q329" s="150" t="s">
        <v>1238</v>
      </c>
      <c r="R329" s="162">
        <v>0</v>
      </c>
      <c r="S329" s="144">
        <v>1</v>
      </c>
      <c r="T329" s="176">
        <v>7</v>
      </c>
      <c r="U329" s="176">
        <v>16</v>
      </c>
      <c r="V329" s="176" t="s">
        <v>1239</v>
      </c>
      <c r="W329" s="335" t="s">
        <v>1250</v>
      </c>
      <c r="X329" s="109" t="s">
        <v>272</v>
      </c>
      <c r="Y329" s="109" t="s">
        <v>272</v>
      </c>
      <c r="Z329" s="109"/>
      <c r="AA329" s="114"/>
      <c r="AB329" s="114"/>
      <c r="AC329" s="109"/>
      <c r="AD329" s="101"/>
      <c r="AE329" s="101"/>
    </row>
    <row r="330" spans="1:32" s="107" customFormat="1" ht="43.5">
      <c r="A330" s="516" t="s">
        <v>2302</v>
      </c>
      <c r="B330" s="610" t="s">
        <v>2299</v>
      </c>
      <c r="C330" s="108">
        <v>46199</v>
      </c>
      <c r="D330" s="108" t="s">
        <v>2248</v>
      </c>
      <c r="E330" s="617" t="s">
        <v>2301</v>
      </c>
      <c r="F330" s="172">
        <v>70</v>
      </c>
      <c r="G330" s="176">
        <v>910</v>
      </c>
      <c r="H330" s="172">
        <v>150</v>
      </c>
      <c r="I330" s="176" t="s">
        <v>1233</v>
      </c>
      <c r="J330" s="146" t="s">
        <v>1234</v>
      </c>
      <c r="K330" s="145" t="s">
        <v>1235</v>
      </c>
      <c r="L330" s="147" t="s">
        <v>1236</v>
      </c>
      <c r="M330" s="148">
        <v>300</v>
      </c>
      <c r="N330" s="148" t="s">
        <v>1237</v>
      </c>
      <c r="O330" s="149">
        <v>1</v>
      </c>
      <c r="P330" s="469">
        <v>0</v>
      </c>
      <c r="Q330" s="150" t="s">
        <v>1238</v>
      </c>
      <c r="R330" s="162">
        <v>20</v>
      </c>
      <c r="S330" s="144">
        <v>1</v>
      </c>
      <c r="T330" s="176">
        <v>7</v>
      </c>
      <c r="U330" s="176">
        <v>16</v>
      </c>
      <c r="V330" s="176" t="s">
        <v>1239</v>
      </c>
      <c r="W330" s="335" t="s">
        <v>1240</v>
      </c>
      <c r="X330" s="144" t="s">
        <v>1241</v>
      </c>
      <c r="Y330" s="144" t="s">
        <v>272</v>
      </c>
      <c r="Z330" s="144" t="s">
        <v>1227</v>
      </c>
      <c r="AA330" s="152"/>
      <c r="AB330" s="152"/>
      <c r="AC330" s="471" t="s">
        <v>2295</v>
      </c>
      <c r="AD330" s="51"/>
      <c r="AE330" s="104"/>
      <c r="AF330" s="104"/>
    </row>
    <row r="331" spans="1:32" s="107" customFormat="1" ht="29.1">
      <c r="A331" s="107" t="s">
        <v>1245</v>
      </c>
      <c r="B331" s="107" t="s">
        <v>1246</v>
      </c>
      <c r="C331" s="108">
        <v>46199</v>
      </c>
      <c r="D331" s="108" t="s">
        <v>2248</v>
      </c>
      <c r="E331" s="300" t="s">
        <v>2235</v>
      </c>
      <c r="F331" s="176">
        <v>60</v>
      </c>
      <c r="G331" s="176">
        <v>910</v>
      </c>
      <c r="H331" s="144">
        <v>150</v>
      </c>
      <c r="I331" s="176" t="s">
        <v>1247</v>
      </c>
      <c r="J331" s="146" t="s">
        <v>1234</v>
      </c>
      <c r="K331" s="145" t="s">
        <v>1248</v>
      </c>
      <c r="L331" s="147" t="s">
        <v>1236</v>
      </c>
      <c r="M331" s="148">
        <v>150</v>
      </c>
      <c r="N331" s="148" t="s">
        <v>1249</v>
      </c>
      <c r="O331" s="149">
        <v>1</v>
      </c>
      <c r="P331" s="469">
        <v>5</v>
      </c>
      <c r="Q331" s="150" t="s">
        <v>1238</v>
      </c>
      <c r="R331" s="162">
        <v>0</v>
      </c>
      <c r="S331" s="144">
        <v>1</v>
      </c>
      <c r="T331" s="176">
        <v>7</v>
      </c>
      <c r="U331" s="176">
        <v>16</v>
      </c>
      <c r="V331" s="176" t="s">
        <v>1239</v>
      </c>
      <c r="W331" s="335" t="s">
        <v>1250</v>
      </c>
      <c r="X331" s="109" t="s">
        <v>272</v>
      </c>
      <c r="Y331" s="109" t="s">
        <v>272</v>
      </c>
      <c r="Z331" s="109"/>
      <c r="AA331" s="114"/>
      <c r="AB331" s="114"/>
      <c r="AC331" s="109"/>
      <c r="AD331" s="101"/>
      <c r="AE331" s="101"/>
    </row>
    <row r="332" spans="1:32" s="107" customFormat="1" ht="43.5">
      <c r="A332" s="516" t="s">
        <v>2303</v>
      </c>
      <c r="B332" s="610" t="s">
        <v>2296</v>
      </c>
      <c r="C332" s="108">
        <v>46199</v>
      </c>
      <c r="D332" s="108" t="s">
        <v>209</v>
      </c>
      <c r="E332" s="617" t="s">
        <v>2301</v>
      </c>
      <c r="F332" s="176">
        <v>60</v>
      </c>
      <c r="G332" s="176">
        <v>910</v>
      </c>
      <c r="H332" s="176">
        <v>150</v>
      </c>
      <c r="I332" s="176" t="s">
        <v>1233</v>
      </c>
      <c r="J332" s="146" t="s">
        <v>1234</v>
      </c>
      <c r="K332" s="145" t="s">
        <v>1235</v>
      </c>
      <c r="L332" s="147" t="s">
        <v>1236</v>
      </c>
      <c r="M332" s="148">
        <v>300</v>
      </c>
      <c r="N332" s="148" t="s">
        <v>1237</v>
      </c>
      <c r="O332" s="149">
        <v>1</v>
      </c>
      <c r="P332" s="469">
        <v>0</v>
      </c>
      <c r="Q332" s="150" t="s">
        <v>1238</v>
      </c>
      <c r="R332" s="162">
        <v>20</v>
      </c>
      <c r="S332" s="144">
        <v>1</v>
      </c>
      <c r="T332" s="172">
        <v>3</v>
      </c>
      <c r="U332" s="176">
        <v>16</v>
      </c>
      <c r="V332" s="176" t="s">
        <v>1239</v>
      </c>
      <c r="W332" s="335" t="s">
        <v>1240</v>
      </c>
      <c r="X332" s="144" t="s">
        <v>1241</v>
      </c>
      <c r="Y332" s="144" t="s">
        <v>272</v>
      </c>
      <c r="Z332" s="144" t="s">
        <v>1227</v>
      </c>
      <c r="AA332" s="152"/>
      <c r="AB332" s="152"/>
      <c r="AC332" s="471" t="s">
        <v>2295</v>
      </c>
      <c r="AD332" s="51"/>
      <c r="AE332" s="104"/>
      <c r="AF332" s="104"/>
    </row>
    <row r="333" spans="1:32" s="107" customFormat="1" ht="29.1">
      <c r="A333" s="107" t="s">
        <v>1245</v>
      </c>
      <c r="B333" s="107" t="s">
        <v>1246</v>
      </c>
      <c r="C333" s="108">
        <v>46200</v>
      </c>
      <c r="D333" s="108" t="s">
        <v>209</v>
      </c>
      <c r="E333" s="300" t="s">
        <v>2235</v>
      </c>
      <c r="F333" s="176">
        <v>60</v>
      </c>
      <c r="G333" s="176">
        <v>910</v>
      </c>
      <c r="H333" s="144">
        <v>150</v>
      </c>
      <c r="I333" s="176" t="s">
        <v>1247</v>
      </c>
      <c r="J333" s="146" t="s">
        <v>1234</v>
      </c>
      <c r="K333" s="145" t="s">
        <v>1248</v>
      </c>
      <c r="L333" s="147" t="s">
        <v>1236</v>
      </c>
      <c r="M333" s="148">
        <v>150</v>
      </c>
      <c r="N333" s="148" t="s">
        <v>1249</v>
      </c>
      <c r="O333" s="149">
        <v>1</v>
      </c>
      <c r="P333" s="469">
        <v>5</v>
      </c>
      <c r="Q333" s="150" t="s">
        <v>1238</v>
      </c>
      <c r="R333" s="162">
        <v>0</v>
      </c>
      <c r="S333" s="144">
        <v>1</v>
      </c>
      <c r="T333" s="176">
        <v>7</v>
      </c>
      <c r="U333" s="176">
        <v>16</v>
      </c>
      <c r="V333" s="176" t="s">
        <v>1239</v>
      </c>
      <c r="W333" s="335" t="s">
        <v>1250</v>
      </c>
      <c r="X333" s="109" t="s">
        <v>272</v>
      </c>
      <c r="Y333" s="109" t="s">
        <v>272</v>
      </c>
      <c r="Z333" s="109"/>
      <c r="AA333" s="114"/>
      <c r="AB333" s="114"/>
      <c r="AC333" s="109"/>
      <c r="AD333" s="101"/>
      <c r="AE333" s="101"/>
    </row>
    <row r="334" spans="1:32" s="107" customFormat="1" ht="29.1">
      <c r="A334" s="107" t="s">
        <v>1245</v>
      </c>
      <c r="B334" s="107" t="s">
        <v>1246</v>
      </c>
      <c r="C334" s="108">
        <v>46203</v>
      </c>
      <c r="D334" s="108" t="s">
        <v>208</v>
      </c>
      <c r="E334" s="300" t="s">
        <v>2235</v>
      </c>
      <c r="F334" s="176">
        <v>60</v>
      </c>
      <c r="G334" s="176">
        <v>910</v>
      </c>
      <c r="H334" s="144">
        <v>150</v>
      </c>
      <c r="I334" s="176" t="s">
        <v>1247</v>
      </c>
      <c r="J334" s="146" t="s">
        <v>1234</v>
      </c>
      <c r="K334" s="145" t="s">
        <v>1248</v>
      </c>
      <c r="L334" s="147" t="s">
        <v>1236</v>
      </c>
      <c r="M334" s="148">
        <v>150</v>
      </c>
      <c r="N334" s="148" t="s">
        <v>1249</v>
      </c>
      <c r="O334" s="149">
        <v>1</v>
      </c>
      <c r="P334" s="469">
        <v>5</v>
      </c>
      <c r="Q334" s="150" t="s">
        <v>1238</v>
      </c>
      <c r="R334" s="162">
        <v>0</v>
      </c>
      <c r="S334" s="144">
        <v>1</v>
      </c>
      <c r="T334" s="176">
        <v>7</v>
      </c>
      <c r="U334" s="176">
        <v>16</v>
      </c>
      <c r="V334" s="176" t="s">
        <v>1239</v>
      </c>
      <c r="W334" s="335" t="s">
        <v>1250</v>
      </c>
      <c r="X334" s="109" t="s">
        <v>272</v>
      </c>
      <c r="Y334" s="109" t="s">
        <v>272</v>
      </c>
      <c r="Z334" s="109"/>
      <c r="AA334" s="114"/>
      <c r="AB334" s="114"/>
      <c r="AC334" s="109"/>
      <c r="AD334" s="101"/>
      <c r="AE334" s="101"/>
    </row>
    <row r="335" spans="1:32" s="107" customFormat="1" ht="45" customHeight="1">
      <c r="A335" s="516" t="s">
        <v>2304</v>
      </c>
      <c r="B335" s="610" t="s">
        <v>2299</v>
      </c>
      <c r="C335" s="108">
        <v>46203</v>
      </c>
      <c r="D335" s="108" t="s">
        <v>2248</v>
      </c>
      <c r="E335" s="617" t="s">
        <v>2301</v>
      </c>
      <c r="F335" s="176">
        <v>60</v>
      </c>
      <c r="G335" s="176">
        <v>910</v>
      </c>
      <c r="H335" s="176">
        <v>150</v>
      </c>
      <c r="I335" s="176" t="s">
        <v>1233</v>
      </c>
      <c r="J335" s="146" t="s">
        <v>1234</v>
      </c>
      <c r="K335" s="145" t="s">
        <v>1235</v>
      </c>
      <c r="L335" s="147" t="s">
        <v>1236</v>
      </c>
      <c r="M335" s="148">
        <v>300</v>
      </c>
      <c r="N335" s="148" t="s">
        <v>1237</v>
      </c>
      <c r="O335" s="149">
        <v>1</v>
      </c>
      <c r="P335" s="469">
        <v>0</v>
      </c>
      <c r="Q335" s="150" t="s">
        <v>1238</v>
      </c>
      <c r="R335" s="162">
        <v>20</v>
      </c>
      <c r="S335" s="144">
        <v>1</v>
      </c>
      <c r="T335" s="172">
        <v>7</v>
      </c>
      <c r="U335" s="176">
        <v>16</v>
      </c>
      <c r="V335" s="176" t="s">
        <v>1239</v>
      </c>
      <c r="W335" s="335" t="s">
        <v>1240</v>
      </c>
      <c r="X335" s="144" t="s">
        <v>1241</v>
      </c>
      <c r="Y335" s="144" t="s">
        <v>272</v>
      </c>
      <c r="Z335" s="144" t="s">
        <v>1227</v>
      </c>
      <c r="AA335" s="152"/>
      <c r="AB335" s="152"/>
      <c r="AC335" s="471" t="s">
        <v>2295</v>
      </c>
      <c r="AD335" s="51"/>
      <c r="AE335" s="104"/>
      <c r="AF335" s="104"/>
    </row>
    <row r="336" spans="1:32" ht="29.1">
      <c r="A336" s="107" t="s">
        <v>1245</v>
      </c>
      <c r="B336" s="107" t="s">
        <v>1246</v>
      </c>
      <c r="C336" s="108">
        <v>46203</v>
      </c>
      <c r="D336" s="108" t="s">
        <v>2248</v>
      </c>
      <c r="E336" s="300" t="s">
        <v>2235</v>
      </c>
      <c r="F336" s="176">
        <v>60</v>
      </c>
      <c r="G336" s="176">
        <v>910</v>
      </c>
      <c r="H336" s="144">
        <v>150</v>
      </c>
      <c r="I336" s="176" t="s">
        <v>1247</v>
      </c>
      <c r="J336" s="146" t="s">
        <v>1234</v>
      </c>
      <c r="K336" s="145" t="s">
        <v>1248</v>
      </c>
      <c r="L336" s="147" t="s">
        <v>1236</v>
      </c>
      <c r="M336" s="148">
        <v>150</v>
      </c>
      <c r="N336" s="148" t="s">
        <v>1249</v>
      </c>
      <c r="O336" s="149">
        <v>1</v>
      </c>
      <c r="P336" s="469">
        <v>5</v>
      </c>
      <c r="Q336" s="150" t="s">
        <v>1238</v>
      </c>
      <c r="R336" s="162">
        <v>0</v>
      </c>
      <c r="S336" s="144">
        <v>1</v>
      </c>
      <c r="T336" s="176">
        <v>7</v>
      </c>
      <c r="U336" s="176">
        <v>16</v>
      </c>
      <c r="V336" s="176" t="s">
        <v>1239</v>
      </c>
      <c r="W336" s="335" t="s">
        <v>1250</v>
      </c>
      <c r="X336" s="109" t="s">
        <v>272</v>
      </c>
      <c r="Y336" s="109" t="s">
        <v>272</v>
      </c>
      <c r="AC336" s="109"/>
      <c r="AF336" s="107"/>
    </row>
    <row r="337" spans="1:32" ht="43.5">
      <c r="A337" s="516" t="s">
        <v>2305</v>
      </c>
      <c r="B337" s="610" t="s">
        <v>2299</v>
      </c>
      <c r="C337" s="108">
        <v>46203</v>
      </c>
      <c r="D337" s="108" t="s">
        <v>2248</v>
      </c>
      <c r="E337" s="617" t="s">
        <v>2301</v>
      </c>
      <c r="F337" s="176">
        <v>60</v>
      </c>
      <c r="G337" s="176">
        <v>910</v>
      </c>
      <c r="H337" s="176">
        <v>150</v>
      </c>
      <c r="I337" s="176" t="s">
        <v>1233</v>
      </c>
      <c r="J337" s="146" t="s">
        <v>1234</v>
      </c>
      <c r="K337" s="145" t="s">
        <v>1235</v>
      </c>
      <c r="L337" s="147" t="s">
        <v>1236</v>
      </c>
      <c r="M337" s="148">
        <v>300</v>
      </c>
      <c r="N337" s="148" t="s">
        <v>1237</v>
      </c>
      <c r="O337" s="664">
        <v>1.6</v>
      </c>
      <c r="P337" s="469">
        <v>0</v>
      </c>
      <c r="Q337" s="150" t="s">
        <v>1238</v>
      </c>
      <c r="R337" s="162">
        <v>20</v>
      </c>
      <c r="S337" s="144">
        <v>1</v>
      </c>
      <c r="T337" s="172">
        <v>7</v>
      </c>
      <c r="U337" s="176">
        <v>16</v>
      </c>
      <c r="V337" s="176" t="s">
        <v>1239</v>
      </c>
      <c r="W337" s="335" t="s">
        <v>1240</v>
      </c>
      <c r="X337" s="144" t="s">
        <v>1241</v>
      </c>
      <c r="Y337" s="144" t="s">
        <v>272</v>
      </c>
      <c r="Z337" s="144" t="s">
        <v>1227</v>
      </c>
      <c r="AA337" s="152"/>
      <c r="AB337" s="152"/>
      <c r="AC337" s="471" t="s">
        <v>2295</v>
      </c>
      <c r="AD337" s="51"/>
      <c r="AE337" s="104"/>
      <c r="AF337" s="104"/>
    </row>
    <row r="338" spans="1:32" ht="29.1">
      <c r="A338" s="107" t="s">
        <v>1245</v>
      </c>
      <c r="B338" s="107" t="s">
        <v>1246</v>
      </c>
      <c r="C338" s="108">
        <v>46203</v>
      </c>
      <c r="D338" s="108" t="s">
        <v>208</v>
      </c>
      <c r="E338" s="300" t="s">
        <v>2235</v>
      </c>
      <c r="F338" s="176">
        <v>60</v>
      </c>
      <c r="G338" s="176">
        <v>910</v>
      </c>
      <c r="H338" s="144">
        <v>150</v>
      </c>
      <c r="I338" s="176" t="s">
        <v>1247</v>
      </c>
      <c r="J338" s="146" t="s">
        <v>1234</v>
      </c>
      <c r="K338" s="145" t="s">
        <v>2306</v>
      </c>
      <c r="L338" s="147" t="s">
        <v>1236</v>
      </c>
      <c r="M338" s="148">
        <v>150</v>
      </c>
      <c r="N338" s="148" t="s">
        <v>1249</v>
      </c>
      <c r="O338" s="149">
        <v>1</v>
      </c>
      <c r="P338" s="469">
        <v>5</v>
      </c>
      <c r="Q338" s="150" t="s">
        <v>1238</v>
      </c>
      <c r="R338" s="162">
        <v>0</v>
      </c>
      <c r="S338" s="144">
        <v>1</v>
      </c>
      <c r="T338" s="176">
        <v>7</v>
      </c>
      <c r="U338" s="176">
        <v>16</v>
      </c>
      <c r="V338" s="176" t="s">
        <v>1239</v>
      </c>
      <c r="W338" s="335" t="s">
        <v>1250</v>
      </c>
      <c r="X338" s="109" t="s">
        <v>272</v>
      </c>
      <c r="Y338" s="109" t="s">
        <v>272</v>
      </c>
      <c r="AC338" s="109"/>
      <c r="AF338" s="107"/>
    </row>
    <row r="339" spans="1:32" ht="43.5">
      <c r="A339" s="516" t="s">
        <v>2307</v>
      </c>
      <c r="B339" s="610" t="s">
        <v>2296</v>
      </c>
      <c r="C339" s="108">
        <v>46203</v>
      </c>
      <c r="D339" s="108" t="s">
        <v>2248</v>
      </c>
      <c r="E339" s="617" t="s">
        <v>2301</v>
      </c>
      <c r="F339" s="176">
        <v>60</v>
      </c>
      <c r="G339" s="176">
        <v>910</v>
      </c>
      <c r="H339" s="176">
        <v>150</v>
      </c>
      <c r="I339" s="176" t="s">
        <v>1233</v>
      </c>
      <c r="J339" s="146" t="s">
        <v>1234</v>
      </c>
      <c r="K339" s="145" t="s">
        <v>2308</v>
      </c>
      <c r="L339" s="147" t="s">
        <v>1236</v>
      </c>
      <c r="M339" s="148">
        <v>300</v>
      </c>
      <c r="N339" s="148" t="s">
        <v>1237</v>
      </c>
      <c r="O339" s="553">
        <v>1</v>
      </c>
      <c r="P339" s="469">
        <v>0</v>
      </c>
      <c r="Q339" s="150" t="s">
        <v>1238</v>
      </c>
      <c r="R339" s="162">
        <v>20</v>
      </c>
      <c r="S339" s="144">
        <v>1</v>
      </c>
      <c r="T339" s="554">
        <v>7</v>
      </c>
      <c r="U339" s="176">
        <v>16</v>
      </c>
      <c r="V339" s="176" t="s">
        <v>1239</v>
      </c>
      <c r="W339" s="335" t="s">
        <v>1240</v>
      </c>
      <c r="X339" s="144" t="s">
        <v>1241</v>
      </c>
      <c r="Y339" s="144" t="s">
        <v>272</v>
      </c>
      <c r="Z339" s="144" t="s">
        <v>1227</v>
      </c>
      <c r="AA339" s="152"/>
      <c r="AB339" s="152"/>
      <c r="AC339" s="471" t="s">
        <v>2295</v>
      </c>
      <c r="AD339" s="51"/>
      <c r="AE339" s="104"/>
      <c r="AF339" s="104"/>
    </row>
    <row r="340" spans="1:32" ht="29.1">
      <c r="A340" s="107" t="s">
        <v>1245</v>
      </c>
      <c r="B340" s="107" t="s">
        <v>1246</v>
      </c>
      <c r="C340" s="108">
        <v>46203</v>
      </c>
      <c r="D340" s="108" t="s">
        <v>2248</v>
      </c>
      <c r="E340" s="300" t="s">
        <v>2235</v>
      </c>
      <c r="F340" s="176">
        <v>60</v>
      </c>
      <c r="G340" s="176">
        <v>910</v>
      </c>
      <c r="H340" s="144">
        <v>150</v>
      </c>
      <c r="I340" s="176" t="s">
        <v>1247</v>
      </c>
      <c r="J340" s="146" t="s">
        <v>1234</v>
      </c>
      <c r="K340" s="145" t="s">
        <v>2309</v>
      </c>
      <c r="L340" s="147" t="s">
        <v>1236</v>
      </c>
      <c r="M340" s="148">
        <v>150</v>
      </c>
      <c r="N340" s="148" t="s">
        <v>1249</v>
      </c>
      <c r="O340" s="149">
        <v>1</v>
      </c>
      <c r="P340" s="469">
        <v>5</v>
      </c>
      <c r="Q340" s="150" t="s">
        <v>1238</v>
      </c>
      <c r="R340" s="162">
        <v>0</v>
      </c>
      <c r="S340" s="144">
        <v>1</v>
      </c>
      <c r="T340" s="176">
        <v>7</v>
      </c>
      <c r="U340" s="176">
        <v>16</v>
      </c>
      <c r="V340" s="176" t="s">
        <v>1239</v>
      </c>
      <c r="W340" s="335" t="s">
        <v>1250</v>
      </c>
      <c r="X340" s="109" t="s">
        <v>272</v>
      </c>
      <c r="Y340" s="109" t="s">
        <v>272</v>
      </c>
      <c r="AC340" s="109"/>
      <c r="AF340" s="107"/>
    </row>
    <row r="341" spans="1:32" ht="14.45"/>
    <row r="342" spans="1:32" ht="14.45"/>
    <row r="343" spans="1:32" ht="14.45"/>
    <row r="344" spans="1:32" ht="14.45"/>
    <row r="345" spans="1:32" ht="14.45"/>
    <row r="346" spans="1:32" ht="14.45"/>
    <row r="347" spans="1:32" ht="14.45"/>
    <row r="348" spans="1:32" ht="14.45"/>
    <row r="349" spans="1:32" ht="14.45"/>
    <row r="350" spans="1:32" ht="14.45"/>
    <row r="351" spans="1:32" ht="14.45"/>
    <row r="352" spans="1:32" ht="14.45"/>
    <row r="353" ht="14.45"/>
    <row r="354" ht="14.45"/>
    <row r="355" ht="14.45"/>
    <row r="356" ht="14.45"/>
    <row r="357" ht="14.45"/>
    <row r="358" ht="14.45"/>
    <row r="359" ht="14.45"/>
    <row r="360" ht="14.45"/>
    <row r="361" ht="14.45"/>
    <row r="362" ht="14.45"/>
    <row r="363" ht="14.45"/>
    <row r="364" ht="14.45"/>
    <row r="365" ht="14.45"/>
    <row r="366" ht="14.45"/>
    <row r="367" ht="14.45"/>
    <row r="368" ht="14.45"/>
    <row r="369" ht="14.45"/>
    <row r="370" ht="14.45"/>
    <row r="371" ht="14.45"/>
    <row r="372" ht="14.45"/>
    <row r="373" ht="14.45"/>
    <row r="374" ht="14.45"/>
    <row r="375" ht="14.45"/>
    <row r="376" ht="14.45"/>
    <row r="377" ht="14.45"/>
    <row r="378" ht="14.45"/>
    <row r="379" ht="14.45"/>
    <row r="380" ht="14.45"/>
    <row r="381" ht="14.45"/>
    <row r="382" ht="14.45"/>
    <row r="383" ht="14.45"/>
    <row r="384" ht="14.45"/>
    <row r="385" ht="14.45"/>
    <row r="386" ht="14.45"/>
    <row r="387" ht="14.45"/>
    <row r="388" ht="14.45"/>
    <row r="389" ht="14.45"/>
    <row r="390" ht="14.45"/>
    <row r="391" ht="14.45"/>
    <row r="392" ht="14.45"/>
    <row r="393" ht="14.45"/>
    <row r="394" ht="14.45"/>
    <row r="395" ht="14.45"/>
    <row r="396" ht="14.45"/>
    <row r="397" ht="14.45"/>
    <row r="398" ht="14.45"/>
    <row r="399" ht="14.45"/>
    <row r="400" ht="14.45"/>
    <row r="401" ht="14.45"/>
    <row r="402" ht="14.45"/>
    <row r="403" ht="14.45"/>
    <row r="404" ht="14.45"/>
    <row r="405" ht="14.45"/>
    <row r="406" ht="14.45"/>
    <row r="407" ht="14.45"/>
    <row r="408" ht="14.45"/>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sheetData>
  <autoFilter ref="A1:AF1" xr:uid="{F0019CC8-2A25-433F-87B0-358B67FA0E61}"/>
  <mergeCells count="1">
    <mergeCell ref="AC34:AC35"/>
  </mergeCells>
  <phoneticPr fontId="27" type="noConversion"/>
  <conditionalFormatting sqref="X3:X37">
    <cfRule type="cellIs" priority="295" operator="notEqual">
      <formula>"NA"</formula>
    </cfRule>
    <cfRule type="cellIs" dxfId="227" priority="296" operator="equal">
      <formula>"A"</formula>
    </cfRule>
    <cfRule type="cellIs" dxfId="226" priority="297" operator="equal">
      <formula>"A+I"</formula>
    </cfRule>
  </conditionalFormatting>
  <conditionalFormatting sqref="X39:X186">
    <cfRule type="cellIs" priority="301" operator="notEqual">
      <formula>"NA"</formula>
    </cfRule>
    <cfRule type="cellIs" dxfId="225" priority="302" operator="equal">
      <formula>"A"</formula>
    </cfRule>
    <cfRule type="cellIs" dxfId="224" priority="303" operator="equal">
      <formula>"A+I"</formula>
    </cfRule>
  </conditionalFormatting>
  <conditionalFormatting sqref="X188:X213">
    <cfRule type="cellIs" priority="307" operator="notEqual">
      <formula>"NA"</formula>
    </cfRule>
    <cfRule type="cellIs" dxfId="223" priority="308" operator="equal">
      <formula>"A"</formula>
    </cfRule>
    <cfRule type="cellIs" dxfId="222" priority="309" operator="equal">
      <formula>"A+I"</formula>
    </cfRule>
  </conditionalFormatting>
  <conditionalFormatting sqref="X215:X216">
    <cfRule type="cellIs" priority="310" operator="notEqual">
      <formula>"NA"</formula>
    </cfRule>
    <cfRule type="cellIs" dxfId="221" priority="311" operator="equal">
      <formula>"A"</formula>
    </cfRule>
    <cfRule type="cellIs" dxfId="220" priority="312" operator="equal">
      <formula>"A+I"</formula>
    </cfRule>
  </conditionalFormatting>
  <conditionalFormatting sqref="X219">
    <cfRule type="cellIs" priority="313" operator="notEqual">
      <formula>"NA"</formula>
    </cfRule>
    <cfRule type="cellIs" dxfId="219" priority="314" operator="equal">
      <formula>"A"</formula>
    </cfRule>
    <cfRule type="cellIs" dxfId="218" priority="315" operator="equal">
      <formula>"A+I"</formula>
    </cfRule>
  </conditionalFormatting>
  <conditionalFormatting sqref="X221:X226">
    <cfRule type="cellIs" priority="316" operator="notEqual">
      <formula>"NA"</formula>
    </cfRule>
    <cfRule type="cellIs" dxfId="217" priority="317" operator="equal">
      <formula>"A"</formula>
    </cfRule>
    <cfRule type="cellIs" dxfId="216" priority="318" operator="equal">
      <formula>"A+I"</formula>
    </cfRule>
  </conditionalFormatting>
  <conditionalFormatting sqref="X229">
    <cfRule type="cellIs" priority="319" operator="notEqual">
      <formula>"NA"</formula>
    </cfRule>
    <cfRule type="cellIs" dxfId="215" priority="320" operator="equal">
      <formula>"A"</formula>
    </cfRule>
    <cfRule type="cellIs" dxfId="214" priority="321" operator="equal">
      <formula>"A+I"</formula>
    </cfRule>
  </conditionalFormatting>
  <conditionalFormatting sqref="X236">
    <cfRule type="cellIs" priority="277" operator="notEqual">
      <formula>"NA"</formula>
    </cfRule>
    <cfRule type="cellIs" dxfId="213" priority="278" operator="equal">
      <formula>"A"</formula>
    </cfRule>
    <cfRule type="cellIs" dxfId="212" priority="279" operator="equal">
      <formula>"A+I"</formula>
    </cfRule>
  </conditionalFormatting>
  <conditionalFormatting sqref="X36:Y39">
    <cfRule type="cellIs" dxfId="211" priority="1030" operator="equal">
      <formula>"A+I"</formula>
    </cfRule>
    <cfRule type="cellIs" priority="1031" operator="notEqual">
      <formula>"NA"</formula>
    </cfRule>
    <cfRule type="cellIs" dxfId="210" priority="1032" operator="equal">
      <formula>"A"</formula>
    </cfRule>
  </conditionalFormatting>
  <conditionalFormatting sqref="X41:Y205">
    <cfRule type="cellIs" dxfId="209" priority="913" operator="equal">
      <formula>"A+I"</formula>
    </cfRule>
  </conditionalFormatting>
  <conditionalFormatting sqref="X41:Y234">
    <cfRule type="cellIs" priority="280" operator="notEqual">
      <formula>"NA"</formula>
    </cfRule>
    <cfRule type="cellIs" dxfId="208" priority="281" operator="equal">
      <formula>"A"</formula>
    </cfRule>
  </conditionalFormatting>
  <conditionalFormatting sqref="X206:Y234">
    <cfRule type="cellIs" dxfId="207" priority="282" operator="equal">
      <formula>"A+I"</formula>
    </cfRule>
  </conditionalFormatting>
  <conditionalFormatting sqref="X238:Y238">
    <cfRule type="cellIs" priority="256" operator="notEqual">
      <formula>"NA"</formula>
    </cfRule>
    <cfRule type="cellIs" dxfId="206" priority="257" operator="equal">
      <formula>"A"</formula>
    </cfRule>
    <cfRule type="cellIs" dxfId="205" priority="258" operator="equal">
      <formula>"A+I"</formula>
    </cfRule>
  </conditionalFormatting>
  <conditionalFormatting sqref="X240:Y240">
    <cfRule type="cellIs" priority="267" operator="notEqual">
      <formula>"NA"</formula>
    </cfRule>
    <cfRule type="cellIs" dxfId="204" priority="268" operator="equal">
      <formula>"A"</formula>
    </cfRule>
    <cfRule type="cellIs" dxfId="203" priority="269" operator="equal">
      <formula>"A+I"</formula>
    </cfRule>
  </conditionalFormatting>
  <conditionalFormatting sqref="X242:Y242">
    <cfRule type="cellIs" priority="259" operator="notEqual">
      <formula>"NA"</formula>
    </cfRule>
    <cfRule type="cellIs" dxfId="202" priority="260" operator="equal">
      <formula>"A"</formula>
    </cfRule>
    <cfRule type="cellIs" dxfId="201" priority="261" operator="equal">
      <formula>"A+I"</formula>
    </cfRule>
  </conditionalFormatting>
  <conditionalFormatting sqref="X248:Y248">
    <cfRule type="cellIs" priority="251" operator="notEqual">
      <formula>"NA"</formula>
    </cfRule>
    <cfRule type="cellIs" dxfId="200" priority="252" operator="equal">
      <formula>"A"</formula>
    </cfRule>
    <cfRule type="cellIs" dxfId="199" priority="253" operator="equal">
      <formula>"A+I"</formula>
    </cfRule>
  </conditionalFormatting>
  <conditionalFormatting sqref="X250:Y250">
    <cfRule type="cellIs" priority="246" operator="notEqual">
      <formula>"NA"</formula>
    </cfRule>
    <cfRule type="cellIs" dxfId="198" priority="247" operator="equal">
      <formula>"A"</formula>
    </cfRule>
    <cfRule type="cellIs" dxfId="197" priority="248" operator="equal">
      <formula>"A+I"</formula>
    </cfRule>
  </conditionalFormatting>
  <conditionalFormatting sqref="X252:Y252">
    <cfRule type="cellIs" priority="241" operator="notEqual">
      <formula>"NA"</formula>
    </cfRule>
    <cfRule type="cellIs" dxfId="196" priority="242" operator="equal">
      <formula>"A"</formula>
    </cfRule>
    <cfRule type="cellIs" dxfId="195" priority="243" operator="equal">
      <formula>"A+I"</formula>
    </cfRule>
  </conditionalFormatting>
  <conditionalFormatting sqref="X254:Y254">
    <cfRule type="cellIs" priority="236" operator="notEqual">
      <formula>"NA"</formula>
    </cfRule>
    <cfRule type="cellIs" dxfId="194" priority="237" operator="equal">
      <formula>"A"</formula>
    </cfRule>
    <cfRule type="cellIs" dxfId="193" priority="238" operator="equal">
      <formula>"A+I"</formula>
    </cfRule>
  </conditionalFormatting>
  <conditionalFormatting sqref="X256:Y256">
    <cfRule type="cellIs" priority="231" operator="notEqual">
      <formula>"NA"</formula>
    </cfRule>
    <cfRule type="cellIs" dxfId="192" priority="232" operator="equal">
      <formula>"A"</formula>
    </cfRule>
    <cfRule type="cellIs" dxfId="191" priority="233" operator="equal">
      <formula>"A+I"</formula>
    </cfRule>
  </conditionalFormatting>
  <conditionalFormatting sqref="X258:Y258">
    <cfRule type="cellIs" priority="226" operator="notEqual">
      <formula>"NA"</formula>
    </cfRule>
    <cfRule type="cellIs" dxfId="190" priority="227" operator="equal">
      <formula>"A"</formula>
    </cfRule>
    <cfRule type="cellIs" dxfId="189" priority="228" operator="equal">
      <formula>"A+I"</formula>
    </cfRule>
  </conditionalFormatting>
  <conditionalFormatting sqref="X260:Y260">
    <cfRule type="cellIs" priority="221" operator="notEqual">
      <formula>"NA"</formula>
    </cfRule>
    <cfRule type="cellIs" dxfId="188" priority="222" operator="equal">
      <formula>"A"</formula>
    </cfRule>
    <cfRule type="cellIs" dxfId="187" priority="223" operator="equal">
      <formula>"A+I"</formula>
    </cfRule>
  </conditionalFormatting>
  <conditionalFormatting sqref="X262:Y262">
    <cfRule type="cellIs" priority="216" operator="notEqual">
      <formula>"NA"</formula>
    </cfRule>
    <cfRule type="cellIs" dxfId="186" priority="217" operator="equal">
      <formula>"A"</formula>
    </cfRule>
    <cfRule type="cellIs" dxfId="185" priority="218" operator="equal">
      <formula>"A+I"</formula>
    </cfRule>
  </conditionalFormatting>
  <conditionalFormatting sqref="X264:Y264">
    <cfRule type="cellIs" priority="211" operator="notEqual">
      <formula>"NA"</formula>
    </cfRule>
    <cfRule type="cellIs" dxfId="184" priority="212" operator="equal">
      <formula>"A"</formula>
    </cfRule>
    <cfRule type="cellIs" dxfId="183" priority="213" operator="equal">
      <formula>"A+I"</formula>
    </cfRule>
  </conditionalFormatting>
  <conditionalFormatting sqref="X266:Y266">
    <cfRule type="cellIs" priority="206" operator="notEqual">
      <formula>"NA"</formula>
    </cfRule>
    <cfRule type="cellIs" dxfId="182" priority="207" operator="equal">
      <formula>"A"</formula>
    </cfRule>
    <cfRule type="cellIs" dxfId="181" priority="208" operator="equal">
      <formula>"A+I"</formula>
    </cfRule>
  </conditionalFormatting>
  <conditionalFormatting sqref="X268:Y268">
    <cfRule type="cellIs" priority="191" operator="notEqual">
      <formula>"NA"</formula>
    </cfRule>
    <cfRule type="cellIs" dxfId="180" priority="192" operator="equal">
      <formula>"A"</formula>
    </cfRule>
    <cfRule type="cellIs" dxfId="179" priority="193" operator="equal">
      <formula>"A+I"</formula>
    </cfRule>
  </conditionalFormatting>
  <conditionalFormatting sqref="X270:Y270">
    <cfRule type="cellIs" priority="186" operator="notEqual">
      <formula>"NA"</formula>
    </cfRule>
    <cfRule type="cellIs" dxfId="178" priority="187" operator="equal">
      <formula>"A"</formula>
    </cfRule>
    <cfRule type="cellIs" dxfId="177" priority="188" operator="equal">
      <formula>"A+I"</formula>
    </cfRule>
  </conditionalFormatting>
  <conditionalFormatting sqref="X272:Y272">
    <cfRule type="cellIs" priority="176" operator="notEqual">
      <formula>"NA"</formula>
    </cfRule>
    <cfRule type="cellIs" dxfId="176" priority="177" operator="equal">
      <formula>"A"</formula>
    </cfRule>
    <cfRule type="cellIs" dxfId="175" priority="178" operator="equal">
      <formula>"A+I"</formula>
    </cfRule>
  </conditionalFormatting>
  <conditionalFormatting sqref="X274:Y274">
    <cfRule type="cellIs" priority="171" operator="notEqual">
      <formula>"NA"</formula>
    </cfRule>
    <cfRule type="cellIs" dxfId="174" priority="172" operator="equal">
      <formula>"A"</formula>
    </cfRule>
    <cfRule type="cellIs" dxfId="173" priority="173" operator="equal">
      <formula>"A+I"</formula>
    </cfRule>
  </conditionalFormatting>
  <conditionalFormatting sqref="X276:Y276">
    <cfRule type="cellIs" priority="166" operator="notEqual">
      <formula>"NA"</formula>
    </cfRule>
    <cfRule type="cellIs" dxfId="172" priority="167" operator="equal">
      <formula>"A"</formula>
    </cfRule>
    <cfRule type="cellIs" dxfId="171" priority="168" operator="equal">
      <formula>"A+I"</formula>
    </cfRule>
  </conditionalFormatting>
  <conditionalFormatting sqref="X278:Y278">
    <cfRule type="cellIs" priority="161" operator="notEqual">
      <formula>"NA"</formula>
    </cfRule>
    <cfRule type="cellIs" dxfId="170" priority="162" operator="equal">
      <formula>"A"</formula>
    </cfRule>
    <cfRule type="cellIs" dxfId="169" priority="163" operator="equal">
      <formula>"A+I"</formula>
    </cfRule>
  </conditionalFormatting>
  <conditionalFormatting sqref="X280:Y280">
    <cfRule type="cellIs" priority="156" operator="notEqual">
      <formula>"NA"</formula>
    </cfRule>
    <cfRule type="cellIs" dxfId="168" priority="157" operator="equal">
      <formula>"A"</formula>
    </cfRule>
    <cfRule type="cellIs" dxfId="167" priority="158" operator="equal">
      <formula>"A+I"</formula>
    </cfRule>
  </conditionalFormatting>
  <conditionalFormatting sqref="X282:Y282">
    <cfRule type="cellIs" priority="151" operator="notEqual">
      <formula>"NA"</formula>
    </cfRule>
    <cfRule type="cellIs" dxfId="166" priority="152" operator="equal">
      <formula>"A"</formula>
    </cfRule>
    <cfRule type="cellIs" dxfId="165" priority="153" operator="equal">
      <formula>"A+I"</formula>
    </cfRule>
  </conditionalFormatting>
  <conditionalFormatting sqref="X284:Y284">
    <cfRule type="cellIs" priority="146" operator="notEqual">
      <formula>"NA"</formula>
    </cfRule>
    <cfRule type="cellIs" dxfId="164" priority="147" operator="equal">
      <formula>"A"</formula>
    </cfRule>
    <cfRule type="cellIs" dxfId="163" priority="148" operator="equal">
      <formula>"A+I"</formula>
    </cfRule>
  </conditionalFormatting>
  <conditionalFormatting sqref="X286:Y286">
    <cfRule type="cellIs" priority="141" operator="notEqual">
      <formula>"NA"</formula>
    </cfRule>
    <cfRule type="cellIs" dxfId="162" priority="142" operator="equal">
      <formula>"A"</formula>
    </cfRule>
    <cfRule type="cellIs" dxfId="161" priority="143" operator="equal">
      <formula>"A+I"</formula>
    </cfRule>
  </conditionalFormatting>
  <conditionalFormatting sqref="X288:Y288">
    <cfRule type="cellIs" priority="136" operator="notEqual">
      <formula>"NA"</formula>
    </cfRule>
    <cfRule type="cellIs" dxfId="160" priority="137" operator="equal">
      <formula>"A"</formula>
    </cfRule>
    <cfRule type="cellIs" dxfId="159" priority="138" operator="equal">
      <formula>"A+I"</formula>
    </cfRule>
  </conditionalFormatting>
  <conditionalFormatting sqref="X290:Y290">
    <cfRule type="cellIs" priority="131" operator="notEqual">
      <formula>"NA"</formula>
    </cfRule>
    <cfRule type="cellIs" dxfId="158" priority="132" operator="equal">
      <formula>"A"</formula>
    </cfRule>
    <cfRule type="cellIs" dxfId="157" priority="133" operator="equal">
      <formula>"A+I"</formula>
    </cfRule>
  </conditionalFormatting>
  <conditionalFormatting sqref="X292:Y292">
    <cfRule type="cellIs" priority="126" operator="notEqual">
      <formula>"NA"</formula>
    </cfRule>
    <cfRule type="cellIs" dxfId="156" priority="127" operator="equal">
      <formula>"A"</formula>
    </cfRule>
    <cfRule type="cellIs" dxfId="155" priority="128" operator="equal">
      <formula>"A+I"</formula>
    </cfRule>
  </conditionalFormatting>
  <conditionalFormatting sqref="X294:Y294">
    <cfRule type="cellIs" priority="121" operator="notEqual">
      <formula>"NA"</formula>
    </cfRule>
    <cfRule type="cellIs" dxfId="154" priority="122" operator="equal">
      <formula>"A"</formula>
    </cfRule>
    <cfRule type="cellIs" dxfId="153" priority="123" operator="equal">
      <formula>"A+I"</formula>
    </cfRule>
  </conditionalFormatting>
  <conditionalFormatting sqref="X296:Y296">
    <cfRule type="cellIs" priority="116" operator="notEqual">
      <formula>"NA"</formula>
    </cfRule>
    <cfRule type="cellIs" dxfId="152" priority="117" operator="equal">
      <formula>"A"</formula>
    </cfRule>
    <cfRule type="cellIs" dxfId="151" priority="118" operator="equal">
      <formula>"A+I"</formula>
    </cfRule>
  </conditionalFormatting>
  <conditionalFormatting sqref="X298:Y298">
    <cfRule type="cellIs" priority="111" operator="notEqual">
      <formula>"NA"</formula>
    </cfRule>
    <cfRule type="cellIs" dxfId="150" priority="112" operator="equal">
      <formula>"A"</formula>
    </cfRule>
    <cfRule type="cellIs" dxfId="149" priority="113" operator="equal">
      <formula>"A+I"</formula>
    </cfRule>
  </conditionalFormatting>
  <conditionalFormatting sqref="X300:Y300">
    <cfRule type="cellIs" priority="106" operator="notEqual">
      <formula>"NA"</formula>
    </cfRule>
    <cfRule type="cellIs" dxfId="148" priority="107" operator="equal">
      <formula>"A"</formula>
    </cfRule>
    <cfRule type="cellIs" dxfId="147" priority="108" operator="equal">
      <formula>"A+I"</formula>
    </cfRule>
  </conditionalFormatting>
  <conditionalFormatting sqref="X302:Y302">
    <cfRule type="cellIs" priority="101" operator="notEqual">
      <formula>"NA"</formula>
    </cfRule>
    <cfRule type="cellIs" dxfId="146" priority="102" operator="equal">
      <formula>"A"</formula>
    </cfRule>
    <cfRule type="cellIs" dxfId="145" priority="103" operator="equal">
      <formula>"A+I"</formula>
    </cfRule>
  </conditionalFormatting>
  <conditionalFormatting sqref="X304:Y304">
    <cfRule type="cellIs" priority="96" operator="notEqual">
      <formula>"NA"</formula>
    </cfRule>
    <cfRule type="cellIs" dxfId="144" priority="97" operator="equal">
      <formula>"A"</formula>
    </cfRule>
    <cfRule type="cellIs" dxfId="143" priority="98" operator="equal">
      <formula>"A+I"</formula>
    </cfRule>
  </conditionalFormatting>
  <conditionalFormatting sqref="X306:Y306">
    <cfRule type="cellIs" priority="86" operator="notEqual">
      <formula>"NA"</formula>
    </cfRule>
    <cfRule type="cellIs" dxfId="142" priority="87" operator="equal">
      <formula>"A"</formula>
    </cfRule>
    <cfRule type="cellIs" dxfId="141" priority="88" operator="equal">
      <formula>"A+I"</formula>
    </cfRule>
  </conditionalFormatting>
  <conditionalFormatting sqref="X308:Y308">
    <cfRule type="cellIs" priority="81" operator="notEqual">
      <formula>"NA"</formula>
    </cfRule>
    <cfRule type="cellIs" dxfId="140" priority="82" operator="equal">
      <formula>"A"</formula>
    </cfRule>
    <cfRule type="cellIs" dxfId="139" priority="83" operator="equal">
      <formula>"A+I"</formula>
    </cfRule>
  </conditionalFormatting>
  <conditionalFormatting sqref="X310:Y310">
    <cfRule type="cellIs" priority="76" operator="notEqual">
      <formula>"NA"</formula>
    </cfRule>
    <cfRule type="cellIs" dxfId="138" priority="77" operator="equal">
      <formula>"A"</formula>
    </cfRule>
    <cfRule type="cellIs" dxfId="137" priority="78" operator="equal">
      <formula>"A+I"</formula>
    </cfRule>
  </conditionalFormatting>
  <conditionalFormatting sqref="X312:Y312">
    <cfRule type="cellIs" priority="71" operator="notEqual">
      <formula>"NA"</formula>
    </cfRule>
    <cfRule type="cellIs" dxfId="136" priority="72" operator="equal">
      <formula>"A"</formula>
    </cfRule>
    <cfRule type="cellIs" dxfId="135" priority="73" operator="equal">
      <formula>"A+I"</formula>
    </cfRule>
  </conditionalFormatting>
  <conditionalFormatting sqref="X314:Y314">
    <cfRule type="cellIs" priority="66" operator="notEqual">
      <formula>"NA"</formula>
    </cfRule>
    <cfRule type="cellIs" dxfId="134" priority="67" operator="equal">
      <formula>"A"</formula>
    </cfRule>
    <cfRule type="cellIs" dxfId="133" priority="68" operator="equal">
      <formula>"A+I"</formula>
    </cfRule>
  </conditionalFormatting>
  <conditionalFormatting sqref="X316:Y316">
    <cfRule type="cellIs" priority="61" operator="notEqual">
      <formula>"NA"</formula>
    </cfRule>
    <cfRule type="cellIs" dxfId="132" priority="62" operator="equal">
      <formula>"A"</formula>
    </cfRule>
    <cfRule type="cellIs" dxfId="131" priority="63" operator="equal">
      <formula>"A+I"</formula>
    </cfRule>
  </conditionalFormatting>
  <conditionalFormatting sqref="X318:Y318">
    <cfRule type="cellIs" priority="56" operator="notEqual">
      <formula>"NA"</formula>
    </cfRule>
    <cfRule type="cellIs" dxfId="130" priority="57" operator="equal">
      <formula>"A"</formula>
    </cfRule>
    <cfRule type="cellIs" dxfId="129" priority="58" operator="equal">
      <formula>"A+I"</formula>
    </cfRule>
  </conditionalFormatting>
  <conditionalFormatting sqref="X320:Y320">
    <cfRule type="cellIs" priority="51" operator="notEqual">
      <formula>"NA"</formula>
    </cfRule>
    <cfRule type="cellIs" dxfId="128" priority="52" operator="equal">
      <formula>"A"</formula>
    </cfRule>
    <cfRule type="cellIs" dxfId="127" priority="53" operator="equal">
      <formula>"A+I"</formula>
    </cfRule>
  </conditionalFormatting>
  <conditionalFormatting sqref="X322:Y322">
    <cfRule type="cellIs" priority="46" operator="notEqual">
      <formula>"NA"</formula>
    </cfRule>
    <cfRule type="cellIs" dxfId="126" priority="47" operator="equal">
      <formula>"A"</formula>
    </cfRule>
    <cfRule type="cellIs" dxfId="125" priority="48" operator="equal">
      <formula>"A+I"</formula>
    </cfRule>
  </conditionalFormatting>
  <conditionalFormatting sqref="X324:Y324">
    <cfRule type="cellIs" priority="41" operator="notEqual">
      <formula>"NA"</formula>
    </cfRule>
    <cfRule type="cellIs" dxfId="124" priority="42" operator="equal">
      <formula>"A"</formula>
    </cfRule>
    <cfRule type="cellIs" dxfId="123" priority="43" operator="equal">
      <formula>"A+I"</formula>
    </cfRule>
  </conditionalFormatting>
  <conditionalFormatting sqref="X326:Y326">
    <cfRule type="cellIs" priority="36" operator="notEqual">
      <formula>"NA"</formula>
    </cfRule>
    <cfRule type="cellIs" dxfId="122" priority="37" operator="equal">
      <formula>"A"</formula>
    </cfRule>
    <cfRule type="cellIs" dxfId="121" priority="38" operator="equal">
      <formula>"A+I"</formula>
    </cfRule>
  </conditionalFormatting>
  <conditionalFormatting sqref="X328:Y328">
    <cfRule type="cellIs" priority="31" operator="notEqual">
      <formula>"NA"</formula>
    </cfRule>
    <cfRule type="cellIs" dxfId="120" priority="32" operator="equal">
      <formula>"A"</formula>
    </cfRule>
    <cfRule type="cellIs" dxfId="119" priority="33" operator="equal">
      <formula>"A+I"</formula>
    </cfRule>
  </conditionalFormatting>
  <conditionalFormatting sqref="X330:Y330">
    <cfRule type="cellIs" priority="26" operator="notEqual">
      <formula>"NA"</formula>
    </cfRule>
    <cfRule type="cellIs" dxfId="118" priority="27" operator="equal">
      <formula>"A"</formula>
    </cfRule>
    <cfRule type="cellIs" dxfId="117" priority="28" operator="equal">
      <formula>"A+I"</formula>
    </cfRule>
  </conditionalFormatting>
  <conditionalFormatting sqref="X332:Y332">
    <cfRule type="cellIs" priority="21" operator="notEqual">
      <formula>"NA"</formula>
    </cfRule>
    <cfRule type="cellIs" dxfId="116" priority="22" operator="equal">
      <formula>"A"</formula>
    </cfRule>
    <cfRule type="cellIs" dxfId="115" priority="23" operator="equal">
      <formula>"A+I"</formula>
    </cfRule>
  </conditionalFormatting>
  <conditionalFormatting sqref="X335:Y335">
    <cfRule type="cellIs" priority="11" operator="notEqual">
      <formula>"NA"</formula>
    </cfRule>
    <cfRule type="cellIs" dxfId="114" priority="12" operator="equal">
      <formula>"A"</formula>
    </cfRule>
    <cfRule type="cellIs" dxfId="113" priority="13" operator="equal">
      <formula>"A+I"</formula>
    </cfRule>
  </conditionalFormatting>
  <conditionalFormatting sqref="X337:Y337">
    <cfRule type="cellIs" priority="6" operator="notEqual">
      <formula>"NA"</formula>
    </cfRule>
    <cfRule type="cellIs" dxfId="112" priority="7" operator="equal">
      <formula>"A"</formula>
    </cfRule>
    <cfRule type="cellIs" dxfId="111" priority="8" operator="equal">
      <formula>"A+I"</formula>
    </cfRule>
  </conditionalFormatting>
  <conditionalFormatting sqref="X339:Y339">
    <cfRule type="cellIs" priority="1" operator="notEqual">
      <formula>"NA"</formula>
    </cfRule>
    <cfRule type="cellIs" dxfId="110" priority="2" operator="equal">
      <formula>"A"</formula>
    </cfRule>
    <cfRule type="cellIs" dxfId="109" priority="3" operator="equal">
      <formula>"A+I"</formula>
    </cfRule>
  </conditionalFormatting>
  <conditionalFormatting sqref="Y1:Y39 Y41:Y234">
    <cfRule type="cellIs" dxfId="108" priority="1024" operator="equal">
      <formula>"A-O"</formula>
    </cfRule>
    <cfRule type="cellIs" dxfId="107" priority="1025" operator="equal">
      <formula>"A-O-M"</formula>
    </cfRule>
  </conditionalFormatting>
  <conditionalFormatting sqref="Y1:Y234 Y242:Y246 Y341:Y1048576">
    <cfRule type="cellIs" dxfId="106" priority="1023" operator="equal">
      <formula>"A"</formula>
    </cfRule>
  </conditionalFormatting>
  <conditionalFormatting sqref="Y3:Y234 Y242:Y246 Y341:Y1048576">
    <cfRule type="cellIs" dxfId="105" priority="1021" operator="equal">
      <formula>"A+I"</formula>
    </cfRule>
    <cfRule type="cellIs" priority="1022" operator="notEqual">
      <formula>"NA"</formula>
    </cfRule>
  </conditionalFormatting>
  <conditionalFormatting sqref="Y40">
    <cfRule type="cellIs" dxfId="104" priority="1016" operator="equal">
      <formula>"A+O+I"</formula>
    </cfRule>
    <cfRule type="cellIs" dxfId="103" priority="1017" operator="equal">
      <formula>"A-O-M"</formula>
    </cfRule>
    <cfRule type="cellIs" dxfId="102" priority="1018" operator="equal">
      <formula>"A-OM"</formula>
    </cfRule>
    <cfRule type="cellIs" dxfId="101" priority="1019" operator="equal">
      <formula>"A-O"</formula>
    </cfRule>
  </conditionalFormatting>
  <conditionalFormatting sqref="Y66">
    <cfRule type="cellIs" dxfId="100" priority="911" operator="equal">
      <formula>$Y$66</formula>
    </cfRule>
  </conditionalFormatting>
  <conditionalFormatting sqref="Y238">
    <cfRule type="cellIs" dxfId="99" priority="275" operator="equal">
      <formula>"A-O"</formula>
    </cfRule>
    <cfRule type="cellIs" dxfId="98" priority="276" operator="equal">
      <formula>"A-O-M"</formula>
    </cfRule>
  </conditionalFormatting>
  <conditionalFormatting sqref="Y240">
    <cfRule type="cellIs" dxfId="97" priority="270" operator="equal">
      <formula>"A-O"</formula>
    </cfRule>
    <cfRule type="cellIs" dxfId="96" priority="271" operator="equal">
      <formula>"A-O-M"</formula>
    </cfRule>
  </conditionalFormatting>
  <conditionalFormatting sqref="Y242">
    <cfRule type="cellIs" dxfId="95" priority="265" operator="equal">
      <formula>"A-O"</formula>
    </cfRule>
    <cfRule type="cellIs" dxfId="94" priority="266" operator="equal">
      <formula>"A-O-M"</formula>
    </cfRule>
  </conditionalFormatting>
  <conditionalFormatting sqref="Y248">
    <cfRule type="cellIs" dxfId="93" priority="254" operator="equal">
      <formula>"A-O"</formula>
    </cfRule>
    <cfRule type="cellIs" dxfId="92" priority="255" operator="equal">
      <formula>"A-O-M"</formula>
    </cfRule>
  </conditionalFormatting>
  <conditionalFormatting sqref="Y250">
    <cfRule type="cellIs" dxfId="91" priority="249" operator="equal">
      <formula>"A-O"</formula>
    </cfRule>
    <cfRule type="cellIs" dxfId="90" priority="250" operator="equal">
      <formula>"A-O-M"</formula>
    </cfRule>
  </conditionalFormatting>
  <conditionalFormatting sqref="Y252">
    <cfRule type="cellIs" dxfId="89" priority="244" operator="equal">
      <formula>"A-O"</formula>
    </cfRule>
    <cfRule type="cellIs" dxfId="88" priority="245" operator="equal">
      <formula>"A-O-M"</formula>
    </cfRule>
  </conditionalFormatting>
  <conditionalFormatting sqref="Y254">
    <cfRule type="cellIs" dxfId="87" priority="239" operator="equal">
      <formula>"A-O"</formula>
    </cfRule>
    <cfRule type="cellIs" dxfId="86" priority="240" operator="equal">
      <formula>"A-O-M"</formula>
    </cfRule>
  </conditionalFormatting>
  <conditionalFormatting sqref="Y256">
    <cfRule type="cellIs" dxfId="85" priority="234" operator="equal">
      <formula>"A-O"</formula>
    </cfRule>
    <cfRule type="cellIs" dxfId="84" priority="235" operator="equal">
      <formula>"A-O-M"</formula>
    </cfRule>
  </conditionalFormatting>
  <conditionalFormatting sqref="Y258">
    <cfRule type="cellIs" dxfId="83" priority="229" operator="equal">
      <formula>"A-O"</formula>
    </cfRule>
    <cfRule type="cellIs" dxfId="82" priority="230" operator="equal">
      <formula>"A-O-M"</formula>
    </cfRule>
  </conditionalFormatting>
  <conditionalFormatting sqref="Y260">
    <cfRule type="cellIs" dxfId="81" priority="224" operator="equal">
      <formula>"A-O"</formula>
    </cfRule>
    <cfRule type="cellIs" dxfId="80" priority="225" operator="equal">
      <formula>"A-O-M"</formula>
    </cfRule>
  </conditionalFormatting>
  <conditionalFormatting sqref="Y262">
    <cfRule type="cellIs" dxfId="79" priority="219" operator="equal">
      <formula>"A-O"</formula>
    </cfRule>
    <cfRule type="cellIs" dxfId="78" priority="220" operator="equal">
      <formula>"A-O-M"</formula>
    </cfRule>
  </conditionalFormatting>
  <conditionalFormatting sqref="Y264">
    <cfRule type="cellIs" dxfId="77" priority="214" operator="equal">
      <formula>"A-O"</formula>
    </cfRule>
    <cfRule type="cellIs" dxfId="76" priority="215" operator="equal">
      <formula>"A-O-M"</formula>
    </cfRule>
  </conditionalFormatting>
  <conditionalFormatting sqref="Y266">
    <cfRule type="cellIs" dxfId="75" priority="209" operator="equal">
      <formula>"A-O"</formula>
    </cfRule>
    <cfRule type="cellIs" dxfId="74" priority="210" operator="equal">
      <formula>"A-O-M"</formula>
    </cfRule>
  </conditionalFormatting>
  <conditionalFormatting sqref="Y268">
    <cfRule type="cellIs" dxfId="73" priority="194" operator="equal">
      <formula>"A-O"</formula>
    </cfRule>
    <cfRule type="cellIs" dxfId="72" priority="195" operator="equal">
      <formula>"A-O-M"</formula>
    </cfRule>
  </conditionalFormatting>
  <conditionalFormatting sqref="Y270">
    <cfRule type="cellIs" dxfId="71" priority="189" operator="equal">
      <formula>"A-O"</formula>
    </cfRule>
    <cfRule type="cellIs" dxfId="70" priority="190" operator="equal">
      <formula>"A-O-M"</formula>
    </cfRule>
  </conditionalFormatting>
  <conditionalFormatting sqref="Y272">
    <cfRule type="cellIs" dxfId="69" priority="179" operator="equal">
      <formula>"A-O"</formula>
    </cfRule>
    <cfRule type="cellIs" dxfId="68" priority="180" operator="equal">
      <formula>"A-O-M"</formula>
    </cfRule>
  </conditionalFormatting>
  <conditionalFormatting sqref="Y274">
    <cfRule type="cellIs" dxfId="67" priority="174" operator="equal">
      <formula>"A-O"</formula>
    </cfRule>
    <cfRule type="cellIs" dxfId="66" priority="175" operator="equal">
      <formula>"A-O-M"</formula>
    </cfRule>
  </conditionalFormatting>
  <conditionalFormatting sqref="Y276">
    <cfRule type="cellIs" dxfId="65" priority="169" operator="equal">
      <formula>"A-O"</formula>
    </cfRule>
    <cfRule type="cellIs" dxfId="64" priority="170" operator="equal">
      <formula>"A-O-M"</formula>
    </cfRule>
  </conditionalFormatting>
  <conditionalFormatting sqref="Y278">
    <cfRule type="cellIs" dxfId="63" priority="164" operator="equal">
      <formula>"A-O"</formula>
    </cfRule>
    <cfRule type="cellIs" dxfId="62" priority="165" operator="equal">
      <formula>"A-O-M"</formula>
    </cfRule>
  </conditionalFormatting>
  <conditionalFormatting sqref="Y280">
    <cfRule type="cellIs" dxfId="61" priority="159" operator="equal">
      <formula>"A-O"</formula>
    </cfRule>
    <cfRule type="cellIs" dxfId="60" priority="160" operator="equal">
      <formula>"A-O-M"</formula>
    </cfRule>
  </conditionalFormatting>
  <conditionalFormatting sqref="Y282">
    <cfRule type="cellIs" dxfId="59" priority="154" operator="equal">
      <formula>"A-O"</formula>
    </cfRule>
    <cfRule type="cellIs" dxfId="58" priority="155" operator="equal">
      <formula>"A-O-M"</formula>
    </cfRule>
  </conditionalFormatting>
  <conditionalFormatting sqref="Y284">
    <cfRule type="cellIs" dxfId="57" priority="149" operator="equal">
      <formula>"A-O"</formula>
    </cfRule>
    <cfRule type="cellIs" dxfId="56" priority="150" operator="equal">
      <formula>"A-O-M"</formula>
    </cfRule>
  </conditionalFormatting>
  <conditionalFormatting sqref="Y286">
    <cfRule type="cellIs" dxfId="55" priority="144" operator="equal">
      <formula>"A-O"</formula>
    </cfRule>
    <cfRule type="cellIs" dxfId="54" priority="145" operator="equal">
      <formula>"A-O-M"</formula>
    </cfRule>
  </conditionalFormatting>
  <conditionalFormatting sqref="Y288">
    <cfRule type="cellIs" dxfId="53" priority="139" operator="equal">
      <formula>"A-O"</formula>
    </cfRule>
    <cfRule type="cellIs" dxfId="52" priority="140" operator="equal">
      <formula>"A-O-M"</formula>
    </cfRule>
  </conditionalFormatting>
  <conditionalFormatting sqref="Y290">
    <cfRule type="cellIs" dxfId="51" priority="134" operator="equal">
      <formula>"A-O"</formula>
    </cfRule>
    <cfRule type="cellIs" dxfId="50" priority="135" operator="equal">
      <formula>"A-O-M"</formula>
    </cfRule>
  </conditionalFormatting>
  <conditionalFormatting sqref="Y292">
    <cfRule type="cellIs" dxfId="49" priority="129" operator="equal">
      <formula>"A-O"</formula>
    </cfRule>
    <cfRule type="cellIs" dxfId="48" priority="130" operator="equal">
      <formula>"A-O-M"</formula>
    </cfRule>
  </conditionalFormatting>
  <conditionalFormatting sqref="Y294">
    <cfRule type="cellIs" dxfId="47" priority="124" operator="equal">
      <formula>"A-O"</formula>
    </cfRule>
    <cfRule type="cellIs" dxfId="46" priority="125" operator="equal">
      <formula>"A-O-M"</formula>
    </cfRule>
  </conditionalFormatting>
  <conditionalFormatting sqref="Y296">
    <cfRule type="cellIs" dxfId="45" priority="119" operator="equal">
      <formula>"A-O"</formula>
    </cfRule>
    <cfRule type="cellIs" dxfId="44" priority="120" operator="equal">
      <formula>"A-O-M"</formula>
    </cfRule>
  </conditionalFormatting>
  <conditionalFormatting sqref="Y298">
    <cfRule type="cellIs" dxfId="43" priority="114" operator="equal">
      <formula>"A-O"</formula>
    </cfRule>
    <cfRule type="cellIs" dxfId="42" priority="115" operator="equal">
      <formula>"A-O-M"</formula>
    </cfRule>
  </conditionalFormatting>
  <conditionalFormatting sqref="Y300">
    <cfRule type="cellIs" dxfId="41" priority="109" operator="equal">
      <formula>"A-O"</formula>
    </cfRule>
    <cfRule type="cellIs" dxfId="40" priority="110" operator="equal">
      <formula>"A-O-M"</formula>
    </cfRule>
  </conditionalFormatting>
  <conditionalFormatting sqref="Y302">
    <cfRule type="cellIs" dxfId="39" priority="104" operator="equal">
      <formula>"A-O"</formula>
    </cfRule>
    <cfRule type="cellIs" dxfId="38" priority="105" operator="equal">
      <formula>"A-O-M"</formula>
    </cfRule>
  </conditionalFormatting>
  <conditionalFormatting sqref="Y304">
    <cfRule type="cellIs" dxfId="37" priority="99" operator="equal">
      <formula>"A-O"</formula>
    </cfRule>
    <cfRule type="cellIs" dxfId="36" priority="100" operator="equal">
      <formula>"A-O-M"</formula>
    </cfRule>
  </conditionalFormatting>
  <conditionalFormatting sqref="Y306">
    <cfRule type="cellIs" dxfId="35" priority="89" operator="equal">
      <formula>"A-O"</formula>
    </cfRule>
    <cfRule type="cellIs" dxfId="34" priority="90" operator="equal">
      <formula>"A-O-M"</formula>
    </cfRule>
  </conditionalFormatting>
  <conditionalFormatting sqref="Y308">
    <cfRule type="cellIs" dxfId="33" priority="84" operator="equal">
      <formula>"A-O"</formula>
    </cfRule>
    <cfRule type="cellIs" dxfId="32" priority="85" operator="equal">
      <formula>"A-O-M"</formula>
    </cfRule>
  </conditionalFormatting>
  <conditionalFormatting sqref="Y310">
    <cfRule type="cellIs" dxfId="31" priority="79" operator="equal">
      <formula>"A-O"</formula>
    </cfRule>
    <cfRule type="cellIs" dxfId="30" priority="80" operator="equal">
      <formula>"A-O-M"</formula>
    </cfRule>
  </conditionalFormatting>
  <conditionalFormatting sqref="Y312">
    <cfRule type="cellIs" dxfId="29" priority="74" operator="equal">
      <formula>"A-O"</formula>
    </cfRule>
    <cfRule type="cellIs" dxfId="28" priority="75" operator="equal">
      <formula>"A-O-M"</formula>
    </cfRule>
  </conditionalFormatting>
  <conditionalFormatting sqref="Y314">
    <cfRule type="cellIs" dxfId="27" priority="69" operator="equal">
      <formula>"A-O"</formula>
    </cfRule>
    <cfRule type="cellIs" dxfId="26" priority="70" operator="equal">
      <formula>"A-O-M"</formula>
    </cfRule>
  </conditionalFormatting>
  <conditionalFormatting sqref="Y316">
    <cfRule type="cellIs" dxfId="25" priority="64" operator="equal">
      <formula>"A-O"</formula>
    </cfRule>
    <cfRule type="cellIs" dxfId="24" priority="65" operator="equal">
      <formula>"A-O-M"</formula>
    </cfRule>
  </conditionalFormatting>
  <conditionalFormatting sqref="Y318">
    <cfRule type="cellIs" dxfId="23" priority="59" operator="equal">
      <formula>"A-O"</formula>
    </cfRule>
    <cfRule type="cellIs" dxfId="22" priority="60" operator="equal">
      <formula>"A-O-M"</formula>
    </cfRule>
  </conditionalFormatting>
  <conditionalFormatting sqref="Y320">
    <cfRule type="cellIs" dxfId="21" priority="54" operator="equal">
      <formula>"A-O"</formula>
    </cfRule>
    <cfRule type="cellIs" dxfId="20" priority="55" operator="equal">
      <formula>"A-O-M"</formula>
    </cfRule>
  </conditionalFormatting>
  <conditionalFormatting sqref="Y322">
    <cfRule type="cellIs" dxfId="19" priority="49" operator="equal">
      <formula>"A-O"</formula>
    </cfRule>
    <cfRule type="cellIs" dxfId="18" priority="50" operator="equal">
      <formula>"A-O-M"</formula>
    </cfRule>
  </conditionalFormatting>
  <conditionalFormatting sqref="Y324">
    <cfRule type="cellIs" dxfId="17" priority="44" operator="equal">
      <formula>"A-O"</formula>
    </cfRule>
    <cfRule type="cellIs" dxfId="16" priority="45" operator="equal">
      <formula>"A-O-M"</formula>
    </cfRule>
  </conditionalFormatting>
  <conditionalFormatting sqref="Y326">
    <cfRule type="cellIs" dxfId="15" priority="39" operator="equal">
      <formula>"A-O"</formula>
    </cfRule>
    <cfRule type="cellIs" dxfId="14" priority="40" operator="equal">
      <formula>"A-O-M"</formula>
    </cfRule>
  </conditionalFormatting>
  <conditionalFormatting sqref="Y328">
    <cfRule type="cellIs" dxfId="13" priority="34" operator="equal">
      <formula>"A-O"</formula>
    </cfRule>
    <cfRule type="cellIs" dxfId="12" priority="35" operator="equal">
      <formula>"A-O-M"</formula>
    </cfRule>
  </conditionalFormatting>
  <conditionalFormatting sqref="Y330">
    <cfRule type="cellIs" dxfId="11" priority="29" operator="equal">
      <formula>"A-O"</formula>
    </cfRule>
    <cfRule type="cellIs" dxfId="10" priority="30" operator="equal">
      <formula>"A-O-M"</formula>
    </cfRule>
  </conditionalFormatting>
  <conditionalFormatting sqref="Y332">
    <cfRule type="cellIs" dxfId="9" priority="24" operator="equal">
      <formula>"A-O"</formula>
    </cfRule>
    <cfRule type="cellIs" dxfId="8" priority="25" operator="equal">
      <formula>"A-O-M"</formula>
    </cfRule>
  </conditionalFormatting>
  <conditionalFormatting sqref="Y335">
    <cfRule type="cellIs" dxfId="7" priority="14" operator="equal">
      <formula>"A-O"</formula>
    </cfRule>
    <cfRule type="cellIs" dxfId="6" priority="15" operator="equal">
      <formula>"A-O-M"</formula>
    </cfRule>
  </conditionalFormatting>
  <conditionalFormatting sqref="Y337">
    <cfRule type="cellIs" dxfId="5" priority="9" operator="equal">
      <formula>"A-O"</formula>
    </cfRule>
    <cfRule type="cellIs" dxfId="4" priority="10" operator="equal">
      <formula>"A-O-M"</formula>
    </cfRule>
  </conditionalFormatting>
  <conditionalFormatting sqref="Y339">
    <cfRule type="cellIs" dxfId="3" priority="4" operator="equal">
      <formula>"A-O"</formula>
    </cfRule>
    <cfRule type="cellIs" dxfId="2" priority="5" operator="equal">
      <formula>"A-O-M"</formula>
    </cfRule>
  </conditionalFormatting>
  <conditionalFormatting sqref="Y1:Z35 X3:X35 X36:Z234 Z235:Z237 X236 X238:Z238 Z239 X240:Z240 Z241 X242:Z242 Y243:Z246 Z247 X248:Z248 Z249 X250:Z250 Z251 X252:Z252 Z253 X254:Z254 Z255 X256:Z256 Z257 X258:Z258 Z259 X260:Z260 Z261 X262:Z262 Z263 X264:Z264 Z265 X266:Z266 Z267 X268:Z268 Z269 X270:Z270 Z271 X272:Z272 Z273 X274:Z274 Z275 X276:Z276 Z277 X278:Z278 Z279 X280:Z280 Z281 X282:Z282 Z283 X284:Z284 Z285 X286:Z286 Z287 X288:Z288 Z289 X290:Z290 Z291 X292:Z292 Z293 X294:Z294 Z295 X296:Z296 Z297 X298:Z298 Z299 X300:Z300 Z301 X302:Z302 Z303 X304:Z304 Z305 X306:Z306 Z307 X308:Z308 Z309 X310:Z310 Z311 X312:Z312 Z313 X314:Z314 Z315 X316:Z316 Z317 X318:Z318 Z319 X320:Z320 Z321 X322:Z322 Z323 X324:Z324 Z325 X326:Z326 Z327 X328:Z328 Z329 X330:Z330 Z331 X332:Z332 Z333:Z334 X335:Z335 Z336 X337:Z337 Z338 X339:Z339 Z340 Y341:Z1048576">
    <cfRule type="cellIs" dxfId="1" priority="409" operator="equal">
      <formula>"I"</formula>
    </cfRule>
  </conditionalFormatting>
  <conditionalFormatting sqref="Y181:Z187">
    <cfRule type="cellIs" dxfId="0" priority="1046" operator="equal">
      <formula>"I"</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25278-30F3-480E-930B-099917675EB3}">
  <sheetPr codeName="Sheet8"/>
  <dimension ref="A1:H48"/>
  <sheetViews>
    <sheetView topLeftCell="B5" workbookViewId="0">
      <selection activeCell="F7" sqref="F7:G7"/>
    </sheetView>
  </sheetViews>
  <sheetFormatPr defaultRowHeight="15.95"/>
  <cols>
    <col min="4" max="4" width="31.125" style="19" customWidth="1"/>
    <col min="5" max="5" width="44.125" customWidth="1"/>
    <col min="6" max="6" width="54.625" customWidth="1"/>
    <col min="7" max="7" width="39.25" customWidth="1"/>
    <col min="8" max="8" width="21.875" customWidth="1"/>
    <col min="16383" max="16383" width="9.125" bestFit="1" customWidth="1"/>
    <col min="16384" max="16384" width="9.125" customWidth="1"/>
  </cols>
  <sheetData>
    <row r="1" spans="1:8" ht="18.600000000000001">
      <c r="A1" s="5" t="s">
        <v>0</v>
      </c>
      <c r="B1" s="8" t="s">
        <v>4</v>
      </c>
      <c r="C1" s="8" t="s">
        <v>12</v>
      </c>
      <c r="D1" s="10" t="s">
        <v>2310</v>
      </c>
      <c r="E1" s="10" t="s">
        <v>13</v>
      </c>
      <c r="F1" s="17" t="s">
        <v>124</v>
      </c>
      <c r="G1" s="17" t="s">
        <v>123</v>
      </c>
    </row>
    <row r="2" spans="1:8" ht="35.25" customHeight="1">
      <c r="A2" s="786" t="s">
        <v>1</v>
      </c>
      <c r="B2" s="787" t="s">
        <v>126</v>
      </c>
      <c r="C2" s="1" t="s">
        <v>127</v>
      </c>
      <c r="D2" s="3" t="s">
        <v>2311</v>
      </c>
      <c r="E2" s="191"/>
      <c r="F2" s="20"/>
      <c r="G2" s="18"/>
    </row>
    <row r="3" spans="1:8" ht="35.25" customHeight="1">
      <c r="A3" s="786"/>
      <c r="B3" s="787"/>
      <c r="C3" s="1" t="s">
        <v>131</v>
      </c>
      <c r="D3" s="791" t="s">
        <v>2312</v>
      </c>
      <c r="E3" s="872" t="s">
        <v>2313</v>
      </c>
      <c r="F3" s="870" t="s">
        <v>2314</v>
      </c>
      <c r="G3" s="862" t="s">
        <v>2315</v>
      </c>
    </row>
    <row r="4" spans="1:8" ht="36.75" customHeight="1">
      <c r="A4" s="786"/>
      <c r="B4" s="787"/>
      <c r="C4" s="1" t="s">
        <v>136</v>
      </c>
      <c r="D4" s="864"/>
      <c r="E4" s="873"/>
      <c r="F4" s="871"/>
      <c r="G4" s="863"/>
    </row>
    <row r="5" spans="1:8" ht="64.5" customHeight="1">
      <c r="A5" s="786"/>
      <c r="B5" s="787"/>
      <c r="C5" s="1" t="s">
        <v>139</v>
      </c>
      <c r="D5" s="864"/>
      <c r="E5" s="874" t="s">
        <v>2316</v>
      </c>
      <c r="F5" s="877" t="s">
        <v>2317</v>
      </c>
      <c r="G5" s="865" t="s">
        <v>2318</v>
      </c>
      <c r="H5" s="86" t="s">
        <v>2319</v>
      </c>
    </row>
    <row r="6" spans="1:8">
      <c r="A6" s="786"/>
      <c r="B6" s="787" t="s">
        <v>5</v>
      </c>
      <c r="C6" s="1" t="s">
        <v>144</v>
      </c>
      <c r="D6" s="792"/>
      <c r="E6" s="875"/>
      <c r="F6" s="878"/>
      <c r="G6" s="866"/>
      <c r="H6" s="26"/>
    </row>
    <row r="7" spans="1:8" ht="41.25" customHeight="1">
      <c r="A7" s="786"/>
      <c r="B7" s="787"/>
      <c r="C7" s="1" t="s">
        <v>15</v>
      </c>
      <c r="D7" s="178" t="s">
        <v>2320</v>
      </c>
      <c r="E7" s="193" t="s">
        <v>2321</v>
      </c>
      <c r="F7" s="183" t="s">
        <v>2322</v>
      </c>
      <c r="G7" s="205"/>
      <c r="H7" s="182"/>
    </row>
    <row r="8" spans="1:8">
      <c r="A8" s="786"/>
      <c r="B8" s="787"/>
      <c r="C8" s="13" t="s">
        <v>16</v>
      </c>
      <c r="D8" s="793" t="s">
        <v>2323</v>
      </c>
      <c r="E8" s="867" t="s">
        <v>2324</v>
      </c>
      <c r="F8" s="876" t="s">
        <v>2325</v>
      </c>
      <c r="G8" s="869"/>
      <c r="H8" s="26"/>
    </row>
    <row r="9" spans="1:8" ht="106.5" customHeight="1">
      <c r="A9" s="786"/>
      <c r="B9" s="787"/>
      <c r="C9" s="13" t="s">
        <v>17</v>
      </c>
      <c r="D9" s="793"/>
      <c r="E9" s="868"/>
      <c r="F9" s="876"/>
      <c r="G9" s="869"/>
      <c r="H9" s="26"/>
    </row>
    <row r="10" spans="1:8">
      <c r="A10" s="795" t="s">
        <v>2</v>
      </c>
      <c r="B10" s="794" t="s">
        <v>6</v>
      </c>
      <c r="C10" s="13" t="s">
        <v>18</v>
      </c>
      <c r="D10" s="793" t="s">
        <v>2326</v>
      </c>
      <c r="E10" s="192" t="s">
        <v>2327</v>
      </c>
      <c r="F10" s="185"/>
      <c r="G10" s="26"/>
      <c r="H10" s="26"/>
    </row>
    <row r="11" spans="1:8" ht="63.95">
      <c r="A11" s="795"/>
      <c r="B11" s="794"/>
      <c r="C11" s="13" t="s">
        <v>19</v>
      </c>
      <c r="D11" s="793"/>
      <c r="E11" s="192" t="s">
        <v>2328</v>
      </c>
      <c r="F11" s="20" t="s">
        <v>2329</v>
      </c>
      <c r="G11" s="26"/>
      <c r="H11" s="26"/>
    </row>
    <row r="12" spans="1:8" ht="32.1">
      <c r="A12" s="795"/>
      <c r="B12" s="794"/>
      <c r="C12" s="13" t="s">
        <v>20</v>
      </c>
      <c r="D12" s="793"/>
      <c r="E12" s="192" t="s">
        <v>2330</v>
      </c>
      <c r="F12" s="20" t="s">
        <v>2331</v>
      </c>
      <c r="G12" s="26"/>
      <c r="H12" s="26"/>
    </row>
    <row r="13" spans="1:8">
      <c r="A13" s="795"/>
      <c r="B13" s="794"/>
      <c r="C13" s="13" t="s">
        <v>21</v>
      </c>
      <c r="D13" s="793"/>
      <c r="E13" s="192" t="s">
        <v>2332</v>
      </c>
      <c r="F13" s="185" t="s">
        <v>2333</v>
      </c>
      <c r="G13" s="26"/>
      <c r="H13" s="26"/>
    </row>
    <row r="14" spans="1:8">
      <c r="A14" s="795"/>
      <c r="B14" s="794" t="s">
        <v>7</v>
      </c>
      <c r="C14" s="1" t="s">
        <v>22</v>
      </c>
      <c r="D14" s="4"/>
      <c r="E14" s="4"/>
      <c r="F14" s="4"/>
    </row>
    <row r="15" spans="1:8">
      <c r="A15" s="795"/>
      <c r="B15" s="794"/>
      <c r="C15" s="1" t="s">
        <v>23</v>
      </c>
      <c r="D15" s="4"/>
      <c r="E15" s="4"/>
      <c r="F15" s="4"/>
    </row>
    <row r="16" spans="1:8">
      <c r="A16" s="795"/>
      <c r="B16" s="794"/>
      <c r="C16" s="1" t="s">
        <v>24</v>
      </c>
      <c r="D16" s="4"/>
      <c r="E16" s="4"/>
      <c r="F16" s="4"/>
    </row>
    <row r="17" spans="1:6">
      <c r="A17" s="795"/>
      <c r="B17" s="794"/>
      <c r="C17" s="1" t="s">
        <v>25</v>
      </c>
      <c r="D17" s="4"/>
      <c r="E17" s="4"/>
      <c r="F17" s="4"/>
    </row>
    <row r="18" spans="1:6">
      <c r="A18" s="795"/>
      <c r="B18" s="794" t="s">
        <v>8</v>
      </c>
      <c r="C18" s="1" t="s">
        <v>26</v>
      </c>
      <c r="D18" s="4"/>
      <c r="E18" s="4"/>
      <c r="F18" s="4"/>
    </row>
    <row r="19" spans="1:6">
      <c r="A19" s="795"/>
      <c r="B19" s="794"/>
      <c r="C19" s="1" t="s">
        <v>27</v>
      </c>
      <c r="D19" s="4"/>
      <c r="E19" s="4"/>
      <c r="F19" s="4"/>
    </row>
    <row r="20" spans="1:6">
      <c r="A20" s="795"/>
      <c r="B20" s="794"/>
      <c r="C20" s="1" t="s">
        <v>28</v>
      </c>
      <c r="D20" s="4"/>
      <c r="E20" s="4"/>
      <c r="F20" s="4"/>
    </row>
    <row r="21" spans="1:6">
      <c r="A21" s="795"/>
      <c r="B21" s="794"/>
      <c r="C21" s="1" t="s">
        <v>29</v>
      </c>
      <c r="D21" s="4"/>
      <c r="E21" s="4"/>
      <c r="F21" s="4"/>
    </row>
    <row r="22" spans="1:6">
      <c r="A22" s="806" t="s">
        <v>3</v>
      </c>
      <c r="B22" s="807" t="s">
        <v>9</v>
      </c>
      <c r="C22" s="1" t="s">
        <v>30</v>
      </c>
      <c r="D22" s="4"/>
      <c r="E22" s="4"/>
      <c r="F22" s="4"/>
    </row>
    <row r="23" spans="1:6">
      <c r="A23" s="806"/>
      <c r="B23" s="807"/>
      <c r="C23" s="1" t="s">
        <v>31</v>
      </c>
      <c r="D23" s="4"/>
      <c r="E23" s="4"/>
      <c r="F23" s="4"/>
    </row>
    <row r="24" spans="1:6">
      <c r="A24" s="806"/>
      <c r="B24" s="807"/>
      <c r="C24" s="14" t="s">
        <v>32</v>
      </c>
      <c r="D24" s="9"/>
      <c r="E24" s="4"/>
      <c r="F24" s="4"/>
    </row>
    <row r="25" spans="1:6">
      <c r="A25" s="806"/>
      <c r="B25" s="807"/>
      <c r="C25" s="1" t="s">
        <v>33</v>
      </c>
      <c r="D25" s="9"/>
      <c r="E25" s="4"/>
      <c r="F25" s="4"/>
    </row>
    <row r="26" spans="1:6">
      <c r="A26" s="806"/>
      <c r="B26" s="807"/>
      <c r="C26" s="1" t="s">
        <v>34</v>
      </c>
      <c r="D26" s="9"/>
      <c r="E26" s="4"/>
      <c r="F26" s="4"/>
    </row>
    <row r="27" spans="1:6">
      <c r="A27" s="806"/>
      <c r="B27" s="807" t="s">
        <v>10</v>
      </c>
      <c r="C27" s="1" t="s">
        <v>35</v>
      </c>
      <c r="D27" s="9"/>
      <c r="E27" s="4"/>
      <c r="F27" s="4"/>
    </row>
    <row r="28" spans="1:6">
      <c r="A28" s="806"/>
      <c r="B28" s="807"/>
      <c r="C28" s="1" t="s">
        <v>36</v>
      </c>
      <c r="D28" s="9"/>
      <c r="E28" s="4"/>
      <c r="F28" s="4"/>
    </row>
    <row r="29" spans="1:6">
      <c r="A29" s="806"/>
      <c r="B29" s="807"/>
      <c r="C29" s="1" t="s">
        <v>37</v>
      </c>
      <c r="D29" s="9"/>
      <c r="E29" s="4"/>
      <c r="F29" s="4"/>
    </row>
    <row r="30" spans="1:6">
      <c r="A30" s="806"/>
      <c r="B30" s="807"/>
      <c r="C30" s="1" t="s">
        <v>38</v>
      </c>
      <c r="D30" s="9"/>
      <c r="E30" s="4"/>
      <c r="F30" s="4"/>
    </row>
    <row r="31" spans="1:6">
      <c r="A31" s="806"/>
      <c r="B31" s="807" t="s">
        <v>11</v>
      </c>
      <c r="C31" s="1" t="s">
        <v>39</v>
      </c>
      <c r="D31" s="9"/>
      <c r="E31" s="4"/>
      <c r="F31" s="4"/>
    </row>
    <row r="32" spans="1:6">
      <c r="A32" s="806"/>
      <c r="B32" s="807"/>
      <c r="C32" s="1" t="s">
        <v>40</v>
      </c>
      <c r="D32" s="9"/>
      <c r="E32" s="4"/>
      <c r="F32" s="4"/>
    </row>
    <row r="33" spans="1:6">
      <c r="A33" s="806"/>
      <c r="B33" s="807"/>
      <c r="C33" s="1" t="s">
        <v>41</v>
      </c>
      <c r="D33" s="9"/>
      <c r="E33" s="4"/>
      <c r="F33" s="4"/>
    </row>
    <row r="34" spans="1:6">
      <c r="A34" s="806"/>
      <c r="B34" s="807"/>
      <c r="C34" s="1" t="s">
        <v>42</v>
      </c>
      <c r="D34" s="9"/>
      <c r="E34" s="4"/>
      <c r="F34" s="4"/>
    </row>
    <row r="35" spans="1:6">
      <c r="A35" s="806"/>
      <c r="B35" s="807"/>
      <c r="C35" s="1" t="s">
        <v>173</v>
      </c>
      <c r="D35" s="9"/>
      <c r="E35" s="4"/>
      <c r="F35" s="4"/>
    </row>
    <row r="36" spans="1:6">
      <c r="A36" s="798" t="s">
        <v>174</v>
      </c>
      <c r="B36" s="800" t="s">
        <v>175</v>
      </c>
      <c r="C36" s="1" t="s">
        <v>176</v>
      </c>
      <c r="D36" s="9"/>
      <c r="E36" s="4"/>
      <c r="F36" s="4"/>
    </row>
    <row r="37" spans="1:6">
      <c r="A37" s="798"/>
      <c r="B37" s="800"/>
      <c r="C37" s="1" t="s">
        <v>177</v>
      </c>
      <c r="D37" s="9"/>
      <c r="E37" s="4"/>
      <c r="F37" s="4"/>
    </row>
    <row r="38" spans="1:6">
      <c r="A38" s="798"/>
      <c r="B38" s="800"/>
      <c r="C38" s="1" t="s">
        <v>178</v>
      </c>
      <c r="D38" s="9"/>
      <c r="E38" s="4"/>
      <c r="F38" s="4"/>
    </row>
    <row r="39" spans="1:6">
      <c r="A39" s="798"/>
      <c r="B39" s="800"/>
      <c r="C39" s="1" t="s">
        <v>179</v>
      </c>
      <c r="D39" s="9"/>
      <c r="E39" s="4"/>
      <c r="F39" s="4"/>
    </row>
    <row r="40" spans="1:6">
      <c r="A40" s="798"/>
      <c r="B40" s="800" t="s">
        <v>180</v>
      </c>
      <c r="C40" s="1" t="s">
        <v>181</v>
      </c>
      <c r="D40" s="9"/>
      <c r="E40" s="4"/>
      <c r="F40" s="4"/>
    </row>
    <row r="41" spans="1:6">
      <c r="A41" s="798"/>
      <c r="B41" s="800"/>
      <c r="C41" s="1" t="s">
        <v>182</v>
      </c>
      <c r="D41" s="9"/>
      <c r="E41" s="4"/>
      <c r="F41" s="4"/>
    </row>
    <row r="42" spans="1:6">
      <c r="A42" s="798"/>
      <c r="B42" s="800"/>
      <c r="C42" s="1" t="s">
        <v>183</v>
      </c>
      <c r="D42" s="9"/>
      <c r="E42" s="4"/>
      <c r="F42" s="4"/>
    </row>
    <row r="43" spans="1:6">
      <c r="A43" s="798"/>
      <c r="B43" s="800"/>
      <c r="C43" s="1" t="s">
        <v>184</v>
      </c>
      <c r="D43" s="9"/>
      <c r="E43" s="4"/>
      <c r="F43" s="4"/>
    </row>
    <row r="44" spans="1:6">
      <c r="A44" s="798"/>
      <c r="B44" s="800"/>
      <c r="C44" s="1" t="s">
        <v>185</v>
      </c>
      <c r="D44" s="9"/>
      <c r="E44" s="4"/>
      <c r="F44" s="4"/>
    </row>
    <row r="45" spans="1:6">
      <c r="A45" s="798"/>
      <c r="B45" s="800" t="s">
        <v>186</v>
      </c>
      <c r="C45" s="1" t="s">
        <v>187</v>
      </c>
      <c r="D45" s="9"/>
      <c r="E45" s="4"/>
      <c r="F45" s="4"/>
    </row>
    <row r="46" spans="1:6">
      <c r="A46" s="798"/>
      <c r="B46" s="800"/>
      <c r="C46" s="1" t="s">
        <v>188</v>
      </c>
      <c r="D46" s="9"/>
      <c r="E46" s="4"/>
      <c r="F46" s="4"/>
    </row>
    <row r="47" spans="1:6">
      <c r="A47" s="798"/>
      <c r="B47" s="800"/>
      <c r="C47" s="1" t="s">
        <v>189</v>
      </c>
      <c r="D47" s="9"/>
      <c r="E47" s="4"/>
      <c r="F47" s="4"/>
    </row>
    <row r="48" spans="1:6">
      <c r="A48" s="798"/>
      <c r="B48" s="800"/>
      <c r="C48" s="2" t="s">
        <v>190</v>
      </c>
      <c r="D48" s="9"/>
      <c r="E48" s="4"/>
      <c r="F48" s="4"/>
    </row>
  </sheetData>
  <mergeCells count="27">
    <mergeCell ref="D10:D13"/>
    <mergeCell ref="F8:F9"/>
    <mergeCell ref="F5:F6"/>
    <mergeCell ref="A36:A48"/>
    <mergeCell ref="B36:B39"/>
    <mergeCell ref="B40:B44"/>
    <mergeCell ref="B45:B48"/>
    <mergeCell ref="A22:A35"/>
    <mergeCell ref="B22:B26"/>
    <mergeCell ref="B27:B30"/>
    <mergeCell ref="B31:B35"/>
    <mergeCell ref="A10:A21"/>
    <mergeCell ref="B10:B13"/>
    <mergeCell ref="B14:B17"/>
    <mergeCell ref="B18:B21"/>
    <mergeCell ref="A2:A9"/>
    <mergeCell ref="G3:G4"/>
    <mergeCell ref="B6:B9"/>
    <mergeCell ref="B2:B5"/>
    <mergeCell ref="D3:D6"/>
    <mergeCell ref="G5:G6"/>
    <mergeCell ref="E8:E9"/>
    <mergeCell ref="G8:G9"/>
    <mergeCell ref="F3:F4"/>
    <mergeCell ref="E3:E4"/>
    <mergeCell ref="E5:E6"/>
    <mergeCell ref="D8:D9"/>
  </mergeCells>
  <phoneticPr fontId="5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CDE40-C3E5-4ABD-BFDA-3760F7B62484}">
  <sheetPr codeName="Sheet9"/>
  <dimension ref="A1:E39"/>
  <sheetViews>
    <sheetView workbookViewId="0">
      <selection activeCell="A5" sqref="A5"/>
    </sheetView>
  </sheetViews>
  <sheetFormatPr defaultRowHeight="15.95"/>
  <cols>
    <col min="2" max="5" width="14.375" customWidth="1"/>
  </cols>
  <sheetData>
    <row r="1" spans="1:5" ht="16.5" thickBot="1">
      <c r="A1" s="879" t="s">
        <v>12</v>
      </c>
      <c r="B1" s="881" t="s">
        <v>2334</v>
      </c>
      <c r="C1" s="882"/>
      <c r="D1" s="882"/>
      <c r="E1" s="883"/>
    </row>
    <row r="2" spans="1:5" ht="16.5" thickBot="1">
      <c r="A2" s="880"/>
      <c r="B2" s="308" t="s">
        <v>2335</v>
      </c>
      <c r="C2" s="308" t="s">
        <v>2336</v>
      </c>
      <c r="D2" s="310" t="s">
        <v>2337</v>
      </c>
      <c r="E2" s="310" t="s">
        <v>2338</v>
      </c>
    </row>
    <row r="3" spans="1:5">
      <c r="A3" s="307" t="s">
        <v>18</v>
      </c>
      <c r="B3" s="307"/>
      <c r="C3" s="309"/>
      <c r="D3" s="311" t="s">
        <v>2339</v>
      </c>
      <c r="E3" s="312"/>
    </row>
    <row r="4" spans="1:5">
      <c r="A4" s="24" t="s">
        <v>23</v>
      </c>
      <c r="B4" s="24"/>
      <c r="C4" s="24"/>
      <c r="D4" s="307"/>
      <c r="E4" s="307" t="s">
        <v>2340</v>
      </c>
    </row>
    <row r="5" spans="1:5">
      <c r="A5" s="24" t="s">
        <v>30</v>
      </c>
      <c r="B5" s="24"/>
      <c r="C5" s="24"/>
      <c r="D5" s="24"/>
      <c r="E5" s="24" t="s">
        <v>2341</v>
      </c>
    </row>
    <row r="6" spans="1:5">
      <c r="A6" s="24"/>
      <c r="B6" s="24"/>
      <c r="C6" s="24"/>
      <c r="D6" s="24"/>
      <c r="E6" s="24"/>
    </row>
    <row r="7" spans="1:5">
      <c r="A7" s="24"/>
      <c r="B7" s="24"/>
      <c r="C7" s="24"/>
      <c r="D7" s="24"/>
      <c r="E7" s="24"/>
    </row>
    <row r="8" spans="1:5">
      <c r="A8" s="24"/>
      <c r="B8" s="24"/>
      <c r="C8" s="24"/>
      <c r="D8" s="24"/>
      <c r="E8" s="24"/>
    </row>
    <row r="9" spans="1:5">
      <c r="A9" s="24"/>
      <c r="B9" s="24"/>
      <c r="C9" s="24"/>
      <c r="D9" s="24"/>
      <c r="E9" s="24"/>
    </row>
    <row r="10" spans="1:5">
      <c r="A10" s="24"/>
      <c r="B10" s="24"/>
      <c r="C10" s="24"/>
      <c r="D10" s="24"/>
      <c r="E10" s="24"/>
    </row>
    <row r="11" spans="1:5">
      <c r="A11" s="24"/>
      <c r="B11" s="24"/>
      <c r="C11" s="24"/>
      <c r="D11" s="24"/>
      <c r="E11" s="24"/>
    </row>
    <row r="12" spans="1:5">
      <c r="A12" s="24"/>
      <c r="B12" s="24"/>
      <c r="C12" s="24"/>
      <c r="D12" s="24"/>
      <c r="E12" s="24"/>
    </row>
    <row r="13" spans="1:5">
      <c r="A13" s="24"/>
      <c r="B13" s="24"/>
      <c r="C13" s="24"/>
      <c r="D13" s="24"/>
      <c r="E13" s="24"/>
    </row>
    <row r="14" spans="1:5">
      <c r="A14" s="24"/>
      <c r="B14" s="24"/>
      <c r="C14" s="24"/>
      <c r="D14" s="24"/>
      <c r="E14" s="24"/>
    </row>
    <row r="15" spans="1:5">
      <c r="A15" s="24"/>
      <c r="B15" s="24"/>
      <c r="C15" s="24"/>
      <c r="D15" s="24"/>
      <c r="E15" s="24"/>
    </row>
    <row r="16" spans="1:5">
      <c r="A16" s="24"/>
      <c r="B16" s="24"/>
      <c r="C16" s="24"/>
      <c r="D16" s="24"/>
      <c r="E16" s="24"/>
    </row>
    <row r="17" spans="1:5">
      <c r="A17" s="24"/>
      <c r="B17" s="24"/>
      <c r="C17" s="24"/>
      <c r="D17" s="24"/>
      <c r="E17" s="24"/>
    </row>
    <row r="18" spans="1:5">
      <c r="A18" s="24"/>
      <c r="B18" s="24"/>
      <c r="C18" s="24"/>
      <c r="D18" s="24"/>
      <c r="E18" s="24"/>
    </row>
    <row r="19" spans="1:5">
      <c r="A19" s="24"/>
      <c r="B19" s="24"/>
      <c r="C19" s="24"/>
      <c r="D19" s="24"/>
      <c r="E19" s="24"/>
    </row>
    <row r="20" spans="1:5">
      <c r="A20" s="24"/>
      <c r="B20" s="24"/>
      <c r="C20" s="24"/>
      <c r="D20" s="24"/>
      <c r="E20" s="24"/>
    </row>
    <row r="21" spans="1:5">
      <c r="A21" s="24"/>
      <c r="B21" s="24"/>
      <c r="C21" s="24"/>
      <c r="D21" s="24"/>
      <c r="E21" s="24"/>
    </row>
    <row r="22" spans="1:5">
      <c r="A22" s="24"/>
      <c r="B22" s="24"/>
      <c r="C22" s="24"/>
      <c r="D22" s="24"/>
      <c r="E22" s="24"/>
    </row>
    <row r="23" spans="1:5">
      <c r="A23" s="24"/>
      <c r="B23" s="24"/>
      <c r="C23" s="24"/>
      <c r="D23" s="24"/>
      <c r="E23" s="24"/>
    </row>
    <row r="24" spans="1:5">
      <c r="A24" s="24"/>
      <c r="B24" s="24"/>
      <c r="C24" s="24"/>
      <c r="D24" s="24"/>
      <c r="E24" s="24"/>
    </row>
    <row r="25" spans="1:5">
      <c r="A25" s="24"/>
      <c r="B25" s="24"/>
      <c r="C25" s="24"/>
      <c r="D25" s="24"/>
      <c r="E25" s="24"/>
    </row>
    <row r="26" spans="1:5">
      <c r="A26" s="24"/>
      <c r="B26" s="24"/>
      <c r="C26" s="24"/>
      <c r="D26" s="24"/>
      <c r="E26" s="24"/>
    </row>
    <row r="27" spans="1:5">
      <c r="A27" s="24"/>
      <c r="B27" s="24"/>
      <c r="C27" s="24"/>
      <c r="D27" s="24"/>
      <c r="E27" s="24"/>
    </row>
    <row r="28" spans="1:5">
      <c r="A28" s="24"/>
      <c r="B28" s="24"/>
      <c r="C28" s="24"/>
      <c r="D28" s="24"/>
      <c r="E28" s="24"/>
    </row>
    <row r="29" spans="1:5">
      <c r="A29" s="24"/>
      <c r="B29" s="24"/>
      <c r="C29" s="24"/>
      <c r="D29" s="24"/>
      <c r="E29" s="24"/>
    </row>
    <row r="30" spans="1:5">
      <c r="A30" s="24"/>
      <c r="B30" s="24"/>
      <c r="C30" s="24"/>
      <c r="D30" s="24"/>
      <c r="E30" s="24"/>
    </row>
    <row r="31" spans="1:5">
      <c r="A31" s="24"/>
      <c r="B31" s="24"/>
      <c r="C31" s="24"/>
      <c r="D31" s="24"/>
      <c r="E31" s="24"/>
    </row>
    <row r="32" spans="1:5">
      <c r="A32" s="24"/>
      <c r="B32" s="24"/>
      <c r="C32" s="24"/>
      <c r="D32" s="24"/>
      <c r="E32" s="24"/>
    </row>
    <row r="33" spans="1:5">
      <c r="A33" s="24"/>
      <c r="B33" s="24"/>
      <c r="C33" s="24"/>
      <c r="D33" s="24"/>
      <c r="E33" s="24"/>
    </row>
    <row r="34" spans="1:5">
      <c r="A34" s="24"/>
      <c r="B34" s="24"/>
      <c r="C34" s="24"/>
      <c r="D34" s="24"/>
      <c r="E34" s="24"/>
    </row>
    <row r="35" spans="1:5">
      <c r="A35" s="24"/>
      <c r="B35" s="24"/>
      <c r="C35" s="24"/>
      <c r="D35" s="24"/>
      <c r="E35" s="24"/>
    </row>
    <row r="36" spans="1:5">
      <c r="A36" s="24"/>
      <c r="B36" s="24"/>
      <c r="C36" s="24"/>
      <c r="D36" s="24"/>
      <c r="E36" s="24"/>
    </row>
    <row r="37" spans="1:5">
      <c r="A37" s="24"/>
      <c r="B37" s="24"/>
      <c r="C37" s="24"/>
      <c r="D37" s="24"/>
      <c r="E37" s="24"/>
    </row>
    <row r="38" spans="1:5">
      <c r="A38" s="24"/>
      <c r="B38" s="24"/>
      <c r="C38" s="24"/>
      <c r="D38" s="24"/>
      <c r="E38" s="24"/>
    </row>
    <row r="39" spans="1:5">
      <c r="A39" s="24"/>
      <c r="B39" s="24"/>
      <c r="C39" s="24"/>
      <c r="D39" s="24"/>
      <c r="E39" s="24"/>
    </row>
  </sheetData>
  <mergeCells count="2">
    <mergeCell ref="A1:A2"/>
    <mergeCell ref="B1:E1"/>
  </mergeCells>
  <phoneticPr fontId="5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F4947-650F-4F85-AF33-70EC81F2FDF4}">
  <dimension ref="A1:J12"/>
  <sheetViews>
    <sheetView workbookViewId="0">
      <selection activeCell="B1" sqref="B1"/>
    </sheetView>
  </sheetViews>
  <sheetFormatPr defaultRowHeight="15.95"/>
  <cols>
    <col min="2" max="2" width="10.875" customWidth="1"/>
    <col min="3" max="3" width="14.125" customWidth="1"/>
    <col min="4" max="4" width="11.125" customWidth="1"/>
    <col min="5" max="5" width="12.125" customWidth="1"/>
    <col min="10" max="10" width="12.875" customWidth="1"/>
  </cols>
  <sheetData>
    <row r="1" spans="1:10">
      <c r="A1" s="546" t="s">
        <v>2342</v>
      </c>
      <c r="B1" s="546" t="s">
        <v>2343</v>
      </c>
      <c r="C1" s="547" t="s">
        <v>9</v>
      </c>
      <c r="D1" s="547" t="s">
        <v>2344</v>
      </c>
      <c r="E1" s="547" t="s">
        <v>2345</v>
      </c>
      <c r="F1" s="547" t="s">
        <v>2346</v>
      </c>
      <c r="G1" s="547" t="s">
        <v>2347</v>
      </c>
      <c r="H1" s="547" t="s">
        <v>2348</v>
      </c>
      <c r="I1" s="552" t="s">
        <v>2349</v>
      </c>
      <c r="J1" s="546" t="s">
        <v>2350</v>
      </c>
    </row>
    <row r="2" spans="1:10">
      <c r="A2" s="884" t="s">
        <v>1263</v>
      </c>
      <c r="B2" s="548" t="s">
        <v>2351</v>
      </c>
      <c r="C2" s="549">
        <v>0</v>
      </c>
      <c r="D2" s="549">
        <v>2</v>
      </c>
      <c r="E2" s="549">
        <v>3</v>
      </c>
      <c r="F2" s="549">
        <v>3</v>
      </c>
      <c r="G2" s="549">
        <v>3</v>
      </c>
      <c r="H2" s="549">
        <v>3</v>
      </c>
      <c r="I2" s="26">
        <f>SUM(C2:H2)</f>
        <v>14</v>
      </c>
      <c r="J2" s="869">
        <f>SUM(I2:I3)*10</f>
        <v>200</v>
      </c>
    </row>
    <row r="3" spans="1:10">
      <c r="A3" s="884"/>
      <c r="B3" s="550" t="s">
        <v>2352</v>
      </c>
      <c r="C3" s="551"/>
      <c r="D3" s="551">
        <v>6</v>
      </c>
      <c r="E3" s="551"/>
      <c r="F3" s="551"/>
      <c r="G3" s="551"/>
      <c r="H3" s="551"/>
      <c r="I3" s="26">
        <f>SUM(C3:H3)</f>
        <v>6</v>
      </c>
      <c r="J3" s="869"/>
    </row>
    <row r="4" spans="1:10">
      <c r="A4" s="884" t="s">
        <v>1258</v>
      </c>
      <c r="B4" s="548" t="s">
        <v>2351</v>
      </c>
      <c r="C4" s="549">
        <v>0</v>
      </c>
      <c r="D4" s="549">
        <v>8</v>
      </c>
      <c r="E4" s="549">
        <v>7</v>
      </c>
      <c r="F4" s="549">
        <v>7</v>
      </c>
      <c r="G4" s="549">
        <v>7</v>
      </c>
      <c r="H4" s="549">
        <v>7</v>
      </c>
      <c r="I4" s="26">
        <f>SUM(C4:H4)</f>
        <v>36</v>
      </c>
      <c r="J4" s="869">
        <f>SUM(I4:I5)*10</f>
        <v>440</v>
      </c>
    </row>
    <row r="5" spans="1:10">
      <c r="A5" s="884"/>
      <c r="B5" s="550" t="s">
        <v>2352</v>
      </c>
      <c r="C5" s="551"/>
      <c r="D5" s="551">
        <v>8</v>
      </c>
      <c r="E5" s="551"/>
      <c r="F5" s="551"/>
      <c r="G5" s="551"/>
      <c r="H5" s="551"/>
      <c r="I5" s="26">
        <f>SUM(C5:H5)</f>
        <v>8</v>
      </c>
      <c r="J5" s="869"/>
    </row>
    <row r="8" spans="1:10">
      <c r="A8" s="544"/>
      <c r="B8" s="547" t="s">
        <v>2353</v>
      </c>
      <c r="C8" s="547" t="s">
        <v>2354</v>
      </c>
      <c r="D8" s="547" t="s">
        <v>2355</v>
      </c>
      <c r="E8" s="547" t="s">
        <v>2356</v>
      </c>
      <c r="F8" s="546" t="s">
        <v>225</v>
      </c>
    </row>
    <row r="9" spans="1:10">
      <c r="A9" s="544" t="s">
        <v>63</v>
      </c>
      <c r="B9" s="557" t="s">
        <v>209</v>
      </c>
      <c r="C9" s="557" t="s">
        <v>1368</v>
      </c>
      <c r="D9" s="558" t="s">
        <v>209</v>
      </c>
      <c r="E9" s="559" t="s">
        <v>208</v>
      </c>
      <c r="F9" s="26" t="s">
        <v>2357</v>
      </c>
    </row>
    <row r="10" spans="1:10">
      <c r="A10" s="544" t="s">
        <v>80</v>
      </c>
      <c r="B10" s="557" t="s">
        <v>210</v>
      </c>
      <c r="C10" s="557" t="s">
        <v>210</v>
      </c>
      <c r="D10" s="558" t="s">
        <v>209</v>
      </c>
      <c r="E10" s="559" t="s">
        <v>208</v>
      </c>
      <c r="F10" s="26" t="s">
        <v>2358</v>
      </c>
    </row>
    <row r="11" spans="1:10">
      <c r="A11" s="544" t="s">
        <v>43</v>
      </c>
      <c r="B11" s="557" t="s">
        <v>211</v>
      </c>
      <c r="C11" s="557" t="s">
        <v>211</v>
      </c>
      <c r="D11" s="558" t="s">
        <v>208</v>
      </c>
      <c r="E11" s="559"/>
      <c r="F11" s="26" t="s">
        <v>2359</v>
      </c>
    </row>
    <row r="12" spans="1:10">
      <c r="A12" s="544" t="s">
        <v>59</v>
      </c>
      <c r="B12" s="557" t="s">
        <v>212</v>
      </c>
      <c r="C12" s="557" t="s">
        <v>2360</v>
      </c>
      <c r="D12" s="558" t="s">
        <v>212</v>
      </c>
      <c r="E12" s="559"/>
      <c r="F12" s="26" t="s">
        <v>2361</v>
      </c>
    </row>
  </sheetData>
  <mergeCells count="4">
    <mergeCell ref="A2:A3"/>
    <mergeCell ref="A4:A5"/>
    <mergeCell ref="J2:J3"/>
    <mergeCell ref="J4:J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A389-E15B-4C7E-9CD0-C695B65E4FD9}">
  <sheetPr codeName="Sheet7"/>
  <dimension ref="A1:AI291"/>
  <sheetViews>
    <sheetView workbookViewId="0">
      <pane ySplit="1" topLeftCell="A264" activePane="bottomLeft" state="frozen"/>
      <selection pane="bottomLeft" activeCell="F278" sqref="F278"/>
      <selection activeCell="A3" sqref="A3"/>
    </sheetView>
  </sheetViews>
  <sheetFormatPr defaultRowHeight="15.95"/>
  <cols>
    <col min="2" max="2" width="10.375" customWidth="1"/>
    <col min="3" max="3" width="11.375" style="385" bestFit="1" customWidth="1"/>
    <col min="4" max="4" width="42.875" customWidth="1"/>
    <col min="5" max="5" width="4.125" customWidth="1"/>
    <col min="6" max="6" width="6.75" style="19" customWidth="1"/>
    <col min="7" max="7" width="8.75" style="19" customWidth="1"/>
    <col min="8" max="8" width="7.125" style="19" customWidth="1"/>
    <col min="9" max="9" width="9.375" style="19" customWidth="1"/>
    <col min="11" max="13" width="8.5" style="167"/>
    <col min="14" max="14" width="0" hidden="1" customWidth="1"/>
    <col min="19" max="21" width="9" hidden="1" customWidth="1"/>
    <col min="22" max="22" width="0" hidden="1" customWidth="1"/>
    <col min="27" max="27" width="11.375" customWidth="1"/>
    <col min="28" max="28" width="18.5" customWidth="1"/>
    <col min="29" max="29" width="37.5" customWidth="1"/>
    <col min="30" max="30" width="56.625" customWidth="1"/>
    <col min="31" max="31" width="13.375" customWidth="1"/>
    <col min="32" max="32" width="10.25" customWidth="1"/>
  </cols>
  <sheetData>
    <row r="1" spans="1:35" ht="18.600000000000001">
      <c r="A1" s="69" t="s">
        <v>222</v>
      </c>
      <c r="B1" s="69" t="s">
        <v>223</v>
      </c>
      <c r="C1" s="383" t="s">
        <v>224</v>
      </c>
      <c r="D1" s="68" t="s">
        <v>225</v>
      </c>
      <c r="E1" s="61" t="s">
        <v>199</v>
      </c>
      <c r="F1" s="61" t="s">
        <v>2362</v>
      </c>
      <c r="G1" s="61" t="s">
        <v>2363</v>
      </c>
      <c r="H1" s="61" t="s">
        <v>2364</v>
      </c>
      <c r="I1" s="61" t="s">
        <v>240</v>
      </c>
      <c r="J1" s="61" t="s">
        <v>2365</v>
      </c>
      <c r="K1" s="887" t="s">
        <v>2366</v>
      </c>
      <c r="L1" s="887"/>
      <c r="M1" s="887"/>
      <c r="N1" s="169" t="s">
        <v>2367</v>
      </c>
      <c r="O1" s="66" t="s">
        <v>231</v>
      </c>
      <c r="P1" s="66" t="s">
        <v>231</v>
      </c>
      <c r="Q1" s="64" t="s">
        <v>235</v>
      </c>
      <c r="R1" s="61" t="s">
        <v>2368</v>
      </c>
      <c r="S1" s="888" t="s">
        <v>2369</v>
      </c>
      <c r="T1" s="888"/>
      <c r="U1" s="888"/>
      <c r="V1" s="65" t="s">
        <v>2370</v>
      </c>
      <c r="W1" s="65" t="s">
        <v>2371</v>
      </c>
      <c r="X1" s="61" t="s">
        <v>2372</v>
      </c>
      <c r="Y1" s="61" t="s">
        <v>239</v>
      </c>
      <c r="Z1" s="61" t="s">
        <v>241</v>
      </c>
      <c r="AA1" s="63" t="s">
        <v>242</v>
      </c>
      <c r="AB1" s="63" t="s">
        <v>243</v>
      </c>
      <c r="AC1" s="61" t="s">
        <v>247</v>
      </c>
      <c r="AD1" s="61" t="s">
        <v>248</v>
      </c>
      <c r="AE1" s="61" t="s">
        <v>250</v>
      </c>
      <c r="AF1" s="61" t="s">
        <v>251</v>
      </c>
      <c r="AG1" s="61" t="s">
        <v>254</v>
      </c>
      <c r="AH1" s="61" t="s">
        <v>249</v>
      </c>
      <c r="AI1" t="s">
        <v>2373</v>
      </c>
    </row>
    <row r="2" spans="1:35" ht="16.5" thickBot="1">
      <c r="A2" s="60"/>
      <c r="B2" s="60"/>
      <c r="C2" s="384"/>
      <c r="D2" s="59"/>
      <c r="E2" s="53" t="s">
        <v>255</v>
      </c>
      <c r="F2" s="53" t="s">
        <v>256</v>
      </c>
      <c r="G2" s="53" t="s">
        <v>256</v>
      </c>
      <c r="H2" s="53" t="s">
        <v>256</v>
      </c>
      <c r="I2" s="53" t="s">
        <v>261</v>
      </c>
      <c r="J2" s="53" t="s">
        <v>257</v>
      </c>
      <c r="K2" s="283" t="s">
        <v>257</v>
      </c>
      <c r="L2" s="283" t="s">
        <v>255</v>
      </c>
      <c r="M2" s="283" t="s">
        <v>256</v>
      </c>
      <c r="N2" s="168" t="s">
        <v>257</v>
      </c>
      <c r="O2" s="57" t="s">
        <v>257</v>
      </c>
      <c r="P2" s="57" t="s">
        <v>255</v>
      </c>
      <c r="Q2" s="55" t="s">
        <v>257</v>
      </c>
      <c r="R2" s="53" t="s">
        <v>257</v>
      </c>
      <c r="S2" s="603" t="s">
        <v>257</v>
      </c>
      <c r="T2" s="284" t="s">
        <v>255</v>
      </c>
      <c r="U2" s="284" t="s">
        <v>256</v>
      </c>
      <c r="V2" s="56" t="s">
        <v>257</v>
      </c>
      <c r="W2" s="56" t="s">
        <v>257</v>
      </c>
      <c r="X2" s="53" t="s">
        <v>257</v>
      </c>
      <c r="Y2" s="53" t="s">
        <v>260</v>
      </c>
      <c r="Z2" s="53" t="s">
        <v>262</v>
      </c>
      <c r="AA2" s="53"/>
      <c r="AB2" s="53"/>
      <c r="AC2" s="52"/>
      <c r="AD2" s="52"/>
      <c r="AE2" s="52"/>
      <c r="AF2" s="52"/>
      <c r="AG2" s="52"/>
      <c r="AH2" s="52"/>
    </row>
    <row r="3" spans="1:35">
      <c r="A3" t="s">
        <v>2374</v>
      </c>
      <c r="C3" s="385" t="s">
        <v>2375</v>
      </c>
      <c r="D3" t="s">
        <v>2376</v>
      </c>
      <c r="E3">
        <v>80</v>
      </c>
      <c r="F3" s="19">
        <v>370</v>
      </c>
      <c r="G3" s="19">
        <v>353</v>
      </c>
      <c r="H3" s="19">
        <v>900</v>
      </c>
      <c r="I3" s="19">
        <v>2</v>
      </c>
      <c r="J3">
        <v>200</v>
      </c>
      <c r="K3" s="167" t="s">
        <v>2377</v>
      </c>
      <c r="L3" s="167" t="s">
        <v>2377</v>
      </c>
      <c r="M3" s="167" t="s">
        <v>2377</v>
      </c>
      <c r="N3">
        <v>50</v>
      </c>
      <c r="R3">
        <v>200</v>
      </c>
      <c r="S3" t="s">
        <v>2377</v>
      </c>
      <c r="T3" t="s">
        <v>2377</v>
      </c>
      <c r="U3" t="s">
        <v>2377</v>
      </c>
      <c r="V3">
        <v>200</v>
      </c>
      <c r="X3">
        <v>20</v>
      </c>
      <c r="Z3">
        <v>10</v>
      </c>
      <c r="AC3" t="s">
        <v>2378</v>
      </c>
    </row>
    <row r="4" spans="1:35">
      <c r="A4" t="s">
        <v>2379</v>
      </c>
      <c r="C4" s="385" t="s">
        <v>2380</v>
      </c>
      <c r="D4" s="216" t="s">
        <v>2381</v>
      </c>
      <c r="E4">
        <v>40</v>
      </c>
      <c r="F4" s="19">
        <v>717</v>
      </c>
      <c r="G4" s="19">
        <v>692</v>
      </c>
      <c r="H4" s="19">
        <v>900</v>
      </c>
      <c r="I4" s="19">
        <v>3</v>
      </c>
      <c r="J4">
        <v>200</v>
      </c>
      <c r="K4" s="167">
        <v>20</v>
      </c>
      <c r="L4" s="167">
        <v>200</v>
      </c>
      <c r="M4" s="167" t="s">
        <v>2377</v>
      </c>
      <c r="N4">
        <v>50</v>
      </c>
      <c r="O4">
        <v>20</v>
      </c>
      <c r="P4">
        <v>200</v>
      </c>
      <c r="Q4">
        <v>2.1</v>
      </c>
      <c r="R4">
        <v>200</v>
      </c>
      <c r="S4" t="s">
        <v>2377</v>
      </c>
      <c r="T4" t="s">
        <v>2377</v>
      </c>
      <c r="U4" t="s">
        <v>2377</v>
      </c>
      <c r="V4">
        <v>120</v>
      </c>
      <c r="X4">
        <v>100</v>
      </c>
      <c r="Y4">
        <v>0.5</v>
      </c>
      <c r="Z4">
        <v>10</v>
      </c>
      <c r="AA4" t="s">
        <v>2382</v>
      </c>
      <c r="AB4" t="s">
        <v>2383</v>
      </c>
      <c r="AD4" t="s">
        <v>2384</v>
      </c>
    </row>
    <row r="5" spans="1:35">
      <c r="A5" t="s">
        <v>2385</v>
      </c>
      <c r="C5" s="385" t="s">
        <v>2386</v>
      </c>
      <c r="D5" s="216"/>
      <c r="E5">
        <v>40</v>
      </c>
      <c r="H5" s="19">
        <v>900</v>
      </c>
      <c r="I5" s="19">
        <v>3</v>
      </c>
      <c r="J5">
        <v>200</v>
      </c>
      <c r="K5" s="167" t="s">
        <v>2377</v>
      </c>
      <c r="L5" s="167" t="s">
        <v>2377</v>
      </c>
      <c r="M5" s="167" t="s">
        <v>2377</v>
      </c>
      <c r="N5">
        <v>50</v>
      </c>
      <c r="O5">
        <v>20</v>
      </c>
      <c r="P5">
        <v>200</v>
      </c>
      <c r="Q5">
        <v>2.1</v>
      </c>
      <c r="R5">
        <v>200</v>
      </c>
      <c r="S5" t="s">
        <v>2377</v>
      </c>
      <c r="T5" t="s">
        <v>2377</v>
      </c>
      <c r="U5" t="s">
        <v>2377</v>
      </c>
      <c r="V5">
        <v>120</v>
      </c>
      <c r="X5">
        <v>100</v>
      </c>
      <c r="Y5">
        <v>0.5</v>
      </c>
      <c r="Z5">
        <v>10</v>
      </c>
      <c r="AA5" t="s">
        <v>2382</v>
      </c>
      <c r="AB5" t="s">
        <v>2383</v>
      </c>
      <c r="AD5" t="s">
        <v>2387</v>
      </c>
      <c r="AI5" s="221" t="s">
        <v>2388</v>
      </c>
    </row>
    <row r="6" spans="1:35">
      <c r="A6" t="s">
        <v>2389</v>
      </c>
      <c r="C6" s="385" t="s">
        <v>2386</v>
      </c>
      <c r="D6" s="216"/>
      <c r="E6">
        <v>40</v>
      </c>
      <c r="F6" s="19">
        <v>716</v>
      </c>
      <c r="G6" s="19">
        <v>693</v>
      </c>
      <c r="H6" s="19">
        <v>900</v>
      </c>
      <c r="I6" s="19">
        <v>3</v>
      </c>
      <c r="J6">
        <v>200</v>
      </c>
      <c r="K6" s="167">
        <v>200</v>
      </c>
      <c r="L6" s="167">
        <v>200</v>
      </c>
      <c r="M6" s="167" t="s">
        <v>2377</v>
      </c>
      <c r="N6">
        <v>50</v>
      </c>
      <c r="O6">
        <v>20</v>
      </c>
      <c r="P6">
        <v>200</v>
      </c>
      <c r="Q6">
        <v>2.1</v>
      </c>
      <c r="R6">
        <v>200</v>
      </c>
      <c r="S6" t="s">
        <v>2377</v>
      </c>
      <c r="T6" t="s">
        <v>2377</v>
      </c>
      <c r="U6" t="s">
        <v>2377</v>
      </c>
      <c r="V6">
        <v>120</v>
      </c>
      <c r="X6">
        <v>100</v>
      </c>
      <c r="Y6">
        <v>0.5</v>
      </c>
      <c r="Z6">
        <v>10</v>
      </c>
      <c r="AA6" t="s">
        <v>2382</v>
      </c>
      <c r="AB6" t="s">
        <v>2383</v>
      </c>
      <c r="AC6" t="s">
        <v>2390</v>
      </c>
      <c r="AD6" t="s">
        <v>2391</v>
      </c>
      <c r="AI6" t="s">
        <v>2392</v>
      </c>
    </row>
    <row r="7" spans="1:35">
      <c r="A7" t="s">
        <v>2393</v>
      </c>
      <c r="C7" s="385" t="s">
        <v>2386</v>
      </c>
      <c r="D7" s="216"/>
      <c r="E7">
        <v>40</v>
      </c>
      <c r="H7" s="19">
        <v>900</v>
      </c>
      <c r="I7" s="19">
        <v>3</v>
      </c>
      <c r="J7">
        <v>200</v>
      </c>
      <c r="K7" s="167">
        <v>200</v>
      </c>
      <c r="L7" s="167">
        <v>200</v>
      </c>
      <c r="M7" s="167">
        <v>35</v>
      </c>
      <c r="N7">
        <v>50</v>
      </c>
      <c r="O7">
        <v>20</v>
      </c>
      <c r="P7">
        <v>200</v>
      </c>
      <c r="Q7">
        <v>2.1</v>
      </c>
      <c r="R7">
        <v>200</v>
      </c>
      <c r="S7" t="s">
        <v>2377</v>
      </c>
      <c r="T7" t="s">
        <v>2377</v>
      </c>
      <c r="U7" t="s">
        <v>2377</v>
      </c>
      <c r="V7">
        <v>120</v>
      </c>
      <c r="X7">
        <v>100</v>
      </c>
      <c r="Y7">
        <v>0.5</v>
      </c>
      <c r="Z7">
        <v>10</v>
      </c>
      <c r="AA7" t="s">
        <v>2382</v>
      </c>
      <c r="AB7" t="s">
        <v>2383</v>
      </c>
      <c r="AD7" t="s">
        <v>2394</v>
      </c>
      <c r="AI7" s="221" t="s">
        <v>2395</v>
      </c>
    </row>
    <row r="8" spans="1:35">
      <c r="A8" t="s">
        <v>2396</v>
      </c>
      <c r="C8" s="385" t="s">
        <v>2386</v>
      </c>
      <c r="D8" s="217" t="s">
        <v>2397</v>
      </c>
      <c r="E8">
        <v>50</v>
      </c>
      <c r="F8" s="19">
        <v>716</v>
      </c>
      <c r="G8" s="19">
        <v>696</v>
      </c>
      <c r="H8" s="19">
        <v>900</v>
      </c>
      <c r="I8" s="19">
        <v>3</v>
      </c>
      <c r="J8">
        <v>200</v>
      </c>
      <c r="K8" s="167">
        <v>200</v>
      </c>
      <c r="L8" s="167">
        <v>200</v>
      </c>
      <c r="M8" s="167">
        <v>35</v>
      </c>
      <c r="N8">
        <v>50</v>
      </c>
      <c r="O8">
        <v>20</v>
      </c>
      <c r="P8">
        <v>200</v>
      </c>
      <c r="Q8">
        <v>2.1</v>
      </c>
      <c r="R8">
        <v>200</v>
      </c>
      <c r="S8" t="s">
        <v>2377</v>
      </c>
      <c r="T8" t="s">
        <v>2377</v>
      </c>
      <c r="U8" t="s">
        <v>2377</v>
      </c>
      <c r="V8">
        <v>120</v>
      </c>
      <c r="X8">
        <v>100</v>
      </c>
      <c r="Y8">
        <v>0.5</v>
      </c>
      <c r="Z8">
        <v>10</v>
      </c>
      <c r="AA8" t="s">
        <v>2382</v>
      </c>
      <c r="AB8" t="s">
        <v>2383</v>
      </c>
      <c r="AC8" t="s">
        <v>2398</v>
      </c>
      <c r="AI8" t="s">
        <v>2399</v>
      </c>
    </row>
    <row r="9" spans="1:35">
      <c r="A9" t="s">
        <v>2400</v>
      </c>
      <c r="C9" s="385" t="s">
        <v>2401</v>
      </c>
      <c r="D9" s="223" t="s">
        <v>2402</v>
      </c>
      <c r="E9">
        <v>50</v>
      </c>
      <c r="F9" s="19">
        <v>713</v>
      </c>
      <c r="G9" s="19">
        <v>691</v>
      </c>
      <c r="H9" s="19">
        <v>900</v>
      </c>
      <c r="I9" s="19">
        <v>3</v>
      </c>
      <c r="J9" s="206">
        <v>100</v>
      </c>
      <c r="K9" s="167">
        <v>200</v>
      </c>
      <c r="L9" s="167">
        <v>200</v>
      </c>
      <c r="M9" s="167">
        <v>35</v>
      </c>
      <c r="N9">
        <v>50</v>
      </c>
      <c r="O9">
        <v>20</v>
      </c>
      <c r="P9">
        <v>200</v>
      </c>
      <c r="Q9">
        <v>2.1</v>
      </c>
      <c r="R9">
        <v>200</v>
      </c>
      <c r="S9" t="s">
        <v>2377</v>
      </c>
      <c r="V9">
        <v>120</v>
      </c>
      <c r="X9" s="206">
        <v>200</v>
      </c>
      <c r="Y9">
        <v>0.5</v>
      </c>
      <c r="Z9">
        <v>10</v>
      </c>
      <c r="AA9" t="s">
        <v>2382</v>
      </c>
      <c r="AB9" t="s">
        <v>2383</v>
      </c>
      <c r="AD9" t="s">
        <v>2403</v>
      </c>
      <c r="AI9" t="s">
        <v>2404</v>
      </c>
    </row>
    <row r="10" spans="1:35">
      <c r="A10" t="s">
        <v>2405</v>
      </c>
      <c r="C10" s="385" t="s">
        <v>2401</v>
      </c>
      <c r="D10" s="223"/>
      <c r="E10">
        <v>50</v>
      </c>
      <c r="H10" s="19">
        <v>900</v>
      </c>
      <c r="I10" s="19">
        <v>3</v>
      </c>
      <c r="J10" s="206">
        <v>200</v>
      </c>
      <c r="K10" s="167">
        <v>200</v>
      </c>
      <c r="L10" s="167">
        <v>200</v>
      </c>
      <c r="M10" s="167">
        <v>35</v>
      </c>
      <c r="N10">
        <v>50</v>
      </c>
      <c r="O10">
        <v>20</v>
      </c>
      <c r="P10">
        <v>200</v>
      </c>
      <c r="Q10">
        <v>2.1</v>
      </c>
      <c r="R10">
        <v>200</v>
      </c>
      <c r="S10" t="s">
        <v>2377</v>
      </c>
      <c r="V10">
        <v>120</v>
      </c>
      <c r="X10" s="206">
        <v>200</v>
      </c>
      <c r="Y10">
        <v>0.5</v>
      </c>
      <c r="Z10">
        <v>10</v>
      </c>
      <c r="AA10" t="s">
        <v>2382</v>
      </c>
      <c r="AB10" t="s">
        <v>2383</v>
      </c>
      <c r="AI10" t="s">
        <v>2406</v>
      </c>
    </row>
    <row r="11" spans="1:35">
      <c r="A11" t="s">
        <v>2407</v>
      </c>
      <c r="C11" s="385" t="s">
        <v>2401</v>
      </c>
      <c r="D11" s="227"/>
      <c r="E11">
        <v>50</v>
      </c>
      <c r="F11" s="19">
        <v>712</v>
      </c>
      <c r="G11" s="19">
        <v>691</v>
      </c>
      <c r="H11" s="19">
        <v>900</v>
      </c>
      <c r="I11" s="19">
        <v>3</v>
      </c>
      <c r="J11">
        <v>200</v>
      </c>
      <c r="K11" s="167">
        <v>200</v>
      </c>
      <c r="L11" s="167">
        <v>200</v>
      </c>
      <c r="M11" s="167">
        <v>35</v>
      </c>
      <c r="N11">
        <v>50</v>
      </c>
      <c r="O11" t="s">
        <v>2377</v>
      </c>
      <c r="P11" t="s">
        <v>2377</v>
      </c>
      <c r="Q11">
        <v>2.1</v>
      </c>
      <c r="R11" t="s">
        <v>2377</v>
      </c>
      <c r="S11">
        <v>250</v>
      </c>
      <c r="T11">
        <v>500</v>
      </c>
      <c r="U11">
        <v>15</v>
      </c>
      <c r="V11" t="s">
        <v>2377</v>
      </c>
      <c r="X11">
        <v>100</v>
      </c>
      <c r="Y11">
        <v>0.5</v>
      </c>
      <c r="Z11">
        <v>10</v>
      </c>
      <c r="AA11" t="s">
        <v>2382</v>
      </c>
      <c r="AB11" t="s">
        <v>2377</v>
      </c>
      <c r="AC11" t="s">
        <v>2408</v>
      </c>
      <c r="AD11" t="s">
        <v>2409</v>
      </c>
      <c r="AI11" s="221" t="s">
        <v>2410</v>
      </c>
    </row>
    <row r="12" spans="1:35">
      <c r="A12" t="s">
        <v>2411</v>
      </c>
      <c r="C12" s="385" t="s">
        <v>2412</v>
      </c>
      <c r="D12" s="206" t="s">
        <v>223</v>
      </c>
      <c r="E12">
        <v>50</v>
      </c>
      <c r="F12" s="19">
        <v>712</v>
      </c>
      <c r="G12" s="19">
        <v>691</v>
      </c>
      <c r="H12" s="19">
        <v>900</v>
      </c>
      <c r="I12" s="19">
        <v>3</v>
      </c>
      <c r="J12">
        <v>200</v>
      </c>
      <c r="K12" s="167">
        <v>200</v>
      </c>
      <c r="L12" s="167">
        <v>200</v>
      </c>
      <c r="M12" s="167">
        <v>35</v>
      </c>
      <c r="N12">
        <v>50</v>
      </c>
      <c r="O12" t="s">
        <v>2377</v>
      </c>
      <c r="P12" t="s">
        <v>2377</v>
      </c>
      <c r="Q12">
        <v>2.1</v>
      </c>
      <c r="R12" t="s">
        <v>2377</v>
      </c>
      <c r="S12">
        <v>250</v>
      </c>
      <c r="T12">
        <v>500</v>
      </c>
      <c r="U12">
        <v>15</v>
      </c>
      <c r="V12" t="s">
        <v>2377</v>
      </c>
      <c r="X12">
        <v>100</v>
      </c>
      <c r="Y12">
        <v>0.5</v>
      </c>
      <c r="Z12">
        <v>10</v>
      </c>
      <c r="AA12" t="s">
        <v>2382</v>
      </c>
      <c r="AB12" t="s">
        <v>2377</v>
      </c>
      <c r="AD12" t="s">
        <v>2413</v>
      </c>
      <c r="AI12" t="s">
        <v>2414</v>
      </c>
    </row>
    <row r="13" spans="1:35">
      <c r="A13" t="s">
        <v>2415</v>
      </c>
      <c r="C13" s="385" t="s">
        <v>2412</v>
      </c>
      <c r="D13" t="s">
        <v>2416</v>
      </c>
      <c r="E13">
        <v>50</v>
      </c>
      <c r="F13" s="19">
        <v>578</v>
      </c>
      <c r="G13" s="19">
        <v>642</v>
      </c>
      <c r="H13" s="19">
        <v>900</v>
      </c>
      <c r="I13" s="19">
        <v>3</v>
      </c>
      <c r="J13">
        <v>200</v>
      </c>
      <c r="K13" s="167">
        <v>200</v>
      </c>
      <c r="L13" s="167">
        <v>200</v>
      </c>
      <c r="M13" s="167">
        <v>35</v>
      </c>
      <c r="N13">
        <v>50</v>
      </c>
      <c r="O13" t="s">
        <v>2377</v>
      </c>
      <c r="P13" t="s">
        <v>2377</v>
      </c>
      <c r="Q13">
        <v>2.1</v>
      </c>
      <c r="R13" t="s">
        <v>2377</v>
      </c>
      <c r="S13">
        <v>250</v>
      </c>
      <c r="T13">
        <v>500</v>
      </c>
      <c r="U13">
        <v>15</v>
      </c>
      <c r="V13" t="s">
        <v>2377</v>
      </c>
      <c r="X13">
        <v>100</v>
      </c>
      <c r="Y13">
        <v>0.5</v>
      </c>
      <c r="Z13">
        <v>10</v>
      </c>
      <c r="AA13" t="s">
        <v>2382</v>
      </c>
      <c r="AB13" t="s">
        <v>2377</v>
      </c>
      <c r="AC13" t="s">
        <v>2417</v>
      </c>
      <c r="AD13" t="s">
        <v>2418</v>
      </c>
      <c r="AI13" t="s">
        <v>2419</v>
      </c>
    </row>
    <row r="14" spans="1:35">
      <c r="A14" t="s">
        <v>2420</v>
      </c>
      <c r="C14" s="385" t="s">
        <v>2412</v>
      </c>
      <c r="D14" t="s">
        <v>2421</v>
      </c>
      <c r="E14">
        <v>50</v>
      </c>
      <c r="F14" s="19">
        <v>578</v>
      </c>
      <c r="G14" s="19">
        <v>642</v>
      </c>
      <c r="H14" s="19">
        <v>900</v>
      </c>
      <c r="I14" s="19">
        <v>3</v>
      </c>
      <c r="J14">
        <v>200</v>
      </c>
      <c r="K14" s="167">
        <v>200</v>
      </c>
      <c r="L14" s="167">
        <v>200</v>
      </c>
      <c r="M14" s="167">
        <v>35</v>
      </c>
      <c r="N14">
        <v>50</v>
      </c>
      <c r="O14" t="s">
        <v>2377</v>
      </c>
      <c r="P14" t="s">
        <v>2377</v>
      </c>
      <c r="Q14">
        <v>1.4</v>
      </c>
      <c r="R14" t="s">
        <v>2377</v>
      </c>
      <c r="S14">
        <v>250</v>
      </c>
      <c r="T14">
        <v>500</v>
      </c>
      <c r="U14">
        <v>15</v>
      </c>
      <c r="V14" t="s">
        <v>2377</v>
      </c>
      <c r="X14">
        <v>100</v>
      </c>
      <c r="Y14">
        <v>0.5</v>
      </c>
      <c r="Z14">
        <v>10</v>
      </c>
      <c r="AA14" t="s">
        <v>2382</v>
      </c>
      <c r="AB14" t="s">
        <v>2377</v>
      </c>
      <c r="AI14" s="221" t="s">
        <v>2422</v>
      </c>
    </row>
    <row r="15" spans="1:35">
      <c r="A15" t="s">
        <v>2423</v>
      </c>
      <c r="C15" s="385" t="s">
        <v>2424</v>
      </c>
      <c r="D15" t="s">
        <v>2425</v>
      </c>
      <c r="E15">
        <v>50</v>
      </c>
      <c r="F15" s="19" t="s">
        <v>2377</v>
      </c>
      <c r="G15" s="19">
        <v>626</v>
      </c>
      <c r="H15" s="19">
        <v>900</v>
      </c>
      <c r="I15" s="19">
        <v>3</v>
      </c>
      <c r="J15">
        <v>200</v>
      </c>
      <c r="K15" s="167">
        <v>200</v>
      </c>
      <c r="L15" s="167">
        <v>200</v>
      </c>
      <c r="M15" s="167">
        <v>35</v>
      </c>
      <c r="N15" t="s">
        <v>2377</v>
      </c>
      <c r="O15" t="s">
        <v>2377</v>
      </c>
      <c r="P15" t="s">
        <v>2377</v>
      </c>
      <c r="Q15">
        <v>2.1</v>
      </c>
      <c r="R15" t="s">
        <v>2377</v>
      </c>
      <c r="S15">
        <v>250</v>
      </c>
      <c r="T15">
        <v>500</v>
      </c>
      <c r="U15">
        <v>15</v>
      </c>
      <c r="V15" t="s">
        <v>2377</v>
      </c>
      <c r="X15">
        <v>100</v>
      </c>
      <c r="Y15" t="s">
        <v>2377</v>
      </c>
      <c r="Z15">
        <v>10</v>
      </c>
      <c r="AA15" t="s">
        <v>2382</v>
      </c>
      <c r="AB15" t="s">
        <v>2377</v>
      </c>
      <c r="AD15" t="s">
        <v>2426</v>
      </c>
      <c r="AI15" t="s">
        <v>2427</v>
      </c>
    </row>
    <row r="16" spans="1:35">
      <c r="A16" s="245" t="s">
        <v>2428</v>
      </c>
      <c r="B16" s="245"/>
      <c r="C16" s="386" t="s">
        <v>2424</v>
      </c>
      <c r="D16" s="245" t="s">
        <v>2429</v>
      </c>
      <c r="E16">
        <v>80</v>
      </c>
      <c r="F16" s="19" t="s">
        <v>2377</v>
      </c>
      <c r="G16" s="19">
        <v>615</v>
      </c>
      <c r="H16" s="19">
        <v>900</v>
      </c>
      <c r="I16" s="19">
        <v>1.5</v>
      </c>
      <c r="J16">
        <v>200</v>
      </c>
      <c r="K16" s="167" t="s">
        <v>2377</v>
      </c>
      <c r="L16" s="167" t="s">
        <v>2377</v>
      </c>
      <c r="M16" s="167" t="s">
        <v>2377</v>
      </c>
      <c r="N16" t="s">
        <v>2377</v>
      </c>
      <c r="O16">
        <v>50</v>
      </c>
      <c r="P16">
        <v>200</v>
      </c>
      <c r="Q16">
        <v>7</v>
      </c>
      <c r="R16" t="s">
        <v>2377</v>
      </c>
      <c r="S16" t="s">
        <v>2377</v>
      </c>
      <c r="T16" t="s">
        <v>2377</v>
      </c>
      <c r="U16" t="s">
        <v>2377</v>
      </c>
      <c r="V16" t="s">
        <v>2377</v>
      </c>
      <c r="X16">
        <v>100</v>
      </c>
      <c r="Y16" t="s">
        <v>2377</v>
      </c>
      <c r="Z16">
        <v>10</v>
      </c>
      <c r="AA16" t="s">
        <v>2377</v>
      </c>
      <c r="AB16" t="s">
        <v>2377</v>
      </c>
      <c r="AD16" t="s">
        <v>2430</v>
      </c>
      <c r="AI16" s="221" t="s">
        <v>2431</v>
      </c>
    </row>
    <row r="17" spans="1:35">
      <c r="A17" t="s">
        <v>2432</v>
      </c>
      <c r="C17" s="385" t="s">
        <v>2433</v>
      </c>
      <c r="D17" t="s">
        <v>2434</v>
      </c>
      <c r="E17">
        <v>50</v>
      </c>
      <c r="F17" s="19" t="s">
        <v>2377</v>
      </c>
      <c r="H17" s="19">
        <v>900</v>
      </c>
      <c r="I17" s="19">
        <v>3</v>
      </c>
      <c r="J17">
        <v>200</v>
      </c>
      <c r="K17" s="167">
        <v>50</v>
      </c>
      <c r="L17" s="167">
        <v>200</v>
      </c>
      <c r="M17" s="167">
        <v>35</v>
      </c>
      <c r="N17" t="s">
        <v>2377</v>
      </c>
      <c r="O17" t="s">
        <v>2377</v>
      </c>
      <c r="P17" t="s">
        <v>2377</v>
      </c>
      <c r="Q17">
        <v>2.1</v>
      </c>
      <c r="R17" t="s">
        <v>2377</v>
      </c>
      <c r="S17">
        <v>250</v>
      </c>
      <c r="T17">
        <v>500</v>
      </c>
      <c r="U17">
        <v>15</v>
      </c>
      <c r="V17" t="s">
        <v>2377</v>
      </c>
      <c r="X17">
        <v>100</v>
      </c>
      <c r="Y17" t="s">
        <v>2377</v>
      </c>
      <c r="Z17">
        <v>10</v>
      </c>
      <c r="AA17" t="s">
        <v>2382</v>
      </c>
      <c r="AB17" t="s">
        <v>2435</v>
      </c>
      <c r="AC17" t="s">
        <v>2436</v>
      </c>
      <c r="AI17" t="s">
        <v>2437</v>
      </c>
    </row>
    <row r="18" spans="1:35">
      <c r="A18" t="s">
        <v>2438</v>
      </c>
      <c r="C18" s="385" t="s">
        <v>2433</v>
      </c>
      <c r="D18" t="s">
        <v>2439</v>
      </c>
      <c r="E18">
        <v>50</v>
      </c>
      <c r="F18" s="19" t="s">
        <v>2377</v>
      </c>
      <c r="H18" s="19">
        <v>900</v>
      </c>
      <c r="I18" s="19">
        <v>3</v>
      </c>
      <c r="J18">
        <v>200</v>
      </c>
      <c r="K18" s="167">
        <v>50</v>
      </c>
      <c r="L18" s="167">
        <v>200</v>
      </c>
      <c r="M18" s="167">
        <v>35</v>
      </c>
      <c r="N18" t="s">
        <v>2377</v>
      </c>
      <c r="O18" t="s">
        <v>2377</v>
      </c>
      <c r="P18" t="s">
        <v>2377</v>
      </c>
      <c r="Q18">
        <v>2.1</v>
      </c>
      <c r="R18" t="s">
        <v>2377</v>
      </c>
      <c r="S18">
        <v>250</v>
      </c>
      <c r="T18">
        <v>500</v>
      </c>
      <c r="U18">
        <v>15</v>
      </c>
      <c r="V18" t="s">
        <v>2377</v>
      </c>
      <c r="X18">
        <v>100</v>
      </c>
      <c r="Y18" t="s">
        <v>2377</v>
      </c>
      <c r="Z18">
        <v>5</v>
      </c>
      <c r="AA18" t="s">
        <v>2382</v>
      </c>
      <c r="AB18" t="s">
        <v>2440</v>
      </c>
      <c r="AI18" t="s">
        <v>2441</v>
      </c>
    </row>
    <row r="19" spans="1:35">
      <c r="A19" t="s">
        <v>2442</v>
      </c>
      <c r="B19" t="s">
        <v>2438</v>
      </c>
      <c r="C19" s="385" t="s">
        <v>2443</v>
      </c>
      <c r="D19" t="s">
        <v>2444</v>
      </c>
      <c r="E19">
        <v>50</v>
      </c>
      <c r="F19" s="19" t="s">
        <v>2377</v>
      </c>
      <c r="G19" s="19">
        <v>603</v>
      </c>
      <c r="H19" s="19">
        <v>900</v>
      </c>
      <c r="I19" s="19">
        <v>3</v>
      </c>
      <c r="J19">
        <v>200</v>
      </c>
      <c r="K19" s="167">
        <v>50</v>
      </c>
      <c r="L19" s="167">
        <v>200</v>
      </c>
      <c r="M19" s="167">
        <v>35</v>
      </c>
      <c r="N19" t="s">
        <v>2377</v>
      </c>
      <c r="O19" t="s">
        <v>2377</v>
      </c>
      <c r="P19" t="s">
        <v>2377</v>
      </c>
      <c r="Q19">
        <v>2.1</v>
      </c>
      <c r="R19" s="206">
        <v>500</v>
      </c>
      <c r="S19">
        <v>250</v>
      </c>
      <c r="T19">
        <v>500</v>
      </c>
      <c r="U19">
        <v>15</v>
      </c>
      <c r="V19" t="s">
        <v>2377</v>
      </c>
      <c r="X19">
        <v>100</v>
      </c>
      <c r="Y19" t="s">
        <v>2377</v>
      </c>
      <c r="Z19">
        <v>5</v>
      </c>
      <c r="AA19" t="s">
        <v>2382</v>
      </c>
      <c r="AB19" t="s">
        <v>2440</v>
      </c>
      <c r="AC19" t="s">
        <v>2445</v>
      </c>
      <c r="AD19" t="s">
        <v>2446</v>
      </c>
      <c r="AI19" t="s">
        <v>2447</v>
      </c>
    </row>
    <row r="20" spans="1:35">
      <c r="A20" t="s">
        <v>2448</v>
      </c>
      <c r="B20" t="s">
        <v>2442</v>
      </c>
      <c r="C20" s="385" t="s">
        <v>2449</v>
      </c>
      <c r="D20" t="s">
        <v>2450</v>
      </c>
      <c r="E20">
        <v>50</v>
      </c>
      <c r="F20" s="19" t="s">
        <v>2377</v>
      </c>
      <c r="G20" s="19">
        <v>596</v>
      </c>
      <c r="H20" s="19">
        <v>900</v>
      </c>
      <c r="I20" s="19">
        <v>5</v>
      </c>
      <c r="J20">
        <v>200</v>
      </c>
      <c r="K20" s="167">
        <v>50</v>
      </c>
      <c r="L20" s="167">
        <v>200</v>
      </c>
      <c r="M20" s="167">
        <v>35</v>
      </c>
      <c r="N20" t="s">
        <v>2377</v>
      </c>
      <c r="O20" t="s">
        <v>2377</v>
      </c>
      <c r="P20" t="s">
        <v>2377</v>
      </c>
      <c r="Q20">
        <v>2.1</v>
      </c>
      <c r="R20" s="206">
        <v>500</v>
      </c>
      <c r="S20">
        <v>250</v>
      </c>
      <c r="T20">
        <v>500</v>
      </c>
      <c r="U20">
        <v>15</v>
      </c>
      <c r="V20" t="s">
        <v>2377</v>
      </c>
      <c r="X20">
        <v>100</v>
      </c>
      <c r="Y20" t="s">
        <v>2377</v>
      </c>
      <c r="Z20">
        <v>5</v>
      </c>
      <c r="AA20" t="s">
        <v>2382</v>
      </c>
      <c r="AB20" t="s">
        <v>2440</v>
      </c>
      <c r="AD20" t="s">
        <v>2451</v>
      </c>
      <c r="AI20" t="s">
        <v>2452</v>
      </c>
    </row>
    <row r="21" spans="1:35">
      <c r="A21" t="s">
        <v>2453</v>
      </c>
      <c r="B21" t="s">
        <v>2377</v>
      </c>
      <c r="C21" s="385" t="s">
        <v>2449</v>
      </c>
      <c r="D21" t="s">
        <v>2454</v>
      </c>
      <c r="E21">
        <v>50</v>
      </c>
      <c r="F21" s="19" t="s">
        <v>2377</v>
      </c>
      <c r="G21" s="19">
        <v>577</v>
      </c>
      <c r="H21" s="19">
        <v>550</v>
      </c>
      <c r="I21" s="19">
        <v>1.5</v>
      </c>
      <c r="J21">
        <v>200</v>
      </c>
      <c r="K21" s="167">
        <v>50</v>
      </c>
      <c r="L21" s="167">
        <v>200</v>
      </c>
      <c r="M21" s="167">
        <v>35</v>
      </c>
      <c r="N21" t="s">
        <v>2377</v>
      </c>
      <c r="O21" t="s">
        <v>2377</v>
      </c>
      <c r="P21" t="s">
        <v>2377</v>
      </c>
      <c r="Q21">
        <v>2.1</v>
      </c>
      <c r="R21" s="206">
        <v>500</v>
      </c>
      <c r="S21" t="s">
        <v>2377</v>
      </c>
      <c r="T21" t="s">
        <v>2377</v>
      </c>
      <c r="U21" t="s">
        <v>2377</v>
      </c>
      <c r="V21" t="s">
        <v>2377</v>
      </c>
      <c r="X21">
        <v>100</v>
      </c>
      <c r="Y21" t="s">
        <v>2377</v>
      </c>
      <c r="Z21">
        <v>10</v>
      </c>
      <c r="AA21" t="s">
        <v>2382</v>
      </c>
      <c r="AD21" t="s">
        <v>2455</v>
      </c>
      <c r="AI21" t="s">
        <v>2456</v>
      </c>
    </row>
    <row r="22" spans="1:35">
      <c r="A22" t="s">
        <v>2457</v>
      </c>
      <c r="B22" t="s">
        <v>2453</v>
      </c>
      <c r="C22" s="385" t="s">
        <v>2449</v>
      </c>
      <c r="D22" t="s">
        <v>2458</v>
      </c>
      <c r="E22">
        <v>50</v>
      </c>
      <c r="F22" s="19" t="s">
        <v>2377</v>
      </c>
      <c r="G22" s="19">
        <v>577</v>
      </c>
      <c r="H22" s="19">
        <v>500</v>
      </c>
      <c r="I22" s="19">
        <v>1.5</v>
      </c>
      <c r="J22">
        <v>200</v>
      </c>
      <c r="K22" s="167">
        <v>50</v>
      </c>
      <c r="L22" s="167">
        <v>200</v>
      </c>
      <c r="M22" s="167">
        <v>35</v>
      </c>
      <c r="N22" t="s">
        <v>2377</v>
      </c>
      <c r="O22" t="s">
        <v>2377</v>
      </c>
      <c r="P22" t="s">
        <v>2377</v>
      </c>
      <c r="Q22">
        <v>2.1</v>
      </c>
      <c r="R22" s="206">
        <v>500</v>
      </c>
      <c r="S22" t="s">
        <v>2377</v>
      </c>
      <c r="T22" t="s">
        <v>2377</v>
      </c>
      <c r="U22" t="s">
        <v>2377</v>
      </c>
      <c r="V22" t="s">
        <v>2377</v>
      </c>
      <c r="X22">
        <v>100</v>
      </c>
      <c r="Y22" t="s">
        <v>2377</v>
      </c>
      <c r="Z22">
        <v>10</v>
      </c>
      <c r="AA22" t="s">
        <v>2382</v>
      </c>
      <c r="AD22" t="s">
        <v>2455</v>
      </c>
      <c r="AI22" t="s">
        <v>2459</v>
      </c>
    </row>
    <row r="23" spans="1:35">
      <c r="A23" s="265" t="s">
        <v>2460</v>
      </c>
      <c r="B23" s="245"/>
      <c r="C23" s="386" t="s">
        <v>2449</v>
      </c>
      <c r="D23" s="245" t="s">
        <v>2429</v>
      </c>
      <c r="E23">
        <v>80</v>
      </c>
      <c r="F23" s="19" t="s">
        <v>2377</v>
      </c>
      <c r="G23" s="19">
        <v>615</v>
      </c>
      <c r="H23" s="19">
        <v>900</v>
      </c>
      <c r="I23" s="19">
        <v>1.5</v>
      </c>
      <c r="J23">
        <v>200</v>
      </c>
      <c r="K23" s="167" t="s">
        <v>2377</v>
      </c>
      <c r="L23" s="167" t="s">
        <v>2377</v>
      </c>
      <c r="M23" s="167" t="s">
        <v>2377</v>
      </c>
      <c r="N23" t="s">
        <v>2377</v>
      </c>
      <c r="O23">
        <v>50</v>
      </c>
      <c r="P23">
        <v>200</v>
      </c>
      <c r="Q23">
        <v>7</v>
      </c>
      <c r="R23">
        <v>200</v>
      </c>
      <c r="S23" t="s">
        <v>2377</v>
      </c>
      <c r="T23" t="s">
        <v>2377</v>
      </c>
      <c r="U23" t="s">
        <v>2377</v>
      </c>
      <c r="V23" t="s">
        <v>2377</v>
      </c>
      <c r="X23">
        <v>100</v>
      </c>
      <c r="Y23" t="s">
        <v>2377</v>
      </c>
      <c r="Z23">
        <v>10</v>
      </c>
      <c r="AA23" t="s">
        <v>2377</v>
      </c>
      <c r="AB23" t="s">
        <v>2377</v>
      </c>
      <c r="AD23" t="s">
        <v>2429</v>
      </c>
      <c r="AI23" t="s">
        <v>2461</v>
      </c>
    </row>
    <row r="24" spans="1:35">
      <c r="A24" t="s">
        <v>2462</v>
      </c>
      <c r="B24" t="s">
        <v>2442</v>
      </c>
      <c r="C24" s="385" t="s">
        <v>2463</v>
      </c>
      <c r="D24" t="s">
        <v>2464</v>
      </c>
      <c r="E24">
        <v>50</v>
      </c>
      <c r="F24" s="19" t="s">
        <v>2377</v>
      </c>
      <c r="G24" s="19">
        <v>597</v>
      </c>
      <c r="H24" s="19">
        <v>900</v>
      </c>
      <c r="I24" s="19">
        <v>3</v>
      </c>
      <c r="J24">
        <v>200</v>
      </c>
      <c r="K24" s="167">
        <v>50</v>
      </c>
      <c r="L24" s="167">
        <v>200</v>
      </c>
      <c r="M24" s="167">
        <v>35</v>
      </c>
      <c r="N24" t="s">
        <v>2377</v>
      </c>
      <c r="O24" t="s">
        <v>2377</v>
      </c>
      <c r="P24" t="s">
        <v>2377</v>
      </c>
      <c r="Q24">
        <v>2.1</v>
      </c>
      <c r="R24" s="206">
        <v>200</v>
      </c>
      <c r="V24" s="221">
        <v>120</v>
      </c>
      <c r="W24" s="221"/>
      <c r="X24">
        <v>100</v>
      </c>
      <c r="Y24" t="s">
        <v>2377</v>
      </c>
      <c r="Z24">
        <v>5</v>
      </c>
      <c r="AA24" t="s">
        <v>2382</v>
      </c>
      <c r="AB24" t="s">
        <v>2465</v>
      </c>
      <c r="AC24" t="s">
        <v>2466</v>
      </c>
      <c r="AD24" t="s">
        <v>2467</v>
      </c>
      <c r="AI24" t="s">
        <v>2468</v>
      </c>
    </row>
    <row r="25" spans="1:35">
      <c r="A25" t="s">
        <v>2469</v>
      </c>
      <c r="B25" t="s">
        <v>2470</v>
      </c>
      <c r="C25" s="385" t="s">
        <v>2463</v>
      </c>
      <c r="D25" t="s">
        <v>2471</v>
      </c>
      <c r="E25">
        <v>50</v>
      </c>
      <c r="F25" s="19" t="s">
        <v>2377</v>
      </c>
      <c r="G25" s="19">
        <v>597</v>
      </c>
      <c r="H25" s="19">
        <v>900</v>
      </c>
      <c r="I25" s="19">
        <v>3</v>
      </c>
      <c r="J25">
        <v>200</v>
      </c>
      <c r="K25" s="167">
        <v>50</v>
      </c>
      <c r="L25" s="167">
        <v>200</v>
      </c>
      <c r="M25" s="167">
        <v>35</v>
      </c>
      <c r="N25" t="s">
        <v>2377</v>
      </c>
      <c r="O25" t="s">
        <v>2377</v>
      </c>
      <c r="P25" t="s">
        <v>2377</v>
      </c>
      <c r="Q25">
        <v>2.1</v>
      </c>
      <c r="R25" s="206">
        <v>200</v>
      </c>
      <c r="S25">
        <v>125</v>
      </c>
      <c r="T25">
        <v>500</v>
      </c>
      <c r="U25">
        <v>15</v>
      </c>
      <c r="V25">
        <v>60</v>
      </c>
      <c r="X25">
        <v>100</v>
      </c>
      <c r="Y25" t="s">
        <v>2377</v>
      </c>
      <c r="Z25">
        <v>5</v>
      </c>
      <c r="AA25" t="s">
        <v>2472</v>
      </c>
      <c r="AB25" t="s">
        <v>2465</v>
      </c>
      <c r="AD25" t="s">
        <v>2473</v>
      </c>
      <c r="AI25" t="s">
        <v>2474</v>
      </c>
    </row>
    <row r="26" spans="1:35">
      <c r="A26" s="265" t="s">
        <v>2475</v>
      </c>
      <c r="B26" s="245"/>
      <c r="C26" s="386" t="s">
        <v>2476</v>
      </c>
      <c r="D26" s="245" t="s">
        <v>2429</v>
      </c>
      <c r="E26">
        <v>80</v>
      </c>
      <c r="F26" s="19" t="s">
        <v>2377</v>
      </c>
      <c r="G26" s="19">
        <v>610</v>
      </c>
      <c r="H26" s="19">
        <v>900</v>
      </c>
      <c r="I26" s="19">
        <v>1.5</v>
      </c>
      <c r="J26">
        <v>200</v>
      </c>
      <c r="K26" s="167" t="s">
        <v>2377</v>
      </c>
      <c r="L26" s="167" t="s">
        <v>2377</v>
      </c>
      <c r="M26" s="167" t="s">
        <v>2377</v>
      </c>
      <c r="N26" t="s">
        <v>2377</v>
      </c>
      <c r="O26">
        <v>50</v>
      </c>
      <c r="P26">
        <v>200</v>
      </c>
      <c r="Q26">
        <v>7</v>
      </c>
      <c r="R26">
        <v>200</v>
      </c>
      <c r="S26" t="s">
        <v>2377</v>
      </c>
      <c r="T26" t="s">
        <v>2377</v>
      </c>
      <c r="U26" t="s">
        <v>2377</v>
      </c>
      <c r="V26" t="s">
        <v>2377</v>
      </c>
      <c r="X26">
        <v>100</v>
      </c>
      <c r="Y26" t="s">
        <v>2377</v>
      </c>
      <c r="Z26">
        <v>10</v>
      </c>
      <c r="AI26" t="s">
        <v>2477</v>
      </c>
    </row>
    <row r="27" spans="1:35">
      <c r="A27" t="s">
        <v>2457</v>
      </c>
      <c r="B27" t="s">
        <v>2442</v>
      </c>
      <c r="C27" s="385" t="s">
        <v>2476</v>
      </c>
      <c r="D27" t="s">
        <v>2478</v>
      </c>
      <c r="E27">
        <v>50</v>
      </c>
      <c r="F27" s="19" t="s">
        <v>2377</v>
      </c>
      <c r="G27" s="19">
        <v>596</v>
      </c>
      <c r="H27" s="19">
        <v>900</v>
      </c>
      <c r="I27" s="19">
        <v>3</v>
      </c>
      <c r="J27">
        <v>200</v>
      </c>
      <c r="K27" s="167">
        <v>50</v>
      </c>
      <c r="L27" s="167">
        <v>200</v>
      </c>
      <c r="M27" s="167">
        <v>35</v>
      </c>
      <c r="N27" t="s">
        <v>2377</v>
      </c>
      <c r="O27" t="s">
        <v>2377</v>
      </c>
      <c r="P27" t="s">
        <v>2377</v>
      </c>
      <c r="Q27">
        <v>2.1</v>
      </c>
      <c r="R27">
        <v>500</v>
      </c>
      <c r="S27">
        <v>250</v>
      </c>
      <c r="T27">
        <v>500</v>
      </c>
      <c r="U27">
        <v>15</v>
      </c>
      <c r="V27" t="s">
        <v>2377</v>
      </c>
      <c r="X27">
        <v>100</v>
      </c>
      <c r="Y27">
        <v>10</v>
      </c>
      <c r="Z27">
        <v>5</v>
      </c>
      <c r="AA27" t="s">
        <v>2382</v>
      </c>
      <c r="AB27" s="206" t="s">
        <v>2465</v>
      </c>
      <c r="AD27" t="s">
        <v>2479</v>
      </c>
      <c r="AI27" t="s">
        <v>2480</v>
      </c>
    </row>
    <row r="28" spans="1:35">
      <c r="A28" t="s">
        <v>2460</v>
      </c>
      <c r="B28" t="s">
        <v>2442</v>
      </c>
      <c r="C28" s="385" t="s">
        <v>2476</v>
      </c>
      <c r="D28" t="s">
        <v>2481</v>
      </c>
      <c r="E28">
        <v>50</v>
      </c>
      <c r="F28" s="19" t="s">
        <v>2377</v>
      </c>
      <c r="G28" s="19">
        <v>595</v>
      </c>
      <c r="H28" s="19">
        <v>900</v>
      </c>
      <c r="I28" s="19">
        <v>3</v>
      </c>
      <c r="J28">
        <v>200</v>
      </c>
      <c r="K28" s="167">
        <v>50</v>
      </c>
      <c r="L28" s="167">
        <v>200</v>
      </c>
      <c r="M28" s="167">
        <v>35</v>
      </c>
      <c r="N28" t="s">
        <v>2377</v>
      </c>
      <c r="O28" t="s">
        <v>2377</v>
      </c>
      <c r="P28" t="s">
        <v>2377</v>
      </c>
      <c r="Q28">
        <v>2.1</v>
      </c>
      <c r="R28">
        <v>500</v>
      </c>
      <c r="S28">
        <v>250</v>
      </c>
      <c r="T28">
        <v>500</v>
      </c>
      <c r="U28">
        <v>15</v>
      </c>
      <c r="V28" t="s">
        <v>2377</v>
      </c>
      <c r="X28">
        <v>100</v>
      </c>
      <c r="Y28" t="s">
        <v>2377</v>
      </c>
      <c r="Z28">
        <v>5</v>
      </c>
      <c r="AA28" t="s">
        <v>2472</v>
      </c>
      <c r="AB28" t="s">
        <v>2440</v>
      </c>
      <c r="AC28" t="s">
        <v>2482</v>
      </c>
      <c r="AD28" t="s">
        <v>2483</v>
      </c>
      <c r="AI28" t="s">
        <v>2484</v>
      </c>
    </row>
    <row r="29" spans="1:35">
      <c r="A29" t="s">
        <v>2485</v>
      </c>
      <c r="B29" t="s">
        <v>2462</v>
      </c>
      <c r="C29" s="385">
        <v>46057</v>
      </c>
      <c r="D29" t="s">
        <v>2486</v>
      </c>
      <c r="E29">
        <v>50</v>
      </c>
      <c r="F29" s="19" t="s">
        <v>2377</v>
      </c>
      <c r="G29" s="19">
        <v>595</v>
      </c>
      <c r="H29" s="19">
        <v>900</v>
      </c>
      <c r="I29" s="19">
        <v>3</v>
      </c>
      <c r="J29">
        <v>200</v>
      </c>
      <c r="K29" s="167">
        <v>50</v>
      </c>
      <c r="L29" s="167">
        <v>200</v>
      </c>
      <c r="M29" s="167">
        <v>35</v>
      </c>
      <c r="N29" t="s">
        <v>2377</v>
      </c>
      <c r="O29" t="s">
        <v>2377</v>
      </c>
      <c r="P29" t="s">
        <v>2377</v>
      </c>
      <c r="Q29">
        <v>2.1</v>
      </c>
      <c r="R29">
        <v>200</v>
      </c>
      <c r="V29" s="221">
        <v>20</v>
      </c>
      <c r="W29" s="221"/>
      <c r="X29">
        <v>100</v>
      </c>
      <c r="Y29" t="s">
        <v>2377</v>
      </c>
      <c r="Z29">
        <v>5</v>
      </c>
      <c r="AA29" t="s">
        <v>2382</v>
      </c>
      <c r="AB29" t="s">
        <v>2465</v>
      </c>
      <c r="AC29" t="s">
        <v>2487</v>
      </c>
      <c r="AI29" t="s">
        <v>2488</v>
      </c>
    </row>
    <row r="30" spans="1:35">
      <c r="A30" t="s">
        <v>2489</v>
      </c>
      <c r="B30" t="s">
        <v>2490</v>
      </c>
      <c r="C30" s="385">
        <v>46057</v>
      </c>
      <c r="D30" t="s">
        <v>2491</v>
      </c>
      <c r="E30">
        <v>50</v>
      </c>
      <c r="F30" s="19" t="s">
        <v>2377</v>
      </c>
      <c r="G30" s="19">
        <v>595</v>
      </c>
      <c r="H30" s="19">
        <v>900</v>
      </c>
      <c r="I30" s="19">
        <v>3</v>
      </c>
      <c r="J30">
        <v>200</v>
      </c>
      <c r="K30" s="167">
        <v>50</v>
      </c>
      <c r="L30" s="167">
        <v>200</v>
      </c>
      <c r="M30" s="167">
        <v>35</v>
      </c>
      <c r="N30" t="s">
        <v>2377</v>
      </c>
      <c r="O30" t="s">
        <v>2377</v>
      </c>
      <c r="P30" t="s">
        <v>2377</v>
      </c>
      <c r="Q30">
        <v>2.1</v>
      </c>
      <c r="R30">
        <v>200</v>
      </c>
      <c r="V30" s="221">
        <v>30</v>
      </c>
      <c r="W30" s="221"/>
      <c r="X30">
        <v>100</v>
      </c>
      <c r="Y30" t="s">
        <v>2377</v>
      </c>
      <c r="Z30">
        <v>5</v>
      </c>
      <c r="AA30" t="s">
        <v>2382</v>
      </c>
      <c r="AB30" t="s">
        <v>2465</v>
      </c>
      <c r="AC30" t="s">
        <v>2492</v>
      </c>
      <c r="AI30" t="s">
        <v>2493</v>
      </c>
    </row>
    <row r="31" spans="1:35">
      <c r="A31" s="265" t="s">
        <v>2494</v>
      </c>
      <c r="B31" s="245"/>
      <c r="C31" s="386">
        <v>46057</v>
      </c>
      <c r="D31" s="245" t="s">
        <v>2429</v>
      </c>
      <c r="E31">
        <v>80</v>
      </c>
      <c r="F31" s="19" t="s">
        <v>2377</v>
      </c>
      <c r="G31" s="19">
        <v>610</v>
      </c>
      <c r="H31" s="19">
        <v>900</v>
      </c>
      <c r="I31" s="19">
        <v>1.5</v>
      </c>
      <c r="J31">
        <v>200</v>
      </c>
      <c r="K31" s="167" t="s">
        <v>2377</v>
      </c>
      <c r="L31" s="167" t="s">
        <v>2377</v>
      </c>
      <c r="M31" s="167" t="s">
        <v>2377</v>
      </c>
      <c r="N31" t="s">
        <v>2377</v>
      </c>
      <c r="O31">
        <v>50</v>
      </c>
      <c r="P31">
        <v>200</v>
      </c>
      <c r="Q31">
        <v>7</v>
      </c>
      <c r="R31">
        <v>200</v>
      </c>
      <c r="S31" t="s">
        <v>2377</v>
      </c>
      <c r="T31" t="s">
        <v>2377</v>
      </c>
      <c r="U31" t="s">
        <v>2377</v>
      </c>
      <c r="V31" t="s">
        <v>2377</v>
      </c>
      <c r="X31">
        <v>100</v>
      </c>
      <c r="Y31" t="s">
        <v>2377</v>
      </c>
      <c r="Z31">
        <v>10</v>
      </c>
    </row>
    <row r="32" spans="1:35">
      <c r="A32" t="s">
        <v>2495</v>
      </c>
      <c r="B32" t="s">
        <v>2496</v>
      </c>
      <c r="C32" s="385">
        <v>46057</v>
      </c>
      <c r="D32" t="s">
        <v>2497</v>
      </c>
      <c r="E32">
        <v>50</v>
      </c>
      <c r="F32" s="19" t="s">
        <v>2377</v>
      </c>
      <c r="G32" s="19">
        <v>595</v>
      </c>
      <c r="H32" s="19">
        <v>900</v>
      </c>
      <c r="I32" s="19">
        <v>3</v>
      </c>
      <c r="J32">
        <v>200</v>
      </c>
      <c r="K32" s="167">
        <v>50</v>
      </c>
      <c r="L32" s="167">
        <v>200</v>
      </c>
      <c r="M32" s="167">
        <v>35</v>
      </c>
      <c r="N32" t="s">
        <v>2377</v>
      </c>
      <c r="O32" t="s">
        <v>2377</v>
      </c>
      <c r="P32" t="s">
        <v>2377</v>
      </c>
      <c r="Q32">
        <v>2.1</v>
      </c>
      <c r="R32">
        <v>200</v>
      </c>
      <c r="V32">
        <v>30</v>
      </c>
      <c r="X32">
        <v>100</v>
      </c>
      <c r="Y32" s="221">
        <v>10</v>
      </c>
      <c r="Z32">
        <v>5</v>
      </c>
      <c r="AA32" t="s">
        <v>2382</v>
      </c>
      <c r="AB32" t="s">
        <v>2465</v>
      </c>
      <c r="AI32" t="s">
        <v>2498</v>
      </c>
    </row>
    <row r="33" spans="1:35">
      <c r="A33" t="s">
        <v>2499</v>
      </c>
      <c r="B33" t="s">
        <v>2495</v>
      </c>
      <c r="C33" s="385">
        <v>46085</v>
      </c>
      <c r="D33" t="s">
        <v>2500</v>
      </c>
      <c r="E33">
        <v>50</v>
      </c>
      <c r="F33" s="19" t="s">
        <v>2377</v>
      </c>
      <c r="G33" s="19">
        <v>595</v>
      </c>
      <c r="H33" s="19">
        <v>900</v>
      </c>
      <c r="I33" s="19" t="s">
        <v>2501</v>
      </c>
      <c r="J33">
        <v>200</v>
      </c>
      <c r="K33" s="167">
        <v>50</v>
      </c>
      <c r="L33" s="167">
        <v>200</v>
      </c>
      <c r="M33" s="167">
        <v>35</v>
      </c>
      <c r="N33" t="s">
        <v>2377</v>
      </c>
      <c r="O33" t="s">
        <v>2377</v>
      </c>
      <c r="P33" t="s">
        <v>2377</v>
      </c>
      <c r="Q33" t="s">
        <v>2502</v>
      </c>
      <c r="R33">
        <v>200</v>
      </c>
      <c r="V33">
        <v>30</v>
      </c>
      <c r="X33">
        <v>100</v>
      </c>
      <c r="Y33">
        <v>10</v>
      </c>
      <c r="Z33">
        <v>5</v>
      </c>
      <c r="AA33" t="s">
        <v>2472</v>
      </c>
      <c r="AB33" t="s">
        <v>2465</v>
      </c>
      <c r="AD33" t="s">
        <v>2503</v>
      </c>
    </row>
    <row r="34" spans="1:35">
      <c r="A34" s="265" t="s">
        <v>2494</v>
      </c>
      <c r="B34" s="245"/>
      <c r="C34" s="386">
        <v>46085</v>
      </c>
      <c r="D34" s="245" t="s">
        <v>2429</v>
      </c>
      <c r="E34">
        <v>80</v>
      </c>
      <c r="F34" s="19" t="s">
        <v>2377</v>
      </c>
      <c r="G34" s="19">
        <v>610</v>
      </c>
      <c r="H34" s="19">
        <v>900</v>
      </c>
      <c r="I34" s="19">
        <v>1.5</v>
      </c>
      <c r="J34">
        <v>200</v>
      </c>
      <c r="K34" s="167" t="s">
        <v>2377</v>
      </c>
      <c r="L34" s="167" t="s">
        <v>2377</v>
      </c>
      <c r="M34" s="167" t="s">
        <v>2377</v>
      </c>
      <c r="N34" t="s">
        <v>2377</v>
      </c>
      <c r="O34">
        <v>50</v>
      </c>
      <c r="P34">
        <v>200</v>
      </c>
      <c r="Q34">
        <v>7</v>
      </c>
      <c r="R34">
        <v>200</v>
      </c>
      <c r="X34">
        <v>100</v>
      </c>
      <c r="Z34">
        <v>10</v>
      </c>
    </row>
    <row r="35" spans="1:35">
      <c r="A35" t="s">
        <v>2504</v>
      </c>
      <c r="B35" t="s">
        <v>2505</v>
      </c>
      <c r="C35" s="385">
        <v>46085</v>
      </c>
      <c r="E35">
        <v>50</v>
      </c>
      <c r="G35" s="19">
        <v>610</v>
      </c>
      <c r="H35" s="19">
        <v>900</v>
      </c>
      <c r="I35" s="19">
        <v>2</v>
      </c>
      <c r="J35">
        <v>200</v>
      </c>
      <c r="K35" s="167">
        <v>50</v>
      </c>
      <c r="L35" s="167">
        <v>200</v>
      </c>
      <c r="M35" s="167">
        <v>35</v>
      </c>
      <c r="N35" t="s">
        <v>2377</v>
      </c>
      <c r="O35" t="s">
        <v>2377</v>
      </c>
      <c r="P35" t="s">
        <v>2377</v>
      </c>
      <c r="Q35">
        <v>2.1</v>
      </c>
      <c r="R35" t="s">
        <v>2506</v>
      </c>
      <c r="V35" t="s">
        <v>2507</v>
      </c>
      <c r="X35">
        <v>100</v>
      </c>
      <c r="Y35" t="s">
        <v>2377</v>
      </c>
      <c r="Z35">
        <v>5</v>
      </c>
      <c r="AA35" t="s">
        <v>2472</v>
      </c>
      <c r="AB35" t="s">
        <v>2465</v>
      </c>
      <c r="AC35" t="s">
        <v>2508</v>
      </c>
    </row>
    <row r="36" spans="1:35">
      <c r="A36" t="s">
        <v>2509</v>
      </c>
      <c r="B36" t="s">
        <v>2504</v>
      </c>
      <c r="C36" s="385">
        <v>46116</v>
      </c>
      <c r="D36" t="s">
        <v>2510</v>
      </c>
      <c r="E36">
        <v>50</v>
      </c>
      <c r="G36" s="19">
        <v>610</v>
      </c>
      <c r="H36" s="19">
        <v>900</v>
      </c>
      <c r="I36" s="19">
        <v>2</v>
      </c>
      <c r="J36">
        <v>200</v>
      </c>
      <c r="K36" s="167">
        <v>50</v>
      </c>
      <c r="L36" s="167">
        <v>200</v>
      </c>
      <c r="M36" s="167">
        <v>35</v>
      </c>
      <c r="N36" t="s">
        <v>2377</v>
      </c>
      <c r="O36" t="s">
        <v>2377</v>
      </c>
      <c r="P36" t="s">
        <v>2377</v>
      </c>
      <c r="Q36">
        <v>3.5</v>
      </c>
      <c r="R36" t="s">
        <v>2511</v>
      </c>
      <c r="V36" t="s">
        <v>2507</v>
      </c>
      <c r="X36">
        <v>100</v>
      </c>
      <c r="Y36" t="s">
        <v>2377</v>
      </c>
      <c r="Z36">
        <v>5</v>
      </c>
      <c r="AA36" t="s">
        <v>2512</v>
      </c>
      <c r="AB36" t="s">
        <v>2465</v>
      </c>
      <c r="AD36" t="s">
        <v>2513</v>
      </c>
    </row>
    <row r="37" spans="1:35">
      <c r="A37" t="s">
        <v>2514</v>
      </c>
      <c r="B37" t="s">
        <v>2509</v>
      </c>
      <c r="C37" s="385">
        <v>46116</v>
      </c>
      <c r="D37" t="s">
        <v>2515</v>
      </c>
      <c r="E37">
        <v>50</v>
      </c>
      <c r="G37" s="19">
        <v>585</v>
      </c>
      <c r="H37" s="19">
        <v>900</v>
      </c>
      <c r="I37" s="19" t="s">
        <v>2516</v>
      </c>
      <c r="J37">
        <v>200</v>
      </c>
      <c r="K37" s="167">
        <v>50</v>
      </c>
      <c r="L37" s="167">
        <v>200</v>
      </c>
      <c r="M37" s="167">
        <v>35</v>
      </c>
      <c r="N37" t="s">
        <v>2377</v>
      </c>
      <c r="O37" t="s">
        <v>2377</v>
      </c>
      <c r="P37" t="s">
        <v>2377</v>
      </c>
      <c r="Q37">
        <v>3.5</v>
      </c>
      <c r="R37" t="s">
        <v>2511</v>
      </c>
      <c r="V37" t="s">
        <v>2507</v>
      </c>
      <c r="X37">
        <v>100</v>
      </c>
      <c r="Y37" s="221">
        <v>10</v>
      </c>
      <c r="Z37">
        <v>5</v>
      </c>
      <c r="AA37" t="s">
        <v>2512</v>
      </c>
      <c r="AB37" t="s">
        <v>2465</v>
      </c>
      <c r="AC37" t="s">
        <v>2517</v>
      </c>
      <c r="AD37" t="s">
        <v>2518</v>
      </c>
      <c r="AI37" s="221" t="s">
        <v>2519</v>
      </c>
    </row>
    <row r="38" spans="1:35">
      <c r="A38" t="s">
        <v>2520</v>
      </c>
      <c r="B38" t="s">
        <v>2514</v>
      </c>
      <c r="C38" s="385">
        <v>46116</v>
      </c>
      <c r="D38" t="s">
        <v>2521</v>
      </c>
      <c r="E38">
        <v>50</v>
      </c>
      <c r="G38" s="19">
        <v>585</v>
      </c>
      <c r="H38" s="19">
        <v>900</v>
      </c>
      <c r="I38" s="19" t="s">
        <v>2516</v>
      </c>
      <c r="J38">
        <v>200</v>
      </c>
      <c r="K38" s="167">
        <v>50</v>
      </c>
      <c r="L38" s="167">
        <v>200</v>
      </c>
      <c r="M38" s="167">
        <v>35</v>
      </c>
      <c r="N38" t="s">
        <v>2377</v>
      </c>
      <c r="O38">
        <v>20</v>
      </c>
      <c r="P38">
        <v>200</v>
      </c>
      <c r="Q38">
        <v>3.5</v>
      </c>
      <c r="R38" t="s">
        <v>2511</v>
      </c>
      <c r="V38" t="s">
        <v>2507</v>
      </c>
      <c r="X38">
        <v>100</v>
      </c>
      <c r="Y38" s="221">
        <v>10</v>
      </c>
      <c r="Z38">
        <v>5</v>
      </c>
      <c r="AA38" t="s">
        <v>2512</v>
      </c>
      <c r="AB38" t="s">
        <v>2465</v>
      </c>
      <c r="AC38" t="s">
        <v>2522</v>
      </c>
      <c r="AD38" t="s">
        <v>2523</v>
      </c>
      <c r="AI38" s="221" t="s">
        <v>2524</v>
      </c>
    </row>
    <row r="39" spans="1:35">
      <c r="A39" t="s">
        <v>2525</v>
      </c>
      <c r="B39" t="s">
        <v>2520</v>
      </c>
      <c r="C39" s="385">
        <v>46146</v>
      </c>
      <c r="E39" s="221">
        <v>60</v>
      </c>
      <c r="G39" s="19">
        <v>585</v>
      </c>
      <c r="H39" s="19">
        <v>900</v>
      </c>
      <c r="I39" s="19">
        <v>2</v>
      </c>
      <c r="J39">
        <v>200</v>
      </c>
      <c r="K39" s="167">
        <v>50</v>
      </c>
      <c r="L39" s="167">
        <v>200</v>
      </c>
      <c r="M39" s="167">
        <v>35</v>
      </c>
      <c r="N39" t="s">
        <v>2377</v>
      </c>
      <c r="O39">
        <v>20</v>
      </c>
      <c r="P39">
        <v>200</v>
      </c>
      <c r="Q39">
        <v>3.5</v>
      </c>
      <c r="R39" t="s">
        <v>2511</v>
      </c>
      <c r="V39" t="s">
        <v>2507</v>
      </c>
      <c r="X39">
        <v>100</v>
      </c>
      <c r="Y39">
        <v>10</v>
      </c>
      <c r="Z39">
        <v>5</v>
      </c>
      <c r="AA39" t="s">
        <v>2512</v>
      </c>
      <c r="AB39" t="s">
        <v>2465</v>
      </c>
      <c r="AC39" s="221" t="s">
        <v>2526</v>
      </c>
      <c r="AD39" t="s">
        <v>2527</v>
      </c>
      <c r="AI39" t="s">
        <v>2528</v>
      </c>
    </row>
    <row r="40" spans="1:35">
      <c r="A40" s="265" t="s">
        <v>2529</v>
      </c>
      <c r="B40" s="245"/>
      <c r="C40" s="386">
        <v>46146</v>
      </c>
      <c r="D40" s="245" t="s">
        <v>2429</v>
      </c>
      <c r="E40">
        <v>80</v>
      </c>
      <c r="F40" s="19" t="s">
        <v>2377</v>
      </c>
      <c r="G40" s="19">
        <v>610</v>
      </c>
      <c r="H40" s="19">
        <v>900</v>
      </c>
      <c r="I40" s="19">
        <v>1.5</v>
      </c>
      <c r="J40">
        <v>200</v>
      </c>
      <c r="K40" s="167" t="s">
        <v>2377</v>
      </c>
      <c r="L40" s="167" t="s">
        <v>2377</v>
      </c>
      <c r="M40" s="167" t="s">
        <v>2377</v>
      </c>
      <c r="N40" t="s">
        <v>2377</v>
      </c>
      <c r="O40">
        <v>50</v>
      </c>
      <c r="P40">
        <v>200</v>
      </c>
      <c r="Q40">
        <v>7</v>
      </c>
      <c r="R40">
        <v>200</v>
      </c>
      <c r="X40">
        <v>100</v>
      </c>
      <c r="Z40">
        <v>10</v>
      </c>
      <c r="AI40" t="s">
        <v>2530</v>
      </c>
    </row>
    <row r="41" spans="1:35">
      <c r="A41" t="s">
        <v>2531</v>
      </c>
      <c r="B41" t="s">
        <v>2525</v>
      </c>
      <c r="C41" s="385">
        <v>46146</v>
      </c>
      <c r="D41" t="s">
        <v>2532</v>
      </c>
      <c r="E41" s="206">
        <v>60</v>
      </c>
      <c r="G41" s="19">
        <v>585</v>
      </c>
      <c r="H41" s="19">
        <v>900</v>
      </c>
      <c r="I41" s="19">
        <v>2</v>
      </c>
      <c r="J41">
        <v>200</v>
      </c>
      <c r="K41" s="167">
        <v>50</v>
      </c>
      <c r="L41" s="167">
        <v>200</v>
      </c>
      <c r="M41" s="167">
        <v>35</v>
      </c>
      <c r="N41" t="s">
        <v>2377</v>
      </c>
      <c r="O41">
        <v>20</v>
      </c>
      <c r="P41">
        <v>200</v>
      </c>
      <c r="Q41">
        <v>3.5</v>
      </c>
      <c r="R41" t="s">
        <v>2511</v>
      </c>
      <c r="V41" t="s">
        <v>2507</v>
      </c>
      <c r="X41">
        <v>100</v>
      </c>
      <c r="Y41">
        <v>10</v>
      </c>
      <c r="Z41">
        <v>5</v>
      </c>
      <c r="AA41" t="s">
        <v>2512</v>
      </c>
      <c r="AB41" t="s">
        <v>2465</v>
      </c>
      <c r="AI41" t="s">
        <v>2533</v>
      </c>
    </row>
    <row r="42" spans="1:35" ht="15.95" customHeight="1">
      <c r="A42" s="265" t="s">
        <v>2534</v>
      </c>
      <c r="B42" t="s">
        <v>2429</v>
      </c>
      <c r="C42" s="385">
        <v>46177</v>
      </c>
      <c r="D42" s="889" t="s">
        <v>2535</v>
      </c>
      <c r="E42" s="206"/>
      <c r="J42" s="19"/>
      <c r="N42" s="167"/>
    </row>
    <row r="43" spans="1:35" ht="15.95" customHeight="1">
      <c r="A43" t="s">
        <v>2536</v>
      </c>
      <c r="C43" s="385">
        <v>46177</v>
      </c>
      <c r="D43" s="889"/>
      <c r="E43" s="206">
        <v>65</v>
      </c>
      <c r="G43" s="19">
        <v>585</v>
      </c>
      <c r="H43" s="19">
        <v>900</v>
      </c>
      <c r="I43" s="19">
        <v>2</v>
      </c>
      <c r="J43">
        <v>200</v>
      </c>
      <c r="K43" s="167">
        <v>50</v>
      </c>
      <c r="L43" s="167">
        <v>200</v>
      </c>
      <c r="M43" s="167">
        <v>35</v>
      </c>
      <c r="N43" t="s">
        <v>2377</v>
      </c>
      <c r="O43">
        <v>20</v>
      </c>
      <c r="P43">
        <v>200</v>
      </c>
      <c r="Q43">
        <v>3.5</v>
      </c>
      <c r="R43" t="s">
        <v>2511</v>
      </c>
      <c r="V43" t="s">
        <v>2507</v>
      </c>
      <c r="X43">
        <v>100</v>
      </c>
      <c r="Y43">
        <v>10</v>
      </c>
      <c r="Z43">
        <v>5</v>
      </c>
      <c r="AA43" t="s">
        <v>2512</v>
      </c>
      <c r="AB43" t="s">
        <v>2465</v>
      </c>
      <c r="AI43" t="s">
        <v>2537</v>
      </c>
    </row>
    <row r="44" spans="1:35" ht="15.95" customHeight="1">
      <c r="A44" s="265" t="s">
        <v>2538</v>
      </c>
      <c r="B44" t="s">
        <v>2429</v>
      </c>
      <c r="C44" s="385">
        <v>46177</v>
      </c>
      <c r="D44" s="889"/>
      <c r="E44" s="206"/>
    </row>
    <row r="45" spans="1:35" ht="15.95" customHeight="1">
      <c r="A45" t="s">
        <v>2539</v>
      </c>
      <c r="C45" s="385">
        <v>46177</v>
      </c>
      <c r="D45" s="889"/>
      <c r="E45" s="206">
        <v>70</v>
      </c>
      <c r="G45" s="19">
        <v>613</v>
      </c>
      <c r="H45" s="19">
        <v>900</v>
      </c>
      <c r="I45" s="19">
        <v>2</v>
      </c>
      <c r="J45">
        <v>200</v>
      </c>
      <c r="K45" s="167">
        <v>50</v>
      </c>
      <c r="L45" s="167">
        <v>200</v>
      </c>
      <c r="M45" s="167">
        <v>35</v>
      </c>
      <c r="N45" t="s">
        <v>2377</v>
      </c>
      <c r="O45">
        <v>20</v>
      </c>
      <c r="P45">
        <v>200</v>
      </c>
      <c r="Q45">
        <v>3.5</v>
      </c>
      <c r="R45" t="s">
        <v>2511</v>
      </c>
      <c r="V45" t="s">
        <v>2507</v>
      </c>
      <c r="X45">
        <v>100</v>
      </c>
      <c r="Y45">
        <v>10</v>
      </c>
      <c r="Z45">
        <v>5</v>
      </c>
      <c r="AA45" t="s">
        <v>2512</v>
      </c>
      <c r="AB45" t="s">
        <v>2465</v>
      </c>
      <c r="AD45" t="s">
        <v>2540</v>
      </c>
      <c r="AI45" t="s">
        <v>2541</v>
      </c>
    </row>
    <row r="46" spans="1:35">
      <c r="A46" s="265" t="s">
        <v>2542</v>
      </c>
      <c r="B46" t="s">
        <v>2429</v>
      </c>
      <c r="C46" s="385">
        <v>46207</v>
      </c>
      <c r="D46" s="885" t="s">
        <v>2543</v>
      </c>
    </row>
    <row r="47" spans="1:35" ht="15.95" customHeight="1">
      <c r="A47" t="s">
        <v>2544</v>
      </c>
      <c r="B47" t="s">
        <v>2539</v>
      </c>
      <c r="C47" s="385">
        <v>46207</v>
      </c>
      <c r="D47" s="885"/>
      <c r="E47">
        <v>70</v>
      </c>
      <c r="G47" s="19">
        <v>613</v>
      </c>
      <c r="H47" s="19">
        <v>900</v>
      </c>
      <c r="I47" s="19">
        <v>2</v>
      </c>
      <c r="J47">
        <v>200</v>
      </c>
      <c r="K47" s="167">
        <v>50</v>
      </c>
      <c r="L47" s="167">
        <v>200</v>
      </c>
      <c r="M47" s="167">
        <v>35</v>
      </c>
      <c r="N47" t="s">
        <v>2377</v>
      </c>
      <c r="O47" s="313">
        <v>50</v>
      </c>
      <c r="P47">
        <v>200</v>
      </c>
      <c r="Q47">
        <v>3.5</v>
      </c>
      <c r="R47" s="206" t="s">
        <v>2545</v>
      </c>
      <c r="V47" t="s">
        <v>2507</v>
      </c>
      <c r="X47">
        <v>100</v>
      </c>
      <c r="Y47">
        <v>10</v>
      </c>
      <c r="Z47">
        <v>5</v>
      </c>
      <c r="AA47" t="s">
        <v>2512</v>
      </c>
      <c r="AB47" t="s">
        <v>2465</v>
      </c>
      <c r="AC47" t="s">
        <v>2546</v>
      </c>
      <c r="AD47" t="s">
        <v>2547</v>
      </c>
      <c r="AI47" t="s">
        <v>2548</v>
      </c>
    </row>
    <row r="48" spans="1:35" ht="15.95" customHeight="1">
      <c r="A48" s="265" t="s">
        <v>2549</v>
      </c>
      <c r="B48" t="s">
        <v>2429</v>
      </c>
      <c r="C48" s="385">
        <v>46207</v>
      </c>
      <c r="D48" s="885"/>
    </row>
    <row r="49" spans="1:35" ht="15.95" customHeight="1">
      <c r="A49" t="s">
        <v>2550</v>
      </c>
      <c r="B49" t="s">
        <v>2544</v>
      </c>
      <c r="C49" s="385">
        <v>46207</v>
      </c>
      <c r="D49" s="885"/>
      <c r="E49">
        <v>70</v>
      </c>
      <c r="G49" s="19">
        <v>613</v>
      </c>
      <c r="H49" s="19">
        <v>900</v>
      </c>
      <c r="I49" s="19">
        <v>2</v>
      </c>
      <c r="J49">
        <v>200</v>
      </c>
      <c r="K49" s="167">
        <v>50</v>
      </c>
      <c r="L49" s="167">
        <v>200</v>
      </c>
      <c r="M49" s="167">
        <v>35</v>
      </c>
      <c r="N49" t="s">
        <v>2377</v>
      </c>
      <c r="O49">
        <v>50</v>
      </c>
      <c r="P49">
        <v>200</v>
      </c>
      <c r="Q49">
        <v>3.5</v>
      </c>
      <c r="R49" s="206" t="s">
        <v>2551</v>
      </c>
      <c r="V49" t="s">
        <v>2507</v>
      </c>
      <c r="X49">
        <v>100</v>
      </c>
      <c r="Y49">
        <v>10</v>
      </c>
      <c r="Z49">
        <v>5</v>
      </c>
      <c r="AA49" t="s">
        <v>2512</v>
      </c>
      <c r="AB49" t="s">
        <v>2465</v>
      </c>
      <c r="AD49" t="s">
        <v>2552</v>
      </c>
    </row>
    <row r="50" spans="1:35">
      <c r="A50" s="265" t="s">
        <v>2553</v>
      </c>
      <c r="C50" s="385">
        <v>46238</v>
      </c>
      <c r="D50" s="886" t="s">
        <v>2554</v>
      </c>
    </row>
    <row r="51" spans="1:35">
      <c r="A51" t="s">
        <v>2555</v>
      </c>
      <c r="B51" t="s">
        <v>2544</v>
      </c>
      <c r="C51" s="385">
        <v>46269</v>
      </c>
      <c r="D51" s="886"/>
      <c r="E51">
        <v>70</v>
      </c>
      <c r="G51" s="19">
        <v>580</v>
      </c>
      <c r="H51" s="19">
        <v>900</v>
      </c>
      <c r="I51" s="19">
        <v>2</v>
      </c>
      <c r="J51">
        <v>200</v>
      </c>
      <c r="K51" s="305">
        <v>50</v>
      </c>
      <c r="L51" s="305">
        <v>200</v>
      </c>
      <c r="M51" s="305">
        <v>30</v>
      </c>
      <c r="O51">
        <v>50</v>
      </c>
      <c r="P51">
        <v>200</v>
      </c>
      <c r="Q51">
        <v>3.5</v>
      </c>
      <c r="R51" t="s">
        <v>2545</v>
      </c>
      <c r="V51" t="s">
        <v>2507</v>
      </c>
      <c r="X51">
        <v>100</v>
      </c>
      <c r="Y51">
        <v>10</v>
      </c>
      <c r="Z51">
        <v>5</v>
      </c>
      <c r="AA51" t="s">
        <v>2512</v>
      </c>
      <c r="AB51" t="s">
        <v>2465</v>
      </c>
      <c r="AC51" s="329" t="s">
        <v>2556</v>
      </c>
      <c r="AD51" t="s">
        <v>2557</v>
      </c>
      <c r="AI51" t="s">
        <v>2558</v>
      </c>
    </row>
    <row r="52" spans="1:35">
      <c r="A52" s="265" t="s">
        <v>2559</v>
      </c>
      <c r="C52" s="385">
        <v>46269</v>
      </c>
      <c r="D52" s="886"/>
    </row>
    <row r="53" spans="1:35">
      <c r="A53" t="s">
        <v>2560</v>
      </c>
      <c r="B53" t="s">
        <v>2544</v>
      </c>
      <c r="C53" s="385">
        <v>46269</v>
      </c>
      <c r="D53" s="227" t="s">
        <v>2561</v>
      </c>
      <c r="E53">
        <v>70</v>
      </c>
      <c r="G53" s="19">
        <v>580</v>
      </c>
      <c r="H53" s="19">
        <v>900</v>
      </c>
      <c r="I53" s="19">
        <v>2</v>
      </c>
      <c r="J53">
        <v>200</v>
      </c>
      <c r="K53" s="167">
        <v>50</v>
      </c>
      <c r="L53" s="167">
        <v>200</v>
      </c>
      <c r="M53" s="167">
        <v>35</v>
      </c>
      <c r="O53">
        <v>50</v>
      </c>
      <c r="P53">
        <v>200</v>
      </c>
      <c r="Q53">
        <v>3.5</v>
      </c>
      <c r="R53" t="s">
        <v>2545</v>
      </c>
      <c r="V53" t="s">
        <v>2507</v>
      </c>
      <c r="X53">
        <v>100</v>
      </c>
      <c r="Y53">
        <v>10</v>
      </c>
      <c r="Z53">
        <v>5</v>
      </c>
      <c r="AA53" t="s">
        <v>2512</v>
      </c>
      <c r="AB53" t="s">
        <v>2465</v>
      </c>
      <c r="AC53" t="s">
        <v>2562</v>
      </c>
      <c r="AI53" t="s">
        <v>2563</v>
      </c>
    </row>
    <row r="54" spans="1:35">
      <c r="A54" s="265" t="s">
        <v>2564</v>
      </c>
      <c r="K54" s="305"/>
      <c r="L54" s="305"/>
      <c r="M54" s="305"/>
    </row>
    <row r="55" spans="1:35">
      <c r="A55" t="s">
        <v>2565</v>
      </c>
      <c r="B55" t="s">
        <v>223</v>
      </c>
      <c r="C55" s="385">
        <v>46360</v>
      </c>
      <c r="D55" s="227" t="s">
        <v>2561</v>
      </c>
      <c r="E55">
        <v>70</v>
      </c>
      <c r="H55" s="19">
        <v>900</v>
      </c>
      <c r="I55" s="19">
        <v>2</v>
      </c>
      <c r="J55">
        <v>200</v>
      </c>
      <c r="K55" s="167">
        <v>50</v>
      </c>
      <c r="L55" s="167">
        <v>200</v>
      </c>
      <c r="M55" s="167">
        <v>35</v>
      </c>
      <c r="O55">
        <v>50</v>
      </c>
      <c r="P55">
        <v>200</v>
      </c>
      <c r="Q55">
        <v>3.5</v>
      </c>
      <c r="R55" t="s">
        <v>2545</v>
      </c>
      <c r="V55" t="s">
        <v>2507</v>
      </c>
      <c r="X55">
        <v>100</v>
      </c>
      <c r="Y55">
        <v>10</v>
      </c>
      <c r="Z55">
        <v>5</v>
      </c>
      <c r="AA55" t="s">
        <v>2512</v>
      </c>
      <c r="AB55" t="s">
        <v>2465</v>
      </c>
      <c r="AC55" t="s">
        <v>2566</v>
      </c>
      <c r="AD55" t="s">
        <v>2567</v>
      </c>
      <c r="AI55" t="s">
        <v>2568</v>
      </c>
    </row>
    <row r="56" spans="1:35">
      <c r="A56" s="265" t="s">
        <v>2569</v>
      </c>
      <c r="B56" t="s">
        <v>2429</v>
      </c>
      <c r="AC56" t="s">
        <v>2570</v>
      </c>
    </row>
    <row r="57" spans="1:35">
      <c r="A57" t="s">
        <v>2571</v>
      </c>
      <c r="B57" t="s">
        <v>223</v>
      </c>
      <c r="C57" s="385">
        <v>46360</v>
      </c>
      <c r="D57" s="227" t="s">
        <v>2572</v>
      </c>
      <c r="E57">
        <v>70</v>
      </c>
      <c r="H57" s="19">
        <v>900</v>
      </c>
      <c r="I57" s="19">
        <v>2</v>
      </c>
      <c r="J57">
        <v>200</v>
      </c>
      <c r="K57" s="167">
        <v>50</v>
      </c>
      <c r="L57" s="167">
        <v>200</v>
      </c>
      <c r="M57" s="167">
        <v>35</v>
      </c>
      <c r="O57" s="206">
        <v>100</v>
      </c>
      <c r="P57">
        <v>200</v>
      </c>
      <c r="Q57">
        <v>3.5</v>
      </c>
      <c r="R57" t="s">
        <v>2545</v>
      </c>
      <c r="V57" t="s">
        <v>2507</v>
      </c>
      <c r="X57">
        <v>100</v>
      </c>
      <c r="Y57">
        <v>10</v>
      </c>
      <c r="Z57">
        <v>5</v>
      </c>
      <c r="AA57" t="s">
        <v>2512</v>
      </c>
      <c r="AB57" t="s">
        <v>2465</v>
      </c>
      <c r="AC57" t="s">
        <v>2573</v>
      </c>
      <c r="AD57" t="s">
        <v>2574</v>
      </c>
    </row>
    <row r="58" spans="1:35">
      <c r="A58" s="265" t="s">
        <v>2575</v>
      </c>
    </row>
    <row r="59" spans="1:35">
      <c r="A59" t="s">
        <v>2576</v>
      </c>
      <c r="B59" t="s">
        <v>2565</v>
      </c>
      <c r="C59" s="385" t="s">
        <v>2577</v>
      </c>
      <c r="D59" s="227" t="s">
        <v>2578</v>
      </c>
      <c r="E59">
        <v>70</v>
      </c>
      <c r="G59" s="19">
        <v>560</v>
      </c>
      <c r="H59" s="19">
        <v>900</v>
      </c>
      <c r="I59" s="19">
        <v>2</v>
      </c>
      <c r="J59">
        <v>200</v>
      </c>
      <c r="K59" s="167">
        <v>50</v>
      </c>
      <c r="L59" s="167">
        <v>200</v>
      </c>
      <c r="M59" s="167">
        <v>35</v>
      </c>
      <c r="O59">
        <v>50</v>
      </c>
      <c r="P59">
        <v>200</v>
      </c>
      <c r="Q59" s="206">
        <v>4.5</v>
      </c>
      <c r="R59" t="s">
        <v>2545</v>
      </c>
      <c r="V59" t="s">
        <v>2507</v>
      </c>
      <c r="X59">
        <v>100</v>
      </c>
      <c r="Y59">
        <v>10</v>
      </c>
      <c r="Z59">
        <v>5</v>
      </c>
      <c r="AA59" t="s">
        <v>2579</v>
      </c>
      <c r="AB59" t="s">
        <v>2465</v>
      </c>
      <c r="AC59" t="s">
        <v>2580</v>
      </c>
      <c r="AD59" t="s">
        <v>2581</v>
      </c>
      <c r="AI59" t="s">
        <v>2582</v>
      </c>
    </row>
    <row r="60" spans="1:35">
      <c r="A60" t="s">
        <v>2583</v>
      </c>
      <c r="B60" t="s">
        <v>2576</v>
      </c>
      <c r="C60" s="385" t="s">
        <v>2584</v>
      </c>
      <c r="D60" s="227" t="s">
        <v>2585</v>
      </c>
      <c r="E60">
        <v>70</v>
      </c>
      <c r="G60" s="19">
        <v>560</v>
      </c>
      <c r="H60" s="19">
        <v>900</v>
      </c>
      <c r="I60" s="19">
        <v>2</v>
      </c>
      <c r="J60">
        <v>200</v>
      </c>
      <c r="K60" s="305">
        <v>100</v>
      </c>
      <c r="L60" s="167">
        <v>200</v>
      </c>
      <c r="M60" s="167">
        <v>35</v>
      </c>
      <c r="O60">
        <v>50</v>
      </c>
      <c r="P60">
        <v>200</v>
      </c>
      <c r="Q60">
        <v>4.5</v>
      </c>
      <c r="R60" t="s">
        <v>2545</v>
      </c>
      <c r="V60" t="s">
        <v>2507</v>
      </c>
      <c r="X60">
        <v>100</v>
      </c>
      <c r="Y60">
        <v>10</v>
      </c>
      <c r="Z60">
        <v>5</v>
      </c>
      <c r="AA60" t="s">
        <v>2579</v>
      </c>
      <c r="AB60" t="s">
        <v>2465</v>
      </c>
      <c r="AD60" t="s">
        <v>2586</v>
      </c>
    </row>
    <row r="61" spans="1:35">
      <c r="A61" t="s">
        <v>2587</v>
      </c>
      <c r="B61" t="s">
        <v>223</v>
      </c>
      <c r="C61" s="385" t="s">
        <v>2588</v>
      </c>
      <c r="D61" t="s">
        <v>2589</v>
      </c>
      <c r="E61">
        <v>70</v>
      </c>
      <c r="G61" s="19">
        <v>633</v>
      </c>
      <c r="H61" s="19">
        <v>900</v>
      </c>
      <c r="I61" s="19">
        <v>2</v>
      </c>
      <c r="J61">
        <v>200</v>
      </c>
      <c r="K61" s="167">
        <v>100</v>
      </c>
      <c r="L61" s="167">
        <v>200</v>
      </c>
      <c r="M61" s="167">
        <v>35</v>
      </c>
      <c r="O61">
        <v>50</v>
      </c>
      <c r="P61">
        <v>200</v>
      </c>
      <c r="Q61">
        <v>4.5</v>
      </c>
      <c r="R61" t="s">
        <v>2511</v>
      </c>
      <c r="V61" t="s">
        <v>2507</v>
      </c>
      <c r="X61" t="s">
        <v>2590</v>
      </c>
      <c r="Y61">
        <v>10</v>
      </c>
      <c r="Z61">
        <v>5</v>
      </c>
      <c r="AA61" t="s">
        <v>2579</v>
      </c>
      <c r="AB61" t="s">
        <v>2465</v>
      </c>
      <c r="AC61" t="s">
        <v>2591</v>
      </c>
      <c r="AD61" t="s">
        <v>2592</v>
      </c>
    </row>
    <row r="62" spans="1:35">
      <c r="A62" t="s">
        <v>2593</v>
      </c>
      <c r="B62" t="s">
        <v>2587</v>
      </c>
      <c r="C62" s="385" t="s">
        <v>2588</v>
      </c>
      <c r="D62" t="s">
        <v>2594</v>
      </c>
      <c r="E62">
        <v>70</v>
      </c>
      <c r="G62" s="19">
        <v>631</v>
      </c>
      <c r="H62" s="19">
        <v>900</v>
      </c>
      <c r="I62" s="19">
        <v>2</v>
      </c>
      <c r="J62">
        <v>200</v>
      </c>
      <c r="K62" s="167">
        <v>100</v>
      </c>
      <c r="L62" s="167">
        <v>200</v>
      </c>
      <c r="M62" s="167">
        <v>35</v>
      </c>
      <c r="O62">
        <v>50</v>
      </c>
      <c r="P62">
        <v>200</v>
      </c>
      <c r="Q62">
        <v>4.5</v>
      </c>
      <c r="R62" t="s">
        <v>2511</v>
      </c>
      <c r="V62" t="s">
        <v>2595</v>
      </c>
      <c r="X62" t="s">
        <v>2590</v>
      </c>
      <c r="Y62">
        <v>10</v>
      </c>
      <c r="Z62">
        <v>5</v>
      </c>
      <c r="AA62" t="s">
        <v>2579</v>
      </c>
      <c r="AB62" t="s">
        <v>2465</v>
      </c>
      <c r="AD62" t="s">
        <v>2596</v>
      </c>
    </row>
    <row r="63" spans="1:35">
      <c r="A63" t="s">
        <v>2597</v>
      </c>
      <c r="B63" t="s">
        <v>2593</v>
      </c>
      <c r="C63" s="385" t="s">
        <v>2588</v>
      </c>
      <c r="D63" t="s">
        <v>2598</v>
      </c>
      <c r="E63">
        <v>70</v>
      </c>
      <c r="G63" s="19">
        <v>632</v>
      </c>
      <c r="H63" s="19">
        <v>900</v>
      </c>
      <c r="I63" s="19">
        <v>2</v>
      </c>
      <c r="J63">
        <v>200</v>
      </c>
      <c r="K63" s="167">
        <v>100</v>
      </c>
      <c r="L63" s="167">
        <v>200</v>
      </c>
      <c r="M63" s="167">
        <v>35</v>
      </c>
      <c r="O63">
        <v>50</v>
      </c>
      <c r="P63">
        <v>200</v>
      </c>
      <c r="Q63" s="206">
        <v>3.5</v>
      </c>
      <c r="R63" t="s">
        <v>2511</v>
      </c>
      <c r="V63" t="s">
        <v>2595</v>
      </c>
      <c r="X63" t="s">
        <v>2590</v>
      </c>
      <c r="Y63">
        <v>10</v>
      </c>
      <c r="Z63">
        <v>5</v>
      </c>
      <c r="AA63" t="s">
        <v>2512</v>
      </c>
      <c r="AB63" t="s">
        <v>2465</v>
      </c>
      <c r="AD63" t="s">
        <v>2599</v>
      </c>
      <c r="AI63" t="s">
        <v>2600</v>
      </c>
    </row>
    <row r="64" spans="1:35">
      <c r="A64" t="s">
        <v>2601</v>
      </c>
      <c r="B64" t="s">
        <v>2597</v>
      </c>
      <c r="C64" s="385" t="s">
        <v>2602</v>
      </c>
      <c r="D64" s="338" t="s">
        <v>2603</v>
      </c>
      <c r="E64" s="206">
        <v>60</v>
      </c>
      <c r="G64" s="19">
        <v>640</v>
      </c>
      <c r="H64" s="19">
        <v>900</v>
      </c>
      <c r="I64" s="19">
        <v>2</v>
      </c>
      <c r="J64">
        <v>200</v>
      </c>
      <c r="K64" s="167">
        <v>100</v>
      </c>
      <c r="L64" s="167">
        <v>200</v>
      </c>
      <c r="M64" s="167">
        <v>35</v>
      </c>
      <c r="O64">
        <v>50</v>
      </c>
      <c r="P64">
        <v>200</v>
      </c>
      <c r="Q64">
        <v>3.5</v>
      </c>
      <c r="R64" t="s">
        <v>2511</v>
      </c>
      <c r="V64" t="s">
        <v>2595</v>
      </c>
      <c r="X64" t="s">
        <v>2590</v>
      </c>
      <c r="Y64">
        <v>10</v>
      </c>
      <c r="Z64">
        <v>5</v>
      </c>
      <c r="AA64" t="s">
        <v>2512</v>
      </c>
      <c r="AB64" t="s">
        <v>2465</v>
      </c>
      <c r="AC64" t="s">
        <v>2604</v>
      </c>
      <c r="AD64" t="s">
        <v>2605</v>
      </c>
      <c r="AI64" t="s">
        <v>2606</v>
      </c>
    </row>
    <row r="65" spans="1:35">
      <c r="A65" t="s">
        <v>2607</v>
      </c>
      <c r="B65" t="s">
        <v>2601</v>
      </c>
      <c r="C65" s="385" t="s">
        <v>2602</v>
      </c>
      <c r="D65" s="338"/>
      <c r="E65" s="206">
        <v>50</v>
      </c>
      <c r="H65" s="19">
        <v>900</v>
      </c>
      <c r="I65" s="19">
        <v>2</v>
      </c>
      <c r="J65">
        <v>200</v>
      </c>
      <c r="K65" s="167">
        <v>100</v>
      </c>
      <c r="L65" s="167">
        <v>200</v>
      </c>
      <c r="M65" s="167">
        <v>35</v>
      </c>
      <c r="O65">
        <v>50</v>
      </c>
      <c r="P65">
        <v>200</v>
      </c>
      <c r="Q65">
        <v>3.5</v>
      </c>
      <c r="R65" t="s">
        <v>2511</v>
      </c>
      <c r="V65" t="s">
        <v>2595</v>
      </c>
      <c r="X65" t="s">
        <v>2590</v>
      </c>
      <c r="Y65">
        <v>10</v>
      </c>
      <c r="Z65">
        <v>5</v>
      </c>
      <c r="AA65" t="s">
        <v>2512</v>
      </c>
      <c r="AB65" t="s">
        <v>2465</v>
      </c>
      <c r="AD65" t="s">
        <v>2608</v>
      </c>
      <c r="AI65" t="s">
        <v>2609</v>
      </c>
    </row>
    <row r="66" spans="1:35">
      <c r="A66" t="s">
        <v>2610</v>
      </c>
      <c r="B66" t="s">
        <v>2601</v>
      </c>
      <c r="C66" s="385" t="s">
        <v>2602</v>
      </c>
      <c r="D66" t="s">
        <v>2611</v>
      </c>
      <c r="E66">
        <v>60</v>
      </c>
      <c r="G66" s="19">
        <v>640</v>
      </c>
      <c r="H66" s="19">
        <v>900</v>
      </c>
      <c r="I66" s="19">
        <v>2</v>
      </c>
      <c r="J66">
        <v>200</v>
      </c>
      <c r="K66" s="167">
        <v>100</v>
      </c>
      <c r="L66" s="167">
        <v>200</v>
      </c>
      <c r="M66" s="167">
        <v>35</v>
      </c>
      <c r="O66">
        <v>50</v>
      </c>
      <c r="P66">
        <v>200</v>
      </c>
      <c r="Q66">
        <v>3.5</v>
      </c>
      <c r="R66" t="s">
        <v>2511</v>
      </c>
      <c r="V66" t="s">
        <v>2595</v>
      </c>
      <c r="X66" t="s">
        <v>2590</v>
      </c>
      <c r="Y66">
        <v>10</v>
      </c>
      <c r="Z66">
        <v>5</v>
      </c>
      <c r="AA66" t="s">
        <v>2512</v>
      </c>
      <c r="AB66" s="206" t="s">
        <v>2612</v>
      </c>
      <c r="AD66" t="s">
        <v>2613</v>
      </c>
    </row>
    <row r="67" spans="1:35">
      <c r="A67" t="s">
        <v>2614</v>
      </c>
      <c r="B67" t="s">
        <v>2610</v>
      </c>
      <c r="C67" s="385" t="s">
        <v>2602</v>
      </c>
      <c r="D67" s="341" t="s">
        <v>2615</v>
      </c>
      <c r="E67">
        <v>60</v>
      </c>
      <c r="G67" s="19">
        <v>640</v>
      </c>
      <c r="H67" s="19">
        <v>900</v>
      </c>
      <c r="I67" s="19">
        <v>2</v>
      </c>
      <c r="J67">
        <v>200</v>
      </c>
      <c r="K67" s="167">
        <v>100</v>
      </c>
      <c r="L67" s="305">
        <v>400</v>
      </c>
      <c r="M67" s="167">
        <v>35</v>
      </c>
      <c r="O67">
        <v>50</v>
      </c>
      <c r="P67">
        <v>200</v>
      </c>
      <c r="Q67">
        <v>3.5</v>
      </c>
      <c r="R67" t="s">
        <v>2511</v>
      </c>
      <c r="V67" t="s">
        <v>2595</v>
      </c>
      <c r="X67" t="s">
        <v>2590</v>
      </c>
      <c r="Y67">
        <v>10</v>
      </c>
      <c r="Z67">
        <v>5</v>
      </c>
      <c r="AA67" t="s">
        <v>2512</v>
      </c>
      <c r="AB67" t="s">
        <v>2612</v>
      </c>
      <c r="AD67" t="s">
        <v>2616</v>
      </c>
    </row>
    <row r="68" spans="1:35">
      <c r="A68" t="s">
        <v>2617</v>
      </c>
      <c r="B68" t="s">
        <v>2614</v>
      </c>
      <c r="C68" s="385" t="s">
        <v>2618</v>
      </c>
      <c r="D68" s="341"/>
      <c r="E68">
        <v>60</v>
      </c>
      <c r="G68" s="19">
        <v>640</v>
      </c>
      <c r="H68" s="19">
        <v>900</v>
      </c>
      <c r="I68" s="19">
        <v>2</v>
      </c>
      <c r="J68" s="206">
        <v>220</v>
      </c>
      <c r="K68" s="305">
        <v>80</v>
      </c>
      <c r="L68" s="167">
        <v>400</v>
      </c>
      <c r="M68" s="167">
        <v>35</v>
      </c>
      <c r="O68">
        <v>50</v>
      </c>
      <c r="P68">
        <v>200</v>
      </c>
      <c r="Q68">
        <v>3.5</v>
      </c>
      <c r="R68" t="s">
        <v>2511</v>
      </c>
      <c r="V68" t="s">
        <v>2595</v>
      </c>
      <c r="X68" t="s">
        <v>2590</v>
      </c>
      <c r="Y68">
        <v>10</v>
      </c>
      <c r="Z68">
        <v>5</v>
      </c>
      <c r="AA68" t="s">
        <v>2512</v>
      </c>
      <c r="AB68" t="s">
        <v>2612</v>
      </c>
      <c r="AC68" t="s">
        <v>2619</v>
      </c>
    </row>
    <row r="69" spans="1:35">
      <c r="A69" t="s">
        <v>2620</v>
      </c>
      <c r="B69" t="s">
        <v>2614</v>
      </c>
      <c r="C69" s="385" t="s">
        <v>2618</v>
      </c>
      <c r="D69" t="s">
        <v>826</v>
      </c>
      <c r="E69">
        <v>60</v>
      </c>
      <c r="G69" s="19">
        <v>640</v>
      </c>
      <c r="H69" s="19">
        <v>900</v>
      </c>
      <c r="I69" s="19">
        <v>2</v>
      </c>
      <c r="J69">
        <v>200</v>
      </c>
      <c r="K69" s="167">
        <v>100</v>
      </c>
      <c r="L69" s="167">
        <v>400</v>
      </c>
      <c r="M69" s="167">
        <v>35</v>
      </c>
      <c r="O69">
        <v>50</v>
      </c>
      <c r="P69">
        <v>200</v>
      </c>
      <c r="Q69">
        <v>3.5</v>
      </c>
      <c r="R69" t="s">
        <v>2511</v>
      </c>
      <c r="V69" t="s">
        <v>2595</v>
      </c>
      <c r="X69" t="s">
        <v>2590</v>
      </c>
      <c r="Y69">
        <v>10</v>
      </c>
      <c r="Z69">
        <v>5</v>
      </c>
      <c r="AA69" s="206" t="s">
        <v>2612</v>
      </c>
      <c r="AB69" t="s">
        <v>2612</v>
      </c>
    </row>
    <row r="70" spans="1:35">
      <c r="A70" t="s">
        <v>2621</v>
      </c>
      <c r="B70" t="s">
        <v>2620</v>
      </c>
      <c r="C70" s="385" t="s">
        <v>2618</v>
      </c>
      <c r="D70" s="341" t="s">
        <v>2622</v>
      </c>
      <c r="E70">
        <v>60</v>
      </c>
      <c r="G70" s="19">
        <v>640</v>
      </c>
      <c r="H70" s="19">
        <v>900</v>
      </c>
      <c r="I70" s="19">
        <v>2</v>
      </c>
      <c r="J70" s="206">
        <v>220</v>
      </c>
      <c r="K70" s="305">
        <v>80</v>
      </c>
      <c r="L70" s="167">
        <v>400</v>
      </c>
      <c r="M70" s="167">
        <v>35</v>
      </c>
      <c r="O70">
        <v>50</v>
      </c>
      <c r="P70">
        <v>200</v>
      </c>
      <c r="Q70">
        <v>3.5</v>
      </c>
      <c r="R70" t="s">
        <v>2511</v>
      </c>
      <c r="V70" t="s">
        <v>2595</v>
      </c>
      <c r="X70" t="s">
        <v>2590</v>
      </c>
      <c r="Y70">
        <v>10</v>
      </c>
      <c r="Z70">
        <v>5</v>
      </c>
      <c r="AA70" t="s">
        <v>2612</v>
      </c>
      <c r="AB70" t="s">
        <v>2612</v>
      </c>
      <c r="AD70" t="s">
        <v>2623</v>
      </c>
      <c r="AE70" t="s">
        <v>2624</v>
      </c>
    </row>
    <row r="71" spans="1:35">
      <c r="A71" t="s">
        <v>2625</v>
      </c>
      <c r="B71" t="s">
        <v>2620</v>
      </c>
      <c r="C71" s="385" t="s">
        <v>2618</v>
      </c>
      <c r="D71" s="341" t="s">
        <v>2626</v>
      </c>
      <c r="E71">
        <v>60</v>
      </c>
      <c r="G71" s="19">
        <v>640</v>
      </c>
      <c r="H71" s="19">
        <v>900</v>
      </c>
      <c r="I71" s="19">
        <v>2</v>
      </c>
      <c r="J71">
        <v>200</v>
      </c>
      <c r="K71" s="167">
        <v>100</v>
      </c>
      <c r="L71" s="305">
        <v>350</v>
      </c>
      <c r="M71" s="167">
        <v>35</v>
      </c>
      <c r="O71">
        <v>50</v>
      </c>
      <c r="P71">
        <v>200</v>
      </c>
      <c r="Q71">
        <v>3.5</v>
      </c>
      <c r="R71" t="s">
        <v>2511</v>
      </c>
      <c r="V71" t="s">
        <v>2595</v>
      </c>
      <c r="X71" t="s">
        <v>2590</v>
      </c>
      <c r="Y71">
        <v>10</v>
      </c>
      <c r="Z71">
        <v>5</v>
      </c>
      <c r="AA71" t="s">
        <v>2612</v>
      </c>
      <c r="AB71" t="s">
        <v>2612</v>
      </c>
    </row>
    <row r="72" spans="1:35">
      <c r="A72" t="s">
        <v>2627</v>
      </c>
      <c r="B72" t="s">
        <v>2620</v>
      </c>
      <c r="C72" s="385" t="s">
        <v>2628</v>
      </c>
      <c r="D72" s="343" t="s">
        <v>2629</v>
      </c>
      <c r="E72">
        <v>60</v>
      </c>
      <c r="G72" s="19">
        <v>640</v>
      </c>
      <c r="H72" s="19">
        <v>900</v>
      </c>
      <c r="I72" s="19">
        <v>2</v>
      </c>
      <c r="J72">
        <v>200</v>
      </c>
      <c r="K72" s="167">
        <v>100</v>
      </c>
      <c r="L72" s="167">
        <v>400</v>
      </c>
      <c r="M72" s="167">
        <v>35</v>
      </c>
      <c r="O72">
        <v>50</v>
      </c>
      <c r="P72">
        <v>200</v>
      </c>
      <c r="Q72">
        <v>3.5</v>
      </c>
      <c r="R72" t="s">
        <v>2511</v>
      </c>
      <c r="V72" s="206" t="s">
        <v>2630</v>
      </c>
      <c r="W72" s="206"/>
      <c r="X72" t="s">
        <v>2590</v>
      </c>
      <c r="Y72">
        <v>10</v>
      </c>
      <c r="Z72">
        <v>5</v>
      </c>
      <c r="AA72" s="206" t="s">
        <v>2631</v>
      </c>
      <c r="AB72" t="s">
        <v>2612</v>
      </c>
      <c r="AD72" t="s">
        <v>2632</v>
      </c>
    </row>
    <row r="73" spans="1:35">
      <c r="A73" s="265" t="s">
        <v>2633</v>
      </c>
      <c r="C73" s="385" t="s">
        <v>2628</v>
      </c>
    </row>
    <row r="74" spans="1:35">
      <c r="A74" t="s">
        <v>2634</v>
      </c>
      <c r="B74" t="s">
        <v>2614</v>
      </c>
      <c r="C74" s="385" t="s">
        <v>2628</v>
      </c>
      <c r="D74" s="343" t="s">
        <v>2635</v>
      </c>
      <c r="E74">
        <v>60</v>
      </c>
      <c r="G74" s="19">
        <v>630</v>
      </c>
      <c r="H74" s="19">
        <v>900</v>
      </c>
      <c r="I74" s="19">
        <v>2</v>
      </c>
      <c r="J74">
        <v>200</v>
      </c>
      <c r="K74" s="167">
        <v>100</v>
      </c>
      <c r="L74" s="167">
        <v>400</v>
      </c>
      <c r="M74" s="167">
        <v>35</v>
      </c>
      <c r="O74">
        <v>50</v>
      </c>
      <c r="P74">
        <v>200</v>
      </c>
      <c r="Q74">
        <v>3.5</v>
      </c>
      <c r="R74" t="s">
        <v>2511</v>
      </c>
      <c r="V74" s="206" t="s">
        <v>2630</v>
      </c>
      <c r="W74" s="206"/>
      <c r="X74" t="s">
        <v>2590</v>
      </c>
      <c r="Y74">
        <v>10</v>
      </c>
      <c r="Z74">
        <v>5</v>
      </c>
      <c r="AA74" t="s">
        <v>2512</v>
      </c>
      <c r="AB74" t="s">
        <v>2612</v>
      </c>
      <c r="AD74" t="s">
        <v>2636</v>
      </c>
    </row>
    <row r="75" spans="1:35">
      <c r="A75" t="s">
        <v>2637</v>
      </c>
      <c r="B75" t="s">
        <v>2614</v>
      </c>
      <c r="C75" s="385" t="s">
        <v>2628</v>
      </c>
      <c r="D75" s="338" t="s">
        <v>2638</v>
      </c>
      <c r="E75">
        <v>60</v>
      </c>
      <c r="G75" s="19">
        <v>633</v>
      </c>
      <c r="H75" s="346">
        <v>950</v>
      </c>
      <c r="I75" s="19">
        <v>2</v>
      </c>
      <c r="J75">
        <v>200</v>
      </c>
      <c r="K75" s="167">
        <v>100</v>
      </c>
      <c r="L75" s="167">
        <v>400</v>
      </c>
      <c r="M75" s="167">
        <v>35</v>
      </c>
      <c r="O75">
        <v>50</v>
      </c>
      <c r="P75">
        <v>200</v>
      </c>
      <c r="Q75">
        <v>3.5</v>
      </c>
      <c r="R75" t="s">
        <v>2511</v>
      </c>
      <c r="V75" t="s">
        <v>2595</v>
      </c>
      <c r="X75" t="s">
        <v>2590</v>
      </c>
      <c r="Y75">
        <v>10</v>
      </c>
      <c r="Z75">
        <v>5</v>
      </c>
      <c r="AA75" t="s">
        <v>2512</v>
      </c>
      <c r="AB75" t="s">
        <v>2612</v>
      </c>
      <c r="AD75" s="329" t="s">
        <v>2639</v>
      </c>
      <c r="AE75" t="s">
        <v>2640</v>
      </c>
      <c r="AF75" t="s">
        <v>2641</v>
      </c>
      <c r="AG75" t="s">
        <v>2642</v>
      </c>
    </row>
    <row r="76" spans="1:35">
      <c r="A76" t="s">
        <v>2643</v>
      </c>
      <c r="B76" t="s">
        <v>2637</v>
      </c>
      <c r="C76" s="385" t="s">
        <v>2644</v>
      </c>
      <c r="D76" s="338" t="s">
        <v>2645</v>
      </c>
      <c r="E76">
        <v>60</v>
      </c>
      <c r="G76" s="19">
        <v>633</v>
      </c>
      <c r="H76" s="346">
        <v>950</v>
      </c>
      <c r="I76" s="19">
        <v>2</v>
      </c>
      <c r="J76">
        <v>200</v>
      </c>
      <c r="K76" s="167">
        <v>100</v>
      </c>
      <c r="L76" s="167">
        <v>400</v>
      </c>
      <c r="M76" s="167">
        <v>35</v>
      </c>
      <c r="O76">
        <v>50</v>
      </c>
      <c r="P76">
        <v>200</v>
      </c>
      <c r="Q76">
        <v>3.5</v>
      </c>
      <c r="R76" t="s">
        <v>2511</v>
      </c>
      <c r="V76" t="s">
        <v>2595</v>
      </c>
      <c r="X76" t="s">
        <v>2590</v>
      </c>
      <c r="Y76">
        <v>10</v>
      </c>
      <c r="Z76">
        <v>5</v>
      </c>
      <c r="AA76" t="s">
        <v>2512</v>
      </c>
      <c r="AB76" t="s">
        <v>2612</v>
      </c>
      <c r="AD76" t="s">
        <v>2646</v>
      </c>
      <c r="AE76" t="s">
        <v>2640</v>
      </c>
      <c r="AF76" t="s">
        <v>2647</v>
      </c>
      <c r="AG76" t="s">
        <v>2648</v>
      </c>
    </row>
    <row r="77" spans="1:35">
      <c r="A77" t="s">
        <v>2649</v>
      </c>
      <c r="B77" t="s">
        <v>2637</v>
      </c>
      <c r="C77" s="385" t="s">
        <v>2644</v>
      </c>
      <c r="D77" s="345" t="s">
        <v>2650</v>
      </c>
      <c r="E77">
        <v>60</v>
      </c>
      <c r="G77" s="19">
        <v>633</v>
      </c>
      <c r="H77" s="346">
        <v>970</v>
      </c>
      <c r="I77" s="19">
        <v>2</v>
      </c>
      <c r="J77">
        <v>200</v>
      </c>
      <c r="K77" s="167">
        <v>100</v>
      </c>
      <c r="L77" s="167">
        <v>400</v>
      </c>
      <c r="M77" s="167">
        <v>35</v>
      </c>
      <c r="O77">
        <v>50</v>
      </c>
      <c r="P77">
        <v>200</v>
      </c>
      <c r="Q77">
        <v>3.5</v>
      </c>
      <c r="R77" t="s">
        <v>2511</v>
      </c>
      <c r="V77" t="s">
        <v>2595</v>
      </c>
      <c r="X77" t="s">
        <v>2590</v>
      </c>
      <c r="Y77">
        <v>10</v>
      </c>
      <c r="Z77">
        <v>5</v>
      </c>
      <c r="AA77" t="s">
        <v>2512</v>
      </c>
      <c r="AB77" t="s">
        <v>2612</v>
      </c>
      <c r="AD77" t="s">
        <v>2651</v>
      </c>
      <c r="AF77" t="s">
        <v>2652</v>
      </c>
      <c r="AG77" t="s">
        <v>2642</v>
      </c>
    </row>
    <row r="78" spans="1:35">
      <c r="A78" t="s">
        <v>2653</v>
      </c>
      <c r="B78" t="s">
        <v>2649</v>
      </c>
      <c r="C78" s="385" t="s">
        <v>2654</v>
      </c>
      <c r="D78" s="349" t="s">
        <v>2655</v>
      </c>
      <c r="E78">
        <v>60</v>
      </c>
      <c r="G78" s="19">
        <v>633</v>
      </c>
      <c r="H78" s="346">
        <v>950</v>
      </c>
      <c r="I78" s="19">
        <v>2</v>
      </c>
      <c r="J78">
        <v>200</v>
      </c>
      <c r="K78" s="167">
        <v>100</v>
      </c>
      <c r="L78" s="167">
        <v>400</v>
      </c>
      <c r="M78" s="167">
        <v>35</v>
      </c>
      <c r="O78">
        <v>50</v>
      </c>
      <c r="P78">
        <v>200</v>
      </c>
      <c r="Q78">
        <v>3.5</v>
      </c>
      <c r="R78" t="s">
        <v>2511</v>
      </c>
      <c r="V78" t="s">
        <v>2595</v>
      </c>
      <c r="X78" t="s">
        <v>2590</v>
      </c>
      <c r="Y78">
        <v>10</v>
      </c>
      <c r="Z78">
        <v>5</v>
      </c>
      <c r="AA78" t="s">
        <v>2512</v>
      </c>
      <c r="AB78" t="s">
        <v>2612</v>
      </c>
      <c r="AD78" s="633" t="s">
        <v>2656</v>
      </c>
      <c r="AF78" t="s">
        <v>2657</v>
      </c>
    </row>
    <row r="79" spans="1:35">
      <c r="A79" t="s">
        <v>2658</v>
      </c>
      <c r="C79" s="385" t="s">
        <v>2659</v>
      </c>
      <c r="D79" s="349"/>
      <c r="E79">
        <v>60</v>
      </c>
      <c r="G79" s="19">
        <v>644</v>
      </c>
      <c r="H79" s="346">
        <v>986</v>
      </c>
      <c r="I79" s="19">
        <v>2</v>
      </c>
      <c r="J79">
        <v>200</v>
      </c>
      <c r="K79" s="167">
        <v>100</v>
      </c>
      <c r="L79" s="167">
        <v>400</v>
      </c>
      <c r="M79" s="167">
        <v>35</v>
      </c>
      <c r="O79">
        <v>50</v>
      </c>
      <c r="P79">
        <v>200</v>
      </c>
      <c r="Q79">
        <v>3.5</v>
      </c>
      <c r="R79" t="s">
        <v>2511</v>
      </c>
      <c r="V79" t="s">
        <v>2595</v>
      </c>
      <c r="X79" t="s">
        <v>2590</v>
      </c>
      <c r="Y79">
        <v>10</v>
      </c>
      <c r="Z79">
        <v>5</v>
      </c>
      <c r="AA79" t="s">
        <v>2512</v>
      </c>
      <c r="AB79" t="s">
        <v>2612</v>
      </c>
      <c r="AF79" t="s">
        <v>2660</v>
      </c>
    </row>
    <row r="80" spans="1:35">
      <c r="A80" t="s">
        <v>2661</v>
      </c>
      <c r="B80" t="s">
        <v>2634</v>
      </c>
      <c r="C80" s="385" t="s">
        <v>2662</v>
      </c>
      <c r="D80" s="338" t="s">
        <v>2663</v>
      </c>
      <c r="E80">
        <v>60</v>
      </c>
      <c r="G80" s="19">
        <v>622</v>
      </c>
      <c r="H80" s="346">
        <v>900</v>
      </c>
      <c r="I80" s="19">
        <v>2</v>
      </c>
      <c r="J80">
        <v>200</v>
      </c>
      <c r="K80" s="167">
        <v>100</v>
      </c>
      <c r="L80" s="167">
        <v>400</v>
      </c>
      <c r="M80" s="167">
        <v>35</v>
      </c>
      <c r="O80">
        <v>50</v>
      </c>
      <c r="P80">
        <v>200</v>
      </c>
      <c r="Q80">
        <v>3.5</v>
      </c>
      <c r="R80" t="s">
        <v>2511</v>
      </c>
      <c r="V80" t="s">
        <v>2595</v>
      </c>
      <c r="X80" t="s">
        <v>2590</v>
      </c>
      <c r="Y80">
        <v>10</v>
      </c>
      <c r="Z80">
        <v>5</v>
      </c>
      <c r="AA80" t="s">
        <v>2512</v>
      </c>
      <c r="AB80" t="s">
        <v>2612</v>
      </c>
      <c r="AF80" t="s">
        <v>2664</v>
      </c>
    </row>
    <row r="81" spans="1:35">
      <c r="A81" t="s">
        <v>2665</v>
      </c>
      <c r="B81" t="s">
        <v>2634</v>
      </c>
      <c r="C81" s="385" t="s">
        <v>2662</v>
      </c>
      <c r="D81" s="338"/>
      <c r="E81">
        <v>60</v>
      </c>
      <c r="G81" s="19">
        <v>622</v>
      </c>
      <c r="H81" s="346">
        <v>950</v>
      </c>
      <c r="I81" s="19">
        <v>2</v>
      </c>
      <c r="J81">
        <v>200</v>
      </c>
      <c r="K81" s="167">
        <v>100</v>
      </c>
      <c r="L81" s="167">
        <v>400</v>
      </c>
      <c r="M81" s="167">
        <v>35</v>
      </c>
      <c r="O81">
        <v>50</v>
      </c>
      <c r="P81">
        <v>200</v>
      </c>
      <c r="Q81">
        <v>3.5</v>
      </c>
      <c r="R81" t="s">
        <v>2511</v>
      </c>
      <c r="V81" t="s">
        <v>2595</v>
      </c>
      <c r="X81" t="s">
        <v>2590</v>
      </c>
      <c r="Y81">
        <v>10</v>
      </c>
      <c r="Z81">
        <v>5</v>
      </c>
      <c r="AA81" t="s">
        <v>2512</v>
      </c>
      <c r="AB81" t="s">
        <v>2612</v>
      </c>
      <c r="AF81" t="s">
        <v>2666</v>
      </c>
    </row>
    <row r="82" spans="1:35">
      <c r="A82" t="s">
        <v>2667</v>
      </c>
      <c r="B82" t="s">
        <v>2634</v>
      </c>
      <c r="C82" s="385" t="s">
        <v>2662</v>
      </c>
      <c r="D82" s="338"/>
      <c r="E82">
        <v>60</v>
      </c>
      <c r="G82" s="19">
        <v>622</v>
      </c>
      <c r="H82" s="346">
        <v>978</v>
      </c>
      <c r="I82" s="19">
        <v>2</v>
      </c>
      <c r="J82">
        <v>200</v>
      </c>
      <c r="K82" s="167">
        <v>100</v>
      </c>
      <c r="L82" s="167">
        <v>400</v>
      </c>
      <c r="M82" s="167">
        <v>35</v>
      </c>
      <c r="O82">
        <v>50</v>
      </c>
      <c r="P82">
        <v>200</v>
      </c>
      <c r="Q82">
        <v>3.5</v>
      </c>
      <c r="R82" t="s">
        <v>2511</v>
      </c>
      <c r="V82" t="s">
        <v>2595</v>
      </c>
      <c r="X82" t="s">
        <v>2590</v>
      </c>
      <c r="Y82">
        <v>10</v>
      </c>
      <c r="Z82">
        <v>5</v>
      </c>
      <c r="AA82" t="s">
        <v>2512</v>
      </c>
      <c r="AB82" t="s">
        <v>2612</v>
      </c>
      <c r="AC82" t="s">
        <v>2668</v>
      </c>
      <c r="AD82" t="s">
        <v>2669</v>
      </c>
      <c r="AF82" t="s">
        <v>2670</v>
      </c>
    </row>
    <row r="83" spans="1:35">
      <c r="A83" t="s">
        <v>2671</v>
      </c>
      <c r="B83" t="s">
        <v>2665</v>
      </c>
      <c r="C83" s="385" t="s">
        <v>2662</v>
      </c>
      <c r="D83" s="245" t="s">
        <v>2672</v>
      </c>
      <c r="E83" s="206">
        <v>70</v>
      </c>
      <c r="H83" s="19">
        <v>950</v>
      </c>
      <c r="I83" s="19">
        <v>2</v>
      </c>
      <c r="J83">
        <v>200</v>
      </c>
      <c r="K83" s="167">
        <v>100</v>
      </c>
      <c r="L83" s="167">
        <v>400</v>
      </c>
      <c r="M83" s="167">
        <v>35</v>
      </c>
      <c r="O83">
        <v>50</v>
      </c>
      <c r="P83">
        <v>200</v>
      </c>
      <c r="Q83">
        <v>3.5</v>
      </c>
      <c r="R83" t="s">
        <v>2511</v>
      </c>
      <c r="V83" t="s">
        <v>2595</v>
      </c>
      <c r="X83" t="s">
        <v>2590</v>
      </c>
      <c r="Y83">
        <v>10</v>
      </c>
      <c r="Z83">
        <v>5</v>
      </c>
      <c r="AA83" t="s">
        <v>2512</v>
      </c>
      <c r="AB83" t="s">
        <v>2612</v>
      </c>
      <c r="AF83" t="s">
        <v>2673</v>
      </c>
    </row>
    <row r="84" spans="1:35">
      <c r="A84" t="s">
        <v>2674</v>
      </c>
      <c r="B84" t="s">
        <v>2665</v>
      </c>
      <c r="C84" s="385" t="s">
        <v>2675</v>
      </c>
      <c r="D84" s="245"/>
      <c r="E84" s="206">
        <v>80</v>
      </c>
      <c r="H84" s="19">
        <v>950</v>
      </c>
      <c r="I84" s="19">
        <v>2</v>
      </c>
      <c r="J84">
        <v>200</v>
      </c>
      <c r="K84" s="167">
        <v>100</v>
      </c>
      <c r="L84" s="167">
        <v>400</v>
      </c>
      <c r="M84" s="167">
        <v>35</v>
      </c>
      <c r="O84">
        <v>50</v>
      </c>
      <c r="P84">
        <v>200</v>
      </c>
      <c r="Q84">
        <v>3.5</v>
      </c>
      <c r="R84" t="s">
        <v>2511</v>
      </c>
      <c r="V84" t="s">
        <v>2595</v>
      </c>
      <c r="X84" t="s">
        <v>2590</v>
      </c>
      <c r="Y84">
        <v>10</v>
      </c>
      <c r="Z84">
        <v>5</v>
      </c>
      <c r="AA84" t="s">
        <v>2512</v>
      </c>
      <c r="AB84" t="s">
        <v>2612</v>
      </c>
      <c r="AF84" t="s">
        <v>2676</v>
      </c>
      <c r="AI84" s="221" t="s">
        <v>2677</v>
      </c>
    </row>
    <row r="85" spans="1:35">
      <c r="A85" t="s">
        <v>2678</v>
      </c>
      <c r="B85" t="s">
        <v>2665</v>
      </c>
      <c r="C85" s="385" t="s">
        <v>2675</v>
      </c>
      <c r="D85" t="s">
        <v>2679</v>
      </c>
      <c r="E85">
        <v>60</v>
      </c>
      <c r="G85" s="19">
        <v>622</v>
      </c>
      <c r="H85" s="346">
        <v>950</v>
      </c>
      <c r="I85" s="19">
        <v>2</v>
      </c>
      <c r="J85">
        <v>200</v>
      </c>
      <c r="K85" s="167">
        <v>100</v>
      </c>
      <c r="L85" s="167">
        <v>400</v>
      </c>
      <c r="M85" s="167">
        <v>35</v>
      </c>
      <c r="O85">
        <v>50</v>
      </c>
      <c r="P85">
        <v>200</v>
      </c>
      <c r="Q85">
        <v>3.5</v>
      </c>
      <c r="R85" t="s">
        <v>2511</v>
      </c>
      <c r="V85" t="s">
        <v>2595</v>
      </c>
      <c r="X85" t="s">
        <v>2590</v>
      </c>
      <c r="Y85">
        <v>10</v>
      </c>
      <c r="Z85">
        <v>5</v>
      </c>
      <c r="AA85" t="s">
        <v>2512</v>
      </c>
      <c r="AB85" t="s">
        <v>2612</v>
      </c>
      <c r="AF85" t="s">
        <v>2680</v>
      </c>
    </row>
    <row r="86" spans="1:35">
      <c r="A86" t="s">
        <v>2681</v>
      </c>
      <c r="B86" t="s">
        <v>2665</v>
      </c>
      <c r="C86" s="385" t="s">
        <v>2675</v>
      </c>
      <c r="D86" t="s">
        <v>2682</v>
      </c>
      <c r="E86">
        <v>60</v>
      </c>
      <c r="G86" s="19">
        <v>628</v>
      </c>
      <c r="H86" s="19">
        <v>950</v>
      </c>
      <c r="I86" s="19">
        <v>2</v>
      </c>
      <c r="J86" s="206">
        <v>250</v>
      </c>
      <c r="K86" s="305">
        <v>50</v>
      </c>
      <c r="L86" s="167">
        <v>400</v>
      </c>
      <c r="M86" s="167">
        <v>35</v>
      </c>
      <c r="O86">
        <v>50</v>
      </c>
      <c r="P86">
        <v>200</v>
      </c>
      <c r="Q86">
        <v>3.5</v>
      </c>
      <c r="R86" t="s">
        <v>2511</v>
      </c>
      <c r="V86" t="s">
        <v>2595</v>
      </c>
      <c r="X86" t="s">
        <v>2590</v>
      </c>
      <c r="Y86">
        <v>10</v>
      </c>
      <c r="Z86">
        <v>5</v>
      </c>
      <c r="AA86" t="s">
        <v>2512</v>
      </c>
      <c r="AB86" t="s">
        <v>2612</v>
      </c>
      <c r="AF86" t="s">
        <v>2683</v>
      </c>
    </row>
    <row r="87" spans="1:35">
      <c r="A87" t="s">
        <v>2684</v>
      </c>
      <c r="B87" t="s">
        <v>2665</v>
      </c>
      <c r="C87" s="385" t="s">
        <v>2675</v>
      </c>
      <c r="D87" t="s">
        <v>2685</v>
      </c>
      <c r="E87">
        <v>60</v>
      </c>
      <c r="G87" s="19">
        <v>628</v>
      </c>
      <c r="H87" s="19">
        <v>950</v>
      </c>
      <c r="I87" s="19">
        <v>2</v>
      </c>
      <c r="J87">
        <v>200</v>
      </c>
      <c r="K87" s="167">
        <v>100</v>
      </c>
      <c r="L87" s="167">
        <v>400</v>
      </c>
      <c r="M87" s="167">
        <v>35</v>
      </c>
      <c r="O87">
        <v>50</v>
      </c>
      <c r="P87">
        <v>200</v>
      </c>
      <c r="Q87" s="206" t="s">
        <v>2686</v>
      </c>
      <c r="R87" t="s">
        <v>2511</v>
      </c>
      <c r="V87" t="s">
        <v>2595</v>
      </c>
      <c r="X87" t="s">
        <v>2590</v>
      </c>
      <c r="Y87">
        <v>10</v>
      </c>
      <c r="Z87">
        <v>5</v>
      </c>
      <c r="AA87" t="s">
        <v>2512</v>
      </c>
      <c r="AB87" t="s">
        <v>2612</v>
      </c>
      <c r="AD87" t="s">
        <v>2687</v>
      </c>
      <c r="AF87" t="s">
        <v>2688</v>
      </c>
    </row>
    <row r="88" spans="1:35">
      <c r="A88" t="s">
        <v>2689</v>
      </c>
      <c r="B88" t="s">
        <v>2665</v>
      </c>
      <c r="C88" s="385" t="s">
        <v>2690</v>
      </c>
      <c r="D88" s="313" t="s">
        <v>2691</v>
      </c>
      <c r="E88">
        <v>60</v>
      </c>
      <c r="G88" s="19">
        <v>628</v>
      </c>
      <c r="H88" s="19">
        <v>950</v>
      </c>
      <c r="I88" s="19">
        <v>2</v>
      </c>
      <c r="J88">
        <v>200</v>
      </c>
      <c r="K88" s="167">
        <v>100</v>
      </c>
      <c r="L88" s="167">
        <v>400</v>
      </c>
      <c r="M88" s="167">
        <v>35</v>
      </c>
      <c r="O88">
        <v>50</v>
      </c>
      <c r="P88">
        <v>200</v>
      </c>
      <c r="Q88" s="206">
        <v>4</v>
      </c>
      <c r="R88" t="s">
        <v>2511</v>
      </c>
      <c r="V88" t="s">
        <v>2595</v>
      </c>
      <c r="X88" t="s">
        <v>2590</v>
      </c>
      <c r="Y88">
        <v>10</v>
      </c>
      <c r="Z88">
        <v>5</v>
      </c>
      <c r="AA88" t="s">
        <v>2692</v>
      </c>
      <c r="AB88" t="s">
        <v>2612</v>
      </c>
      <c r="AF88" t="s">
        <v>2693</v>
      </c>
    </row>
    <row r="89" spans="1:35">
      <c r="A89" t="s">
        <v>2694</v>
      </c>
      <c r="B89" t="s">
        <v>2689</v>
      </c>
      <c r="C89" s="385" t="s">
        <v>2690</v>
      </c>
      <c r="D89" s="313"/>
      <c r="E89">
        <v>60</v>
      </c>
      <c r="G89" s="19">
        <v>628</v>
      </c>
      <c r="H89" s="19">
        <v>950</v>
      </c>
      <c r="I89" s="19">
        <v>2</v>
      </c>
      <c r="J89">
        <v>200</v>
      </c>
      <c r="K89" s="167">
        <v>100</v>
      </c>
      <c r="L89" s="167">
        <v>400</v>
      </c>
      <c r="M89" s="167">
        <v>35</v>
      </c>
      <c r="O89">
        <v>50</v>
      </c>
      <c r="P89">
        <v>200</v>
      </c>
      <c r="Q89">
        <v>4</v>
      </c>
      <c r="R89" t="s">
        <v>2511</v>
      </c>
      <c r="V89" s="206" t="s">
        <v>2695</v>
      </c>
      <c r="W89" s="206"/>
      <c r="X89" t="s">
        <v>2590</v>
      </c>
      <c r="Y89">
        <v>10</v>
      </c>
      <c r="Z89">
        <v>5</v>
      </c>
      <c r="AA89" t="s">
        <v>2692</v>
      </c>
      <c r="AB89" t="s">
        <v>2612</v>
      </c>
      <c r="AD89" t="s">
        <v>2696</v>
      </c>
      <c r="AF89" t="s">
        <v>2697</v>
      </c>
    </row>
    <row r="90" spans="1:35">
      <c r="A90" t="s">
        <v>2698</v>
      </c>
      <c r="B90" t="s">
        <v>2689</v>
      </c>
      <c r="C90" s="385" t="s">
        <v>2690</v>
      </c>
      <c r="D90" t="s">
        <v>2699</v>
      </c>
      <c r="E90">
        <v>60</v>
      </c>
      <c r="H90" s="19">
        <v>950</v>
      </c>
      <c r="I90" s="19">
        <v>2</v>
      </c>
      <c r="J90">
        <v>200</v>
      </c>
      <c r="K90" s="167">
        <v>100</v>
      </c>
      <c r="L90" s="167">
        <v>400</v>
      </c>
      <c r="M90" s="167">
        <v>35</v>
      </c>
      <c r="O90">
        <v>50</v>
      </c>
      <c r="P90">
        <v>200</v>
      </c>
      <c r="Q90" s="206">
        <v>7</v>
      </c>
      <c r="R90" t="s">
        <v>2511</v>
      </c>
      <c r="V90" t="s">
        <v>2595</v>
      </c>
      <c r="X90" t="s">
        <v>2590</v>
      </c>
      <c r="Y90">
        <v>10</v>
      </c>
      <c r="Z90">
        <v>5</v>
      </c>
      <c r="AA90" t="s">
        <v>2700</v>
      </c>
      <c r="AB90" t="s">
        <v>2612</v>
      </c>
      <c r="AD90" t="s">
        <v>2701</v>
      </c>
    </row>
    <row r="91" spans="1:35">
      <c r="A91" t="s">
        <v>2702</v>
      </c>
      <c r="B91" t="s">
        <v>2689</v>
      </c>
      <c r="C91" s="385" t="s">
        <v>2690</v>
      </c>
      <c r="D91" t="s">
        <v>2703</v>
      </c>
      <c r="E91">
        <v>60</v>
      </c>
      <c r="G91" s="19">
        <v>629</v>
      </c>
      <c r="H91" s="19">
        <v>950</v>
      </c>
      <c r="I91" s="19">
        <v>2</v>
      </c>
      <c r="J91">
        <v>200</v>
      </c>
      <c r="K91" s="167">
        <v>100</v>
      </c>
      <c r="L91" s="305">
        <v>300</v>
      </c>
      <c r="M91" s="167">
        <v>35</v>
      </c>
      <c r="O91">
        <v>50</v>
      </c>
      <c r="P91">
        <v>200</v>
      </c>
      <c r="Q91">
        <v>4</v>
      </c>
      <c r="R91" t="s">
        <v>2511</v>
      </c>
      <c r="V91" t="s">
        <v>2595</v>
      </c>
      <c r="X91" t="s">
        <v>2590</v>
      </c>
      <c r="Y91">
        <v>10</v>
      </c>
      <c r="Z91">
        <v>5</v>
      </c>
      <c r="AA91" t="s">
        <v>2692</v>
      </c>
      <c r="AB91" t="s">
        <v>2612</v>
      </c>
      <c r="AD91" s="313" t="s">
        <v>2704</v>
      </c>
      <c r="AF91" t="s">
        <v>2705</v>
      </c>
    </row>
    <row r="92" spans="1:35">
      <c r="A92" t="s">
        <v>2706</v>
      </c>
      <c r="B92" t="s">
        <v>2702</v>
      </c>
      <c r="C92" s="385">
        <v>46143</v>
      </c>
      <c r="D92" t="s">
        <v>2707</v>
      </c>
      <c r="E92">
        <v>60</v>
      </c>
      <c r="G92" s="19">
        <v>629</v>
      </c>
      <c r="H92" s="19">
        <v>950</v>
      </c>
      <c r="I92" s="19">
        <v>2</v>
      </c>
      <c r="J92">
        <v>200</v>
      </c>
      <c r="K92" s="167">
        <v>100</v>
      </c>
      <c r="L92" s="167">
        <v>300</v>
      </c>
      <c r="M92" s="167">
        <v>35</v>
      </c>
      <c r="O92" s="206">
        <v>100</v>
      </c>
      <c r="P92">
        <v>200</v>
      </c>
      <c r="Q92" s="206">
        <v>2</v>
      </c>
      <c r="R92" t="s">
        <v>2511</v>
      </c>
      <c r="V92" t="s">
        <v>2595</v>
      </c>
      <c r="X92" t="s">
        <v>2590</v>
      </c>
      <c r="Y92">
        <v>10</v>
      </c>
      <c r="Z92">
        <v>5</v>
      </c>
      <c r="AA92" t="s">
        <v>2692</v>
      </c>
      <c r="AB92" t="s">
        <v>2612</v>
      </c>
    </row>
    <row r="93" spans="1:35">
      <c r="A93" t="s">
        <v>2708</v>
      </c>
      <c r="B93" t="s">
        <v>2702</v>
      </c>
      <c r="C93" s="385">
        <v>46144</v>
      </c>
      <c r="D93" t="s">
        <v>2703</v>
      </c>
      <c r="E93">
        <v>60</v>
      </c>
      <c r="G93" s="19">
        <v>629</v>
      </c>
      <c r="H93" s="19">
        <v>950</v>
      </c>
      <c r="I93" s="19">
        <v>2</v>
      </c>
      <c r="J93">
        <v>200</v>
      </c>
      <c r="K93" s="167">
        <v>100</v>
      </c>
      <c r="L93" s="167">
        <v>300</v>
      </c>
      <c r="M93" s="167">
        <v>35</v>
      </c>
      <c r="O93">
        <v>50</v>
      </c>
      <c r="P93">
        <v>200</v>
      </c>
      <c r="Q93">
        <v>4</v>
      </c>
      <c r="R93" t="s">
        <v>2511</v>
      </c>
      <c r="V93" t="s">
        <v>2595</v>
      </c>
      <c r="X93" t="s">
        <v>2590</v>
      </c>
      <c r="Y93">
        <v>10</v>
      </c>
      <c r="Z93">
        <v>5</v>
      </c>
      <c r="AA93" s="206" t="s">
        <v>2612</v>
      </c>
      <c r="AB93" t="s">
        <v>2612</v>
      </c>
      <c r="AC93" t="s">
        <v>2709</v>
      </c>
      <c r="AD93" t="s">
        <v>2710</v>
      </c>
      <c r="AF93" t="s">
        <v>2711</v>
      </c>
    </row>
    <row r="94" spans="1:35">
      <c r="A94" t="s">
        <v>2712</v>
      </c>
      <c r="B94" t="s">
        <v>2702</v>
      </c>
      <c r="C94" s="385">
        <v>46145</v>
      </c>
      <c r="E94">
        <v>60</v>
      </c>
      <c r="G94" s="19">
        <v>629</v>
      </c>
      <c r="H94" s="19">
        <v>950</v>
      </c>
      <c r="I94" s="19">
        <v>2</v>
      </c>
      <c r="J94">
        <v>200</v>
      </c>
      <c r="K94" s="167">
        <v>100</v>
      </c>
      <c r="L94" s="167">
        <v>300</v>
      </c>
      <c r="M94" s="167">
        <v>35</v>
      </c>
      <c r="O94">
        <v>50</v>
      </c>
      <c r="P94">
        <v>200</v>
      </c>
      <c r="Q94">
        <v>4</v>
      </c>
      <c r="R94" t="s">
        <v>2511</v>
      </c>
      <c r="V94" s="206" t="s">
        <v>2630</v>
      </c>
      <c r="W94" s="206"/>
      <c r="X94" t="s">
        <v>2590</v>
      </c>
      <c r="Y94">
        <v>10</v>
      </c>
      <c r="Z94">
        <v>5</v>
      </c>
      <c r="AA94" s="206" t="s">
        <v>2631</v>
      </c>
      <c r="AB94" t="s">
        <v>2631</v>
      </c>
    </row>
    <row r="95" spans="1:35">
      <c r="A95" s="265" t="s">
        <v>2713</v>
      </c>
      <c r="AD95" t="s">
        <v>2714</v>
      </c>
    </row>
    <row r="96" spans="1:35">
      <c r="A96" t="s">
        <v>2715</v>
      </c>
      <c r="C96" s="385">
        <v>46146</v>
      </c>
      <c r="D96" s="313" t="s">
        <v>2716</v>
      </c>
      <c r="E96">
        <v>60</v>
      </c>
      <c r="G96" s="19">
        <v>610</v>
      </c>
      <c r="H96" s="19">
        <v>950</v>
      </c>
      <c r="I96" s="19">
        <v>2</v>
      </c>
      <c r="J96">
        <v>200</v>
      </c>
      <c r="K96" s="305">
        <v>10</v>
      </c>
      <c r="L96" s="364">
        <v>450</v>
      </c>
      <c r="M96" s="167">
        <v>30</v>
      </c>
      <c r="O96">
        <v>50</v>
      </c>
      <c r="P96">
        <v>200</v>
      </c>
      <c r="Q96">
        <v>4</v>
      </c>
      <c r="R96" t="s">
        <v>2511</v>
      </c>
      <c r="V96" t="s">
        <v>2595</v>
      </c>
      <c r="X96" t="s">
        <v>2590</v>
      </c>
      <c r="Y96">
        <v>10</v>
      </c>
      <c r="Z96">
        <v>5</v>
      </c>
      <c r="AA96" t="s">
        <v>2612</v>
      </c>
      <c r="AB96" t="s">
        <v>2612</v>
      </c>
      <c r="AC96" t="s">
        <v>2717</v>
      </c>
    </row>
    <row r="97" spans="1:30">
      <c r="A97" t="s">
        <v>2718</v>
      </c>
      <c r="C97" s="385">
        <v>46146</v>
      </c>
      <c r="D97" s="313" t="s">
        <v>2716</v>
      </c>
      <c r="E97">
        <v>60</v>
      </c>
      <c r="G97" s="19">
        <v>609</v>
      </c>
      <c r="H97" s="19">
        <v>950</v>
      </c>
      <c r="I97" s="19">
        <v>2</v>
      </c>
      <c r="J97">
        <v>200</v>
      </c>
      <c r="K97" s="305">
        <v>10</v>
      </c>
      <c r="L97" s="364">
        <v>300</v>
      </c>
      <c r="M97" s="167">
        <v>35</v>
      </c>
      <c r="O97">
        <v>50</v>
      </c>
      <c r="P97">
        <v>200</v>
      </c>
      <c r="Q97">
        <v>4</v>
      </c>
      <c r="R97" t="s">
        <v>2511</v>
      </c>
      <c r="V97" t="s">
        <v>2595</v>
      </c>
      <c r="X97" t="s">
        <v>2590</v>
      </c>
      <c r="Y97">
        <v>10</v>
      </c>
      <c r="Z97" s="206">
        <v>1</v>
      </c>
      <c r="AA97" t="s">
        <v>2612</v>
      </c>
      <c r="AB97" t="s">
        <v>2612</v>
      </c>
      <c r="AC97" t="s">
        <v>2719</v>
      </c>
      <c r="AD97" t="s">
        <v>2720</v>
      </c>
    </row>
    <row r="98" spans="1:30">
      <c r="A98" t="s">
        <v>2721</v>
      </c>
      <c r="C98" s="385">
        <v>46146</v>
      </c>
      <c r="D98" s="313" t="s">
        <v>2722</v>
      </c>
      <c r="E98">
        <v>60</v>
      </c>
      <c r="G98" s="19">
        <v>609</v>
      </c>
      <c r="H98" s="19">
        <v>950</v>
      </c>
      <c r="I98" s="19">
        <v>2</v>
      </c>
      <c r="J98">
        <v>200</v>
      </c>
      <c r="K98" s="305">
        <v>10</v>
      </c>
      <c r="L98" s="364">
        <v>300</v>
      </c>
      <c r="M98" s="167">
        <v>35</v>
      </c>
      <c r="O98">
        <v>50</v>
      </c>
      <c r="P98">
        <v>200</v>
      </c>
      <c r="Q98">
        <v>4</v>
      </c>
      <c r="R98" t="s">
        <v>2511</v>
      </c>
      <c r="V98" t="s">
        <v>2595</v>
      </c>
      <c r="X98" t="s">
        <v>2590</v>
      </c>
      <c r="Y98">
        <v>10</v>
      </c>
      <c r="Z98" s="206">
        <v>1</v>
      </c>
      <c r="AA98" t="s">
        <v>2612</v>
      </c>
      <c r="AB98" t="s">
        <v>2612</v>
      </c>
      <c r="AC98" t="s">
        <v>2723</v>
      </c>
      <c r="AD98" t="s">
        <v>2724</v>
      </c>
    </row>
    <row r="99" spans="1:30">
      <c r="A99" t="s">
        <v>2725</v>
      </c>
      <c r="C99" s="385">
        <v>46147</v>
      </c>
      <c r="D99" s="313" t="s">
        <v>1066</v>
      </c>
      <c r="E99">
        <v>60</v>
      </c>
      <c r="G99" s="19">
        <v>609</v>
      </c>
      <c r="H99" s="19">
        <v>950</v>
      </c>
      <c r="I99" s="19">
        <v>2</v>
      </c>
      <c r="J99">
        <v>200</v>
      </c>
      <c r="K99" s="305" t="s">
        <v>2377</v>
      </c>
      <c r="L99" s="167" t="s">
        <v>2377</v>
      </c>
      <c r="M99" s="167" t="s">
        <v>2377</v>
      </c>
      <c r="O99">
        <v>50</v>
      </c>
      <c r="P99">
        <v>200</v>
      </c>
      <c r="Q99">
        <v>4</v>
      </c>
      <c r="R99" t="s">
        <v>2511</v>
      </c>
      <c r="V99" t="s">
        <v>2595</v>
      </c>
      <c r="X99" t="s">
        <v>2590</v>
      </c>
      <c r="Y99">
        <v>10</v>
      </c>
      <c r="Z99" s="206">
        <v>1</v>
      </c>
      <c r="AA99" t="s">
        <v>2612</v>
      </c>
      <c r="AB99" t="s">
        <v>2612</v>
      </c>
      <c r="AC99" t="s">
        <v>2726</v>
      </c>
      <c r="AD99" t="s">
        <v>2727</v>
      </c>
    </row>
    <row r="100" spans="1:30">
      <c r="A100" t="s">
        <v>2728</v>
      </c>
      <c r="C100" s="385">
        <v>46147</v>
      </c>
      <c r="D100" s="313" t="s">
        <v>2729</v>
      </c>
      <c r="E100">
        <v>60</v>
      </c>
      <c r="G100" s="19">
        <v>609</v>
      </c>
      <c r="H100" s="19">
        <v>950</v>
      </c>
      <c r="I100" s="19">
        <v>2</v>
      </c>
      <c r="J100">
        <v>200</v>
      </c>
      <c r="K100" s="305">
        <v>10</v>
      </c>
      <c r="L100" s="167">
        <v>300</v>
      </c>
      <c r="M100" s="167">
        <v>35</v>
      </c>
      <c r="O100">
        <v>50</v>
      </c>
      <c r="P100">
        <v>200</v>
      </c>
      <c r="Q100">
        <v>4</v>
      </c>
      <c r="R100" t="s">
        <v>2511</v>
      </c>
      <c r="V100" t="s">
        <v>2595</v>
      </c>
      <c r="X100" t="s">
        <v>2590</v>
      </c>
      <c r="Y100">
        <v>10</v>
      </c>
      <c r="Z100" s="206">
        <v>3</v>
      </c>
      <c r="AA100" t="s">
        <v>2612</v>
      </c>
      <c r="AB100" t="s">
        <v>2612</v>
      </c>
      <c r="AD100" t="s">
        <v>2730</v>
      </c>
    </row>
    <row r="101" spans="1:30">
      <c r="A101" t="s">
        <v>2731</v>
      </c>
      <c r="C101" s="385">
        <v>46147</v>
      </c>
      <c r="D101" s="313" t="s">
        <v>2732</v>
      </c>
      <c r="E101">
        <v>60</v>
      </c>
      <c r="G101" s="19">
        <v>603</v>
      </c>
      <c r="H101" s="19">
        <v>950</v>
      </c>
      <c r="I101" s="346">
        <v>4</v>
      </c>
      <c r="J101">
        <v>200</v>
      </c>
      <c r="K101" s="305">
        <v>10</v>
      </c>
      <c r="L101" s="167">
        <v>300</v>
      </c>
      <c r="M101" s="167">
        <v>35</v>
      </c>
      <c r="O101">
        <v>50</v>
      </c>
      <c r="P101">
        <v>200</v>
      </c>
      <c r="Q101">
        <v>4</v>
      </c>
      <c r="R101" t="s">
        <v>2511</v>
      </c>
      <c r="V101" t="s">
        <v>2595</v>
      </c>
      <c r="X101" t="s">
        <v>2590</v>
      </c>
      <c r="Y101">
        <v>10</v>
      </c>
      <c r="Z101" s="206">
        <v>3</v>
      </c>
      <c r="AA101" t="s">
        <v>2612</v>
      </c>
      <c r="AB101" t="s">
        <v>2612</v>
      </c>
      <c r="AC101" s="365" t="s">
        <v>2733</v>
      </c>
      <c r="AD101" t="s">
        <v>2734</v>
      </c>
    </row>
    <row r="102" spans="1:30">
      <c r="A102" t="s">
        <v>2735</v>
      </c>
      <c r="B102" t="s">
        <v>2649</v>
      </c>
      <c r="C102" s="385">
        <v>46148</v>
      </c>
      <c r="D102" s="371" t="s">
        <v>2736</v>
      </c>
      <c r="E102">
        <v>60</v>
      </c>
      <c r="G102" s="19">
        <v>598</v>
      </c>
      <c r="H102" s="19">
        <v>970</v>
      </c>
      <c r="I102" s="346">
        <v>4</v>
      </c>
      <c r="J102">
        <v>200</v>
      </c>
      <c r="K102" s="167">
        <v>100</v>
      </c>
      <c r="L102" s="167">
        <v>400</v>
      </c>
      <c r="M102" s="167">
        <v>35</v>
      </c>
      <c r="O102">
        <v>50</v>
      </c>
      <c r="P102">
        <v>200</v>
      </c>
      <c r="Q102">
        <v>3.5</v>
      </c>
      <c r="R102" t="s">
        <v>2511</v>
      </c>
      <c r="V102" t="s">
        <v>2595</v>
      </c>
      <c r="X102" t="s">
        <v>2590</v>
      </c>
      <c r="Y102">
        <v>10</v>
      </c>
      <c r="Z102">
        <v>5</v>
      </c>
      <c r="AA102" t="s">
        <v>2512</v>
      </c>
      <c r="AB102" t="s">
        <v>2612</v>
      </c>
      <c r="AD102" t="s">
        <v>2737</v>
      </c>
    </row>
    <row r="103" spans="1:30">
      <c r="A103" t="s">
        <v>2738</v>
      </c>
      <c r="B103" t="s">
        <v>2649</v>
      </c>
      <c r="C103" s="385">
        <v>46149</v>
      </c>
      <c r="D103" s="371" t="s">
        <v>2739</v>
      </c>
      <c r="E103">
        <v>60</v>
      </c>
      <c r="G103" s="19">
        <v>610</v>
      </c>
      <c r="H103" s="19">
        <v>970</v>
      </c>
      <c r="I103" s="346">
        <v>2</v>
      </c>
      <c r="J103">
        <v>200</v>
      </c>
      <c r="K103" s="167">
        <v>100</v>
      </c>
      <c r="L103" s="167">
        <v>400</v>
      </c>
      <c r="M103" s="167">
        <v>35</v>
      </c>
      <c r="O103">
        <v>50</v>
      </c>
      <c r="P103">
        <v>200</v>
      </c>
      <c r="Q103">
        <v>3.5</v>
      </c>
      <c r="R103" t="s">
        <v>2511</v>
      </c>
      <c r="V103" t="s">
        <v>2595</v>
      </c>
      <c r="X103" t="s">
        <v>2590</v>
      </c>
      <c r="Y103">
        <v>10</v>
      </c>
      <c r="Z103">
        <v>5</v>
      </c>
      <c r="AA103" t="s">
        <v>2512</v>
      </c>
      <c r="AB103" t="s">
        <v>2612</v>
      </c>
      <c r="AD103" t="s">
        <v>2740</v>
      </c>
    </row>
    <row r="104" spans="1:30">
      <c r="A104" t="s">
        <v>2741</v>
      </c>
      <c r="C104" s="385">
        <v>46149</v>
      </c>
      <c r="D104" s="371" t="s">
        <v>2742</v>
      </c>
      <c r="E104">
        <v>60</v>
      </c>
      <c r="H104" s="19">
        <v>970</v>
      </c>
      <c r="I104" s="19">
        <v>1</v>
      </c>
      <c r="J104">
        <v>200</v>
      </c>
      <c r="K104" s="167">
        <v>100</v>
      </c>
      <c r="L104" s="167">
        <v>400</v>
      </c>
      <c r="M104" s="167">
        <v>35</v>
      </c>
      <c r="O104">
        <v>50</v>
      </c>
      <c r="P104">
        <v>200</v>
      </c>
      <c r="Q104">
        <v>3.5</v>
      </c>
      <c r="R104" t="s">
        <v>2511</v>
      </c>
      <c r="V104" t="s">
        <v>2595</v>
      </c>
      <c r="X104" t="s">
        <v>2590</v>
      </c>
      <c r="Y104">
        <v>10</v>
      </c>
      <c r="Z104">
        <v>5</v>
      </c>
      <c r="AA104" t="s">
        <v>2512</v>
      </c>
      <c r="AB104" t="s">
        <v>2612</v>
      </c>
      <c r="AD104" t="s">
        <v>2743</v>
      </c>
    </row>
    <row r="105" spans="1:30">
      <c r="A105" t="s">
        <v>2744</v>
      </c>
      <c r="C105" s="385">
        <v>46149</v>
      </c>
      <c r="D105" t="s">
        <v>2745</v>
      </c>
      <c r="E105">
        <v>200</v>
      </c>
      <c r="G105" s="19" t="s">
        <v>2746</v>
      </c>
      <c r="H105" s="19">
        <v>970</v>
      </c>
      <c r="I105" s="346">
        <v>2</v>
      </c>
      <c r="J105">
        <v>200</v>
      </c>
      <c r="K105" s="167">
        <v>100</v>
      </c>
      <c r="L105" s="167">
        <v>400</v>
      </c>
      <c r="M105" s="167">
        <v>35</v>
      </c>
      <c r="O105">
        <v>50</v>
      </c>
      <c r="P105">
        <v>200</v>
      </c>
      <c r="Q105">
        <v>3.5</v>
      </c>
      <c r="R105" t="s">
        <v>2511</v>
      </c>
      <c r="V105" t="s">
        <v>2595</v>
      </c>
      <c r="X105" t="s">
        <v>2590</v>
      </c>
      <c r="Y105">
        <v>10</v>
      </c>
      <c r="Z105">
        <v>5</v>
      </c>
      <c r="AA105" t="s">
        <v>2512</v>
      </c>
      <c r="AB105" t="s">
        <v>2612</v>
      </c>
    </row>
    <row r="106" spans="1:30">
      <c r="A106" t="s">
        <v>2747</v>
      </c>
      <c r="C106" s="385">
        <v>46150</v>
      </c>
      <c r="D106" t="s">
        <v>2748</v>
      </c>
      <c r="E106">
        <v>30</v>
      </c>
      <c r="G106" s="19">
        <v>606</v>
      </c>
      <c r="H106" s="19">
        <v>970</v>
      </c>
      <c r="I106" s="346">
        <v>4</v>
      </c>
      <c r="J106">
        <v>200</v>
      </c>
      <c r="K106" s="167">
        <v>100</v>
      </c>
      <c r="L106" s="167">
        <v>400</v>
      </c>
      <c r="M106" s="167">
        <v>35</v>
      </c>
      <c r="O106">
        <v>50</v>
      </c>
      <c r="P106">
        <v>200</v>
      </c>
      <c r="Q106">
        <v>3.5</v>
      </c>
      <c r="R106" t="s">
        <v>2511</v>
      </c>
      <c r="V106" t="s">
        <v>2595</v>
      </c>
      <c r="X106" t="s">
        <v>2590</v>
      </c>
      <c r="Y106">
        <v>10</v>
      </c>
      <c r="Z106">
        <v>5</v>
      </c>
      <c r="AA106" t="s">
        <v>2512</v>
      </c>
      <c r="AB106" t="s">
        <v>2612</v>
      </c>
      <c r="AC106" t="s">
        <v>2749</v>
      </c>
      <c r="AD106" t="s">
        <v>2750</v>
      </c>
    </row>
    <row r="107" spans="1:30">
      <c r="A107" t="s">
        <v>2751</v>
      </c>
      <c r="B107" t="s">
        <v>2735</v>
      </c>
      <c r="C107" s="385">
        <v>46150</v>
      </c>
      <c r="D107" t="s">
        <v>2752</v>
      </c>
      <c r="E107">
        <v>60</v>
      </c>
      <c r="G107" s="19">
        <v>606</v>
      </c>
      <c r="H107" s="19">
        <v>970</v>
      </c>
      <c r="I107" s="346">
        <v>4</v>
      </c>
      <c r="J107">
        <v>200</v>
      </c>
      <c r="K107" s="167">
        <v>100</v>
      </c>
      <c r="L107" s="167">
        <v>400</v>
      </c>
      <c r="M107" s="167">
        <v>35</v>
      </c>
      <c r="O107">
        <v>50</v>
      </c>
      <c r="P107">
        <v>200</v>
      </c>
      <c r="Q107">
        <v>3.5</v>
      </c>
      <c r="R107" t="s">
        <v>2511</v>
      </c>
      <c r="V107" t="s">
        <v>2595</v>
      </c>
      <c r="X107" t="s">
        <v>2590</v>
      </c>
      <c r="Y107">
        <v>10</v>
      </c>
      <c r="Z107">
        <v>5</v>
      </c>
      <c r="AA107" t="s">
        <v>2512</v>
      </c>
      <c r="AB107" t="s">
        <v>2753</v>
      </c>
    </row>
    <row r="108" spans="1:30">
      <c r="A108" t="s">
        <v>2754</v>
      </c>
      <c r="C108" s="385">
        <v>46152</v>
      </c>
      <c r="D108" s="387" t="s">
        <v>2755</v>
      </c>
      <c r="E108">
        <v>60</v>
      </c>
      <c r="G108" s="19" t="s">
        <v>2746</v>
      </c>
      <c r="H108" s="19">
        <v>970</v>
      </c>
      <c r="I108" s="346">
        <v>2</v>
      </c>
      <c r="J108">
        <v>200</v>
      </c>
      <c r="K108" s="305">
        <v>1</v>
      </c>
      <c r="L108" s="305">
        <v>400</v>
      </c>
      <c r="M108" s="305">
        <v>35</v>
      </c>
      <c r="O108">
        <v>50</v>
      </c>
      <c r="P108">
        <v>200</v>
      </c>
      <c r="Q108">
        <v>3.5</v>
      </c>
      <c r="R108" t="s">
        <v>2511</v>
      </c>
      <c r="V108" t="s">
        <v>2595</v>
      </c>
      <c r="X108" t="s">
        <v>2590</v>
      </c>
      <c r="Y108">
        <v>10</v>
      </c>
      <c r="Z108" s="206">
        <v>3</v>
      </c>
      <c r="AA108" t="s">
        <v>2612</v>
      </c>
      <c r="AB108" t="s">
        <v>2756</v>
      </c>
    </row>
    <row r="109" spans="1:30">
      <c r="A109" s="341" t="s">
        <v>2757</v>
      </c>
      <c r="B109" t="s">
        <v>2429</v>
      </c>
      <c r="C109" s="385">
        <v>46152</v>
      </c>
      <c r="D109" s="387"/>
    </row>
    <row r="110" spans="1:30">
      <c r="A110" t="s">
        <v>2758</v>
      </c>
      <c r="C110" s="385">
        <v>46153</v>
      </c>
      <c r="D110" s="387"/>
      <c r="E110">
        <v>60</v>
      </c>
      <c r="G110" s="19" t="s">
        <v>2746</v>
      </c>
      <c r="H110" s="19">
        <v>970</v>
      </c>
      <c r="I110" s="19">
        <v>2</v>
      </c>
      <c r="J110">
        <v>200</v>
      </c>
      <c r="K110" s="305">
        <v>1</v>
      </c>
      <c r="L110" s="305">
        <v>400</v>
      </c>
      <c r="M110" s="305">
        <v>35</v>
      </c>
      <c r="O110">
        <v>50</v>
      </c>
      <c r="P110">
        <v>200</v>
      </c>
      <c r="Q110">
        <v>3.5</v>
      </c>
      <c r="R110" t="s">
        <v>2511</v>
      </c>
      <c r="V110" t="s">
        <v>2595</v>
      </c>
      <c r="X110" t="s">
        <v>2590</v>
      </c>
      <c r="Y110">
        <v>10</v>
      </c>
      <c r="Z110" s="206">
        <v>3</v>
      </c>
      <c r="AA110" t="s">
        <v>2612</v>
      </c>
      <c r="AB110" t="s">
        <v>2756</v>
      </c>
    </row>
    <row r="111" spans="1:30">
      <c r="A111" t="s">
        <v>2759</v>
      </c>
      <c r="C111" s="385">
        <v>46153</v>
      </c>
      <c r="D111" s="392"/>
      <c r="E111">
        <v>60</v>
      </c>
      <c r="G111" s="19">
        <v>601</v>
      </c>
      <c r="H111" s="19">
        <v>970</v>
      </c>
      <c r="I111" s="19">
        <v>4</v>
      </c>
      <c r="J111">
        <v>200</v>
      </c>
      <c r="K111" s="167">
        <v>100</v>
      </c>
      <c r="L111" s="167">
        <v>400</v>
      </c>
      <c r="M111" s="167">
        <v>35</v>
      </c>
      <c r="O111" s="206">
        <v>50</v>
      </c>
      <c r="P111">
        <v>200</v>
      </c>
      <c r="Q111">
        <v>3.5</v>
      </c>
      <c r="R111" t="s">
        <v>2511</v>
      </c>
      <c r="V111" t="s">
        <v>2595</v>
      </c>
      <c r="X111" t="s">
        <v>2590</v>
      </c>
      <c r="Y111">
        <v>10</v>
      </c>
      <c r="Z111">
        <v>5</v>
      </c>
      <c r="AA111" t="s">
        <v>2612</v>
      </c>
      <c r="AB111" t="s">
        <v>2753</v>
      </c>
    </row>
    <row r="112" spans="1:30">
      <c r="A112" t="s">
        <v>2760</v>
      </c>
      <c r="B112" t="s">
        <v>2751</v>
      </c>
      <c r="C112" s="385">
        <v>46153</v>
      </c>
      <c r="D112" s="392" t="s">
        <v>2761</v>
      </c>
      <c r="E112">
        <v>60</v>
      </c>
      <c r="G112" s="19">
        <v>603</v>
      </c>
      <c r="H112" s="19">
        <v>970</v>
      </c>
      <c r="I112" s="19">
        <v>4</v>
      </c>
      <c r="J112">
        <v>200</v>
      </c>
      <c r="K112" s="167">
        <v>100</v>
      </c>
      <c r="L112" s="167">
        <v>400</v>
      </c>
      <c r="M112" s="167">
        <v>35</v>
      </c>
      <c r="O112" s="206">
        <v>75</v>
      </c>
      <c r="P112">
        <v>200</v>
      </c>
      <c r="Q112">
        <v>3.5</v>
      </c>
      <c r="R112" t="s">
        <v>2511</v>
      </c>
      <c r="V112" t="s">
        <v>2595</v>
      </c>
      <c r="X112" t="s">
        <v>2590</v>
      </c>
      <c r="Y112">
        <v>10</v>
      </c>
      <c r="Z112">
        <v>5</v>
      </c>
      <c r="AA112" t="s">
        <v>2512</v>
      </c>
      <c r="AB112" t="s">
        <v>2753</v>
      </c>
    </row>
    <row r="113" spans="1:32">
      <c r="A113" t="s">
        <v>2762</v>
      </c>
      <c r="B113" t="s">
        <v>2751</v>
      </c>
      <c r="C113" s="385">
        <v>46153</v>
      </c>
      <c r="D113" s="392"/>
      <c r="E113">
        <v>60</v>
      </c>
      <c r="G113" s="19">
        <v>603</v>
      </c>
      <c r="H113" s="19">
        <v>970</v>
      </c>
      <c r="I113" s="19">
        <v>4</v>
      </c>
      <c r="J113">
        <v>200</v>
      </c>
      <c r="K113" s="167">
        <v>100</v>
      </c>
      <c r="L113" s="167">
        <v>400</v>
      </c>
      <c r="M113" s="167">
        <v>35</v>
      </c>
      <c r="O113" s="206">
        <v>100</v>
      </c>
      <c r="P113">
        <v>200</v>
      </c>
      <c r="Q113">
        <v>3.5</v>
      </c>
      <c r="R113" t="s">
        <v>2511</v>
      </c>
      <c r="V113" t="s">
        <v>2595</v>
      </c>
      <c r="X113" t="s">
        <v>2590</v>
      </c>
      <c r="Y113">
        <v>10</v>
      </c>
      <c r="Z113">
        <v>5</v>
      </c>
      <c r="AA113" t="s">
        <v>2512</v>
      </c>
      <c r="AB113" t="s">
        <v>2753</v>
      </c>
    </row>
    <row r="114" spans="1:32">
      <c r="A114" t="s">
        <v>2763</v>
      </c>
      <c r="B114" t="s">
        <v>2751</v>
      </c>
      <c r="C114" s="385">
        <v>46154</v>
      </c>
      <c r="D114" s="393" t="s">
        <v>2764</v>
      </c>
      <c r="E114">
        <v>60</v>
      </c>
      <c r="G114" s="19">
        <v>603</v>
      </c>
      <c r="H114" s="19">
        <v>970</v>
      </c>
      <c r="I114" s="19">
        <v>4</v>
      </c>
      <c r="J114">
        <v>200</v>
      </c>
      <c r="K114" s="167">
        <v>100</v>
      </c>
      <c r="L114" s="167">
        <v>400</v>
      </c>
      <c r="M114" s="167">
        <v>35</v>
      </c>
      <c r="O114">
        <v>75</v>
      </c>
      <c r="P114">
        <v>200</v>
      </c>
      <c r="Q114" s="206">
        <v>4</v>
      </c>
      <c r="R114" t="s">
        <v>2511</v>
      </c>
      <c r="V114" t="s">
        <v>2595</v>
      </c>
      <c r="X114" t="s">
        <v>2590</v>
      </c>
      <c r="Y114">
        <v>10</v>
      </c>
      <c r="Z114">
        <v>5</v>
      </c>
      <c r="AA114" s="206" t="s">
        <v>2692</v>
      </c>
      <c r="AB114" t="s">
        <v>2753</v>
      </c>
      <c r="AC114" s="329" t="s">
        <v>2765</v>
      </c>
    </row>
    <row r="115" spans="1:32">
      <c r="A115" t="s">
        <v>2766</v>
      </c>
      <c r="C115" s="385">
        <v>46154</v>
      </c>
      <c r="D115" s="393"/>
      <c r="E115">
        <v>60</v>
      </c>
      <c r="G115" s="19">
        <v>595</v>
      </c>
      <c r="H115" s="19">
        <v>970</v>
      </c>
      <c r="I115" s="19">
        <v>4</v>
      </c>
      <c r="J115">
        <v>200</v>
      </c>
      <c r="K115" s="167">
        <v>100</v>
      </c>
      <c r="L115" s="167">
        <v>400</v>
      </c>
      <c r="M115" s="167">
        <v>35</v>
      </c>
      <c r="O115">
        <v>75</v>
      </c>
      <c r="P115">
        <v>200</v>
      </c>
      <c r="Q115">
        <v>4</v>
      </c>
      <c r="R115" t="s">
        <v>2511</v>
      </c>
      <c r="V115" s="206" t="s">
        <v>2695</v>
      </c>
      <c r="W115" s="206"/>
      <c r="X115" t="s">
        <v>2590</v>
      </c>
      <c r="Y115">
        <v>10</v>
      </c>
      <c r="Z115">
        <v>5</v>
      </c>
      <c r="AA115" t="s">
        <v>2692</v>
      </c>
      <c r="AB115" t="s">
        <v>2753</v>
      </c>
      <c r="AC115" t="s">
        <v>2767</v>
      </c>
    </row>
    <row r="116" spans="1:32">
      <c r="A116" t="s">
        <v>2768</v>
      </c>
      <c r="B116" t="s">
        <v>2760</v>
      </c>
      <c r="C116" s="385">
        <v>46155</v>
      </c>
      <c r="D116" s="396"/>
      <c r="E116">
        <v>60</v>
      </c>
      <c r="G116" s="19">
        <v>595</v>
      </c>
      <c r="H116" s="19">
        <v>970</v>
      </c>
      <c r="I116" s="19">
        <v>4</v>
      </c>
      <c r="J116">
        <v>200</v>
      </c>
      <c r="K116" s="167">
        <v>100</v>
      </c>
      <c r="L116" s="167">
        <v>400</v>
      </c>
      <c r="M116" s="167">
        <v>35</v>
      </c>
      <c r="O116">
        <v>75</v>
      </c>
      <c r="P116">
        <v>200</v>
      </c>
      <c r="Q116">
        <v>3.5</v>
      </c>
      <c r="R116" t="s">
        <v>2511</v>
      </c>
      <c r="V116" t="s">
        <v>2595</v>
      </c>
      <c r="X116" t="s">
        <v>2590</v>
      </c>
      <c r="Y116">
        <v>10</v>
      </c>
      <c r="Z116">
        <v>5</v>
      </c>
      <c r="AA116" t="s">
        <v>2512</v>
      </c>
      <c r="AB116" t="s">
        <v>2753</v>
      </c>
      <c r="AC116" t="s">
        <v>2769</v>
      </c>
      <c r="AD116" t="s">
        <v>2770</v>
      </c>
    </row>
    <row r="117" spans="1:32">
      <c r="A117" t="s">
        <v>2771</v>
      </c>
      <c r="B117" t="s">
        <v>2760</v>
      </c>
      <c r="C117" s="385">
        <v>46156</v>
      </c>
      <c r="D117" s="396"/>
      <c r="E117">
        <v>60</v>
      </c>
      <c r="G117" s="19">
        <v>595</v>
      </c>
      <c r="H117" s="19">
        <v>967</v>
      </c>
      <c r="I117" s="19">
        <v>4</v>
      </c>
      <c r="J117" s="206">
        <v>300</v>
      </c>
      <c r="K117" s="167">
        <v>100</v>
      </c>
      <c r="L117" s="167">
        <v>400</v>
      </c>
      <c r="M117" s="167">
        <v>35</v>
      </c>
      <c r="O117">
        <v>75</v>
      </c>
      <c r="P117">
        <v>200</v>
      </c>
      <c r="Q117">
        <v>3.5</v>
      </c>
      <c r="R117" s="206" t="s">
        <v>2772</v>
      </c>
      <c r="V117" t="s">
        <v>2595</v>
      </c>
      <c r="X117" s="206" t="s">
        <v>2511</v>
      </c>
      <c r="Y117">
        <v>10</v>
      </c>
      <c r="Z117">
        <v>5</v>
      </c>
      <c r="AA117" t="s">
        <v>2512</v>
      </c>
      <c r="AB117" t="s">
        <v>2753</v>
      </c>
      <c r="AD117" t="s">
        <v>2773</v>
      </c>
    </row>
    <row r="118" spans="1:32">
      <c r="A118" t="s">
        <v>2774</v>
      </c>
      <c r="B118" t="s">
        <v>2760</v>
      </c>
      <c r="C118" s="385">
        <v>46156</v>
      </c>
      <c r="D118" s="396"/>
      <c r="E118">
        <v>60</v>
      </c>
      <c r="G118" s="19">
        <v>616</v>
      </c>
      <c r="H118" s="19">
        <v>968</v>
      </c>
      <c r="I118" s="19">
        <v>4</v>
      </c>
      <c r="J118" s="206">
        <v>250</v>
      </c>
      <c r="K118" s="167">
        <v>100</v>
      </c>
      <c r="L118" s="167">
        <v>400</v>
      </c>
      <c r="M118" s="167">
        <v>35</v>
      </c>
      <c r="O118">
        <v>75</v>
      </c>
      <c r="P118">
        <v>200</v>
      </c>
      <c r="Q118">
        <v>3.5</v>
      </c>
      <c r="R118" s="206" t="s">
        <v>2775</v>
      </c>
      <c r="V118" t="s">
        <v>2595</v>
      </c>
      <c r="X118" s="206" t="s">
        <v>2776</v>
      </c>
      <c r="Y118">
        <v>10</v>
      </c>
      <c r="Z118">
        <v>5</v>
      </c>
      <c r="AA118" t="s">
        <v>2512</v>
      </c>
      <c r="AB118" t="s">
        <v>2753</v>
      </c>
    </row>
    <row r="119" spans="1:32">
      <c r="A119" t="s">
        <v>2777</v>
      </c>
      <c r="C119" s="385">
        <v>46156</v>
      </c>
      <c r="D119" s="396"/>
      <c r="E119">
        <v>60</v>
      </c>
      <c r="G119" s="19">
        <v>617</v>
      </c>
      <c r="H119" s="19">
        <v>968</v>
      </c>
      <c r="I119" s="19">
        <v>4</v>
      </c>
      <c r="J119" s="206">
        <v>250</v>
      </c>
      <c r="K119" s="167">
        <v>100</v>
      </c>
      <c r="L119" s="167">
        <v>400</v>
      </c>
      <c r="M119" s="167">
        <v>35</v>
      </c>
      <c r="O119">
        <v>75</v>
      </c>
      <c r="P119">
        <v>200</v>
      </c>
      <c r="Q119">
        <v>3.5</v>
      </c>
      <c r="R119" s="206" t="s">
        <v>2772</v>
      </c>
      <c r="V119" s="206" t="s">
        <v>2506</v>
      </c>
      <c r="W119" s="206"/>
      <c r="X119" s="206" t="s">
        <v>2776</v>
      </c>
      <c r="Y119">
        <v>10</v>
      </c>
      <c r="Z119">
        <v>5</v>
      </c>
      <c r="AA119" t="s">
        <v>2512</v>
      </c>
      <c r="AB119" t="s">
        <v>2753</v>
      </c>
      <c r="AD119" t="s">
        <v>2778</v>
      </c>
    </row>
    <row r="120" spans="1:32">
      <c r="A120" t="s">
        <v>2779</v>
      </c>
      <c r="C120" s="385">
        <v>46156</v>
      </c>
      <c r="D120" s="396"/>
      <c r="E120" s="206">
        <v>10</v>
      </c>
      <c r="G120" s="19">
        <v>617</v>
      </c>
      <c r="H120" s="19">
        <v>968</v>
      </c>
      <c r="I120" s="19">
        <v>4</v>
      </c>
      <c r="J120" s="206">
        <v>250</v>
      </c>
      <c r="K120" s="167">
        <v>100</v>
      </c>
      <c r="L120" s="167">
        <v>400</v>
      </c>
      <c r="M120" s="167">
        <v>35</v>
      </c>
      <c r="O120">
        <v>75</v>
      </c>
      <c r="P120">
        <v>200</v>
      </c>
      <c r="Q120">
        <v>3.5</v>
      </c>
      <c r="R120" t="s">
        <v>2772</v>
      </c>
      <c r="V120" t="s">
        <v>2506</v>
      </c>
      <c r="X120" t="s">
        <v>2776</v>
      </c>
      <c r="Y120">
        <v>10</v>
      </c>
      <c r="Z120">
        <v>5</v>
      </c>
      <c r="AA120" t="s">
        <v>2512</v>
      </c>
      <c r="AB120" t="s">
        <v>2780</v>
      </c>
      <c r="AD120" t="s">
        <v>2781</v>
      </c>
    </row>
    <row r="121" spans="1:32">
      <c r="I121" s="19">
        <v>9.5</v>
      </c>
      <c r="AD121" t="s">
        <v>2782</v>
      </c>
    </row>
    <row r="122" spans="1:32">
      <c r="A122" t="s">
        <v>2783</v>
      </c>
      <c r="B122" t="s">
        <v>2760</v>
      </c>
      <c r="C122" s="385">
        <v>46159</v>
      </c>
      <c r="D122" s="392"/>
      <c r="E122">
        <v>60</v>
      </c>
      <c r="G122" s="19">
        <v>602</v>
      </c>
      <c r="H122" s="19">
        <v>968</v>
      </c>
      <c r="I122" s="19">
        <v>4</v>
      </c>
      <c r="J122">
        <v>200</v>
      </c>
      <c r="K122" s="167">
        <v>100</v>
      </c>
      <c r="L122" s="167">
        <v>400</v>
      </c>
      <c r="M122" s="167">
        <v>35</v>
      </c>
      <c r="O122" s="206">
        <v>100</v>
      </c>
      <c r="P122">
        <v>200</v>
      </c>
      <c r="Q122" s="206">
        <v>3</v>
      </c>
      <c r="R122" t="s">
        <v>2511</v>
      </c>
      <c r="V122" t="s">
        <v>2595</v>
      </c>
      <c r="X122" t="s">
        <v>2590</v>
      </c>
      <c r="Y122">
        <v>10</v>
      </c>
      <c r="Z122">
        <v>5</v>
      </c>
      <c r="AA122" t="s">
        <v>2784</v>
      </c>
      <c r="AB122" t="s">
        <v>2753</v>
      </c>
      <c r="AC122" t="s">
        <v>2785</v>
      </c>
      <c r="AD122" t="s">
        <v>2786</v>
      </c>
    </row>
    <row r="123" spans="1:32">
      <c r="A123" t="s">
        <v>2787</v>
      </c>
      <c r="B123" t="s">
        <v>2760</v>
      </c>
      <c r="C123" s="385">
        <v>46159</v>
      </c>
      <c r="D123" t="s">
        <v>2788</v>
      </c>
      <c r="E123">
        <v>60</v>
      </c>
      <c r="G123" s="19">
        <v>602</v>
      </c>
      <c r="H123" s="19">
        <v>968</v>
      </c>
      <c r="I123" s="19">
        <v>4</v>
      </c>
      <c r="J123">
        <v>200</v>
      </c>
      <c r="K123" s="167">
        <v>100</v>
      </c>
      <c r="L123" s="167">
        <v>400</v>
      </c>
      <c r="M123" s="167">
        <v>35</v>
      </c>
      <c r="O123" s="206">
        <v>75</v>
      </c>
      <c r="P123">
        <v>200</v>
      </c>
      <c r="Q123">
        <v>3.5</v>
      </c>
      <c r="R123" t="s">
        <v>2511</v>
      </c>
      <c r="V123" t="s">
        <v>2595</v>
      </c>
      <c r="X123" t="s">
        <v>2590</v>
      </c>
      <c r="Y123">
        <v>10</v>
      </c>
      <c r="Z123">
        <v>5</v>
      </c>
      <c r="AA123" t="s">
        <v>2512</v>
      </c>
      <c r="AB123" t="s">
        <v>2753</v>
      </c>
    </row>
    <row r="124" spans="1:32">
      <c r="A124" t="s">
        <v>2789</v>
      </c>
      <c r="B124" t="s">
        <v>2760</v>
      </c>
      <c r="C124" s="385">
        <v>46160</v>
      </c>
      <c r="D124" t="s">
        <v>2790</v>
      </c>
      <c r="E124">
        <v>60</v>
      </c>
      <c r="G124" s="19">
        <v>602</v>
      </c>
      <c r="H124" s="19">
        <v>964</v>
      </c>
      <c r="I124" s="19">
        <v>4</v>
      </c>
      <c r="J124">
        <v>200</v>
      </c>
      <c r="K124" s="167">
        <v>100</v>
      </c>
      <c r="L124" s="167">
        <v>400</v>
      </c>
      <c r="M124" s="167">
        <v>30</v>
      </c>
      <c r="O124" s="206">
        <v>75</v>
      </c>
      <c r="P124">
        <v>200</v>
      </c>
      <c r="Q124">
        <v>3.5</v>
      </c>
      <c r="R124" t="s">
        <v>2511</v>
      </c>
      <c r="V124" t="s">
        <v>2595</v>
      </c>
      <c r="X124" t="s">
        <v>2590</v>
      </c>
      <c r="Y124">
        <v>10</v>
      </c>
      <c r="Z124">
        <v>5</v>
      </c>
      <c r="AA124" t="s">
        <v>2512</v>
      </c>
      <c r="AB124" t="s">
        <v>2753</v>
      </c>
      <c r="AD124" t="s">
        <v>2791</v>
      </c>
    </row>
    <row r="125" spans="1:32">
      <c r="A125" t="s">
        <v>2792</v>
      </c>
      <c r="B125" t="s">
        <v>2751</v>
      </c>
      <c r="C125" s="385">
        <v>46160</v>
      </c>
      <c r="D125" t="s">
        <v>2793</v>
      </c>
      <c r="E125">
        <v>60</v>
      </c>
      <c r="G125" s="19">
        <v>606</v>
      </c>
      <c r="H125" s="19">
        <v>970</v>
      </c>
      <c r="I125" s="346">
        <v>2</v>
      </c>
      <c r="J125">
        <v>200</v>
      </c>
      <c r="K125" s="167">
        <v>100</v>
      </c>
      <c r="L125" s="167">
        <v>400</v>
      </c>
      <c r="M125" s="167">
        <v>30</v>
      </c>
      <c r="O125">
        <v>50</v>
      </c>
      <c r="P125">
        <v>200</v>
      </c>
      <c r="Q125">
        <v>3.5</v>
      </c>
      <c r="R125" t="s">
        <v>2511</v>
      </c>
      <c r="V125" t="s">
        <v>2595</v>
      </c>
      <c r="X125" t="s">
        <v>2590</v>
      </c>
      <c r="Y125">
        <v>10</v>
      </c>
      <c r="Z125">
        <v>5</v>
      </c>
      <c r="AA125" t="s">
        <v>2512</v>
      </c>
      <c r="AB125" t="s">
        <v>2753</v>
      </c>
      <c r="AD125" t="s">
        <v>2794</v>
      </c>
    </row>
    <row r="126" spans="1:32" s="405" customFormat="1" ht="16.5" thickBot="1">
      <c r="A126" s="405" t="s">
        <v>2795</v>
      </c>
      <c r="B126" s="405" t="s">
        <v>2751</v>
      </c>
      <c r="C126" s="406">
        <v>46160</v>
      </c>
      <c r="D126" s="405" t="s">
        <v>2796</v>
      </c>
      <c r="E126" s="405">
        <v>60</v>
      </c>
      <c r="F126" s="407"/>
      <c r="G126" s="407">
        <v>613</v>
      </c>
      <c r="H126" s="407">
        <v>970</v>
      </c>
      <c r="I126" s="408">
        <v>2</v>
      </c>
      <c r="J126" s="405">
        <v>200</v>
      </c>
      <c r="K126" s="409">
        <v>100</v>
      </c>
      <c r="L126" s="409">
        <v>200</v>
      </c>
      <c r="M126" s="409">
        <v>35</v>
      </c>
      <c r="O126" s="405" t="s">
        <v>2377</v>
      </c>
      <c r="P126" s="405" t="s">
        <v>2377</v>
      </c>
      <c r="Q126" s="410">
        <v>0.5</v>
      </c>
      <c r="R126" s="405" t="s">
        <v>2511</v>
      </c>
      <c r="V126" s="405" t="s">
        <v>2595</v>
      </c>
      <c r="X126" s="405" t="s">
        <v>2590</v>
      </c>
      <c r="Y126" s="405">
        <v>10</v>
      </c>
      <c r="Z126" s="405">
        <v>5</v>
      </c>
      <c r="AA126" s="405" t="s">
        <v>2756</v>
      </c>
      <c r="AB126" s="405" t="s">
        <v>2753</v>
      </c>
      <c r="AD126" s="405" t="s">
        <v>2797</v>
      </c>
    </row>
    <row r="127" spans="1:32" ht="16.5" thickTop="1">
      <c r="A127" t="s">
        <v>2798</v>
      </c>
      <c r="B127" t="s">
        <v>2495</v>
      </c>
      <c r="C127" s="385">
        <v>46167</v>
      </c>
      <c r="D127" t="s">
        <v>2799</v>
      </c>
      <c r="E127">
        <v>60</v>
      </c>
      <c r="G127" s="19">
        <v>645</v>
      </c>
      <c r="H127" s="19">
        <v>970</v>
      </c>
      <c r="I127" s="346">
        <v>2</v>
      </c>
      <c r="J127">
        <v>200</v>
      </c>
      <c r="K127" s="167">
        <v>100</v>
      </c>
      <c r="L127" s="167">
        <v>400</v>
      </c>
      <c r="M127" s="167">
        <v>35</v>
      </c>
      <c r="O127">
        <v>50</v>
      </c>
      <c r="P127">
        <v>200</v>
      </c>
      <c r="Q127">
        <v>3.5</v>
      </c>
      <c r="R127" t="s">
        <v>2511</v>
      </c>
      <c r="V127" t="s">
        <v>2595</v>
      </c>
      <c r="X127" t="s">
        <v>2590</v>
      </c>
      <c r="Y127">
        <v>10</v>
      </c>
      <c r="Z127">
        <v>5</v>
      </c>
      <c r="AA127" t="s">
        <v>2512</v>
      </c>
      <c r="AB127" t="s">
        <v>2753</v>
      </c>
      <c r="AC127" t="s">
        <v>2800</v>
      </c>
      <c r="AD127" t="s">
        <v>2801</v>
      </c>
      <c r="AF127" t="s">
        <v>2802</v>
      </c>
    </row>
    <row r="128" spans="1:32">
      <c r="A128" t="s">
        <v>2803</v>
      </c>
      <c r="C128" s="385">
        <v>46167</v>
      </c>
      <c r="D128" t="s">
        <v>2799</v>
      </c>
      <c r="E128">
        <v>60</v>
      </c>
      <c r="G128" s="19">
        <v>642</v>
      </c>
      <c r="H128" s="19">
        <v>965</v>
      </c>
      <c r="I128" s="346">
        <v>4</v>
      </c>
      <c r="J128">
        <v>200</v>
      </c>
      <c r="K128" s="167">
        <v>100</v>
      </c>
      <c r="L128" s="167">
        <v>400</v>
      </c>
      <c r="M128" s="167">
        <v>35</v>
      </c>
      <c r="O128">
        <v>75</v>
      </c>
      <c r="P128">
        <v>200</v>
      </c>
      <c r="Q128">
        <v>3.5</v>
      </c>
      <c r="R128" t="s">
        <v>2511</v>
      </c>
      <c r="V128" t="s">
        <v>2695</v>
      </c>
      <c r="X128" t="s">
        <v>2590</v>
      </c>
      <c r="Y128">
        <v>10</v>
      </c>
      <c r="Z128">
        <v>5</v>
      </c>
      <c r="AA128" t="s">
        <v>2512</v>
      </c>
      <c r="AB128" t="s">
        <v>2753</v>
      </c>
      <c r="AC128" t="s">
        <v>2804</v>
      </c>
    </row>
    <row r="129" spans="1:32">
      <c r="A129" t="s">
        <v>2805</v>
      </c>
      <c r="C129" s="385">
        <v>46167</v>
      </c>
      <c r="D129" t="s">
        <v>2806</v>
      </c>
      <c r="E129">
        <v>60</v>
      </c>
      <c r="G129" s="19">
        <v>642</v>
      </c>
      <c r="H129" s="19">
        <v>963</v>
      </c>
      <c r="I129" s="346">
        <v>4</v>
      </c>
      <c r="J129">
        <v>200</v>
      </c>
      <c r="K129" s="167">
        <v>100</v>
      </c>
      <c r="L129" s="167">
        <v>400</v>
      </c>
      <c r="M129" s="167">
        <v>35</v>
      </c>
      <c r="O129">
        <v>75</v>
      </c>
      <c r="P129">
        <v>200</v>
      </c>
      <c r="Q129">
        <v>3.5</v>
      </c>
      <c r="R129" t="s">
        <v>2511</v>
      </c>
      <c r="V129" t="s">
        <v>2695</v>
      </c>
      <c r="X129" t="s">
        <v>2590</v>
      </c>
      <c r="Y129">
        <v>10</v>
      </c>
      <c r="Z129">
        <v>5</v>
      </c>
      <c r="AA129" t="s">
        <v>2512</v>
      </c>
      <c r="AB129" t="s">
        <v>2753</v>
      </c>
      <c r="AC129" t="s">
        <v>2804</v>
      </c>
    </row>
    <row r="130" spans="1:32">
      <c r="A130" t="s">
        <v>2807</v>
      </c>
      <c r="C130" s="385">
        <v>46168</v>
      </c>
      <c r="D130" s="313" t="s">
        <v>2808</v>
      </c>
      <c r="E130">
        <v>60</v>
      </c>
      <c r="G130" s="19">
        <v>642</v>
      </c>
      <c r="H130" s="19">
        <v>964</v>
      </c>
      <c r="I130" s="19">
        <v>4</v>
      </c>
      <c r="J130">
        <v>200</v>
      </c>
      <c r="K130" s="167">
        <v>100</v>
      </c>
      <c r="L130" s="167">
        <v>400</v>
      </c>
      <c r="M130" s="167">
        <v>35</v>
      </c>
      <c r="O130">
        <v>75</v>
      </c>
      <c r="P130">
        <v>200</v>
      </c>
      <c r="Q130" s="206">
        <v>4</v>
      </c>
      <c r="R130" t="s">
        <v>2511</v>
      </c>
      <c r="V130" s="206" t="s">
        <v>2630</v>
      </c>
      <c r="W130" s="206"/>
      <c r="X130" t="s">
        <v>2590</v>
      </c>
      <c r="Y130">
        <v>10</v>
      </c>
      <c r="Z130">
        <v>5</v>
      </c>
      <c r="AA130" t="s">
        <v>2692</v>
      </c>
      <c r="AB130" t="s">
        <v>2753</v>
      </c>
    </row>
    <row r="131" spans="1:32">
      <c r="A131" t="s">
        <v>2809</v>
      </c>
      <c r="C131" s="385">
        <v>46168</v>
      </c>
      <c r="D131" s="313"/>
      <c r="E131">
        <v>60</v>
      </c>
      <c r="G131" s="19">
        <v>636</v>
      </c>
      <c r="H131" s="19">
        <v>962</v>
      </c>
      <c r="I131" s="19">
        <v>4</v>
      </c>
      <c r="J131">
        <v>200</v>
      </c>
      <c r="K131" s="167">
        <v>100</v>
      </c>
      <c r="L131" s="167">
        <v>400</v>
      </c>
      <c r="M131" s="167">
        <v>35</v>
      </c>
      <c r="O131">
        <v>75</v>
      </c>
      <c r="P131">
        <v>200</v>
      </c>
      <c r="Q131" s="206">
        <v>4.5</v>
      </c>
      <c r="R131" t="s">
        <v>2511</v>
      </c>
      <c r="V131" s="206" t="s">
        <v>2810</v>
      </c>
      <c r="W131" s="206"/>
      <c r="X131" t="s">
        <v>2590</v>
      </c>
      <c r="Y131">
        <v>10</v>
      </c>
      <c r="Z131">
        <v>5</v>
      </c>
      <c r="AA131" t="s">
        <v>2579</v>
      </c>
      <c r="AB131" t="s">
        <v>2753</v>
      </c>
      <c r="AD131" t="s">
        <v>2811</v>
      </c>
      <c r="AF131" t="s">
        <v>2812</v>
      </c>
    </row>
    <row r="132" spans="1:32">
      <c r="A132" t="s">
        <v>2813</v>
      </c>
      <c r="C132" s="385">
        <v>46168</v>
      </c>
      <c r="D132" s="313"/>
      <c r="E132">
        <v>60</v>
      </c>
      <c r="G132" s="19">
        <v>635</v>
      </c>
      <c r="H132" s="19">
        <v>960</v>
      </c>
      <c r="I132" s="19">
        <v>4</v>
      </c>
      <c r="J132">
        <v>200</v>
      </c>
      <c r="K132" s="167">
        <v>100</v>
      </c>
      <c r="L132" s="167">
        <v>400</v>
      </c>
      <c r="M132" s="167">
        <v>35</v>
      </c>
      <c r="O132">
        <v>75</v>
      </c>
      <c r="P132">
        <v>200</v>
      </c>
      <c r="Q132" s="206">
        <v>5.5</v>
      </c>
      <c r="R132" t="s">
        <v>2511</v>
      </c>
      <c r="V132" s="206" t="s">
        <v>2814</v>
      </c>
      <c r="W132" s="206"/>
      <c r="X132" t="s">
        <v>2590</v>
      </c>
      <c r="Y132">
        <v>10</v>
      </c>
      <c r="Z132">
        <v>5</v>
      </c>
      <c r="AA132" t="s">
        <v>2815</v>
      </c>
      <c r="AB132" t="s">
        <v>2753</v>
      </c>
    </row>
    <row r="133" spans="1:32">
      <c r="A133" t="s">
        <v>2816</v>
      </c>
      <c r="C133" s="385">
        <v>46169</v>
      </c>
      <c r="E133">
        <v>60</v>
      </c>
      <c r="I133" s="19">
        <v>4</v>
      </c>
      <c r="J133">
        <v>200</v>
      </c>
      <c r="K133" s="167">
        <v>100</v>
      </c>
      <c r="L133" s="167">
        <v>400</v>
      </c>
      <c r="M133" s="167">
        <v>35</v>
      </c>
      <c r="O133">
        <v>75</v>
      </c>
      <c r="P133">
        <v>200</v>
      </c>
      <c r="Q133" s="206">
        <v>4.5</v>
      </c>
      <c r="R133" t="s">
        <v>2511</v>
      </c>
      <c r="V133" s="206" t="s">
        <v>2810</v>
      </c>
      <c r="W133" s="206"/>
      <c r="X133" t="s">
        <v>2590</v>
      </c>
      <c r="Y133">
        <v>10</v>
      </c>
      <c r="Z133">
        <v>5</v>
      </c>
      <c r="AA133" t="s">
        <v>2817</v>
      </c>
      <c r="AB133" t="s">
        <v>2753</v>
      </c>
      <c r="AD133" t="s">
        <v>2818</v>
      </c>
    </row>
    <row r="134" spans="1:32">
      <c r="A134" t="s">
        <v>2819</v>
      </c>
      <c r="C134" s="385">
        <v>46169</v>
      </c>
      <c r="D134" t="s">
        <v>2820</v>
      </c>
      <c r="E134">
        <v>60</v>
      </c>
      <c r="G134" s="19">
        <v>636</v>
      </c>
      <c r="H134" s="19">
        <v>962</v>
      </c>
      <c r="I134" s="19">
        <v>4</v>
      </c>
      <c r="J134">
        <v>200</v>
      </c>
      <c r="K134" s="167">
        <v>100</v>
      </c>
      <c r="L134" s="167">
        <v>400</v>
      </c>
      <c r="M134" s="167">
        <v>35</v>
      </c>
      <c r="O134">
        <v>75</v>
      </c>
      <c r="P134">
        <v>200</v>
      </c>
      <c r="Q134" s="206">
        <v>4.5</v>
      </c>
      <c r="R134" t="s">
        <v>2511</v>
      </c>
      <c r="V134" s="206" t="s">
        <v>2810</v>
      </c>
      <c r="W134" s="206"/>
      <c r="X134" t="s">
        <v>2590</v>
      </c>
      <c r="Y134">
        <v>10</v>
      </c>
      <c r="Z134">
        <v>5</v>
      </c>
      <c r="AA134" t="s">
        <v>2579</v>
      </c>
      <c r="AB134" t="s">
        <v>2753</v>
      </c>
      <c r="AD134" t="s">
        <v>2821</v>
      </c>
    </row>
    <row r="135" spans="1:32">
      <c r="A135" t="s">
        <v>2822</v>
      </c>
      <c r="C135" s="385">
        <v>46169</v>
      </c>
      <c r="D135" s="387" t="s">
        <v>2823</v>
      </c>
      <c r="E135">
        <v>60</v>
      </c>
      <c r="G135" s="19">
        <v>632</v>
      </c>
      <c r="H135" s="19">
        <v>959</v>
      </c>
      <c r="I135" s="19">
        <v>4</v>
      </c>
      <c r="J135" s="206">
        <v>100</v>
      </c>
      <c r="K135" s="167">
        <v>100</v>
      </c>
      <c r="L135" s="167">
        <v>400</v>
      </c>
      <c r="M135" s="167">
        <v>35</v>
      </c>
      <c r="O135">
        <v>75</v>
      </c>
      <c r="P135">
        <v>200</v>
      </c>
      <c r="Q135">
        <v>4.5</v>
      </c>
      <c r="R135" s="206" t="s">
        <v>2776</v>
      </c>
      <c r="V135" t="s">
        <v>2810</v>
      </c>
      <c r="X135" t="s">
        <v>2590</v>
      </c>
      <c r="Y135">
        <v>10</v>
      </c>
      <c r="Z135">
        <v>5</v>
      </c>
      <c r="AA135" t="s">
        <v>2579</v>
      </c>
      <c r="AB135" t="s">
        <v>2753</v>
      </c>
      <c r="AD135" t="s">
        <v>2824</v>
      </c>
    </row>
    <row r="136" spans="1:32">
      <c r="A136" t="s">
        <v>2825</v>
      </c>
      <c r="C136" s="385">
        <v>46170</v>
      </c>
      <c r="D136" s="387"/>
      <c r="E136">
        <v>60</v>
      </c>
      <c r="G136" s="19">
        <v>632</v>
      </c>
      <c r="H136" s="19">
        <v>955</v>
      </c>
      <c r="I136" s="19">
        <v>4</v>
      </c>
      <c r="J136">
        <v>200</v>
      </c>
      <c r="K136" s="167">
        <v>100</v>
      </c>
      <c r="L136" s="167">
        <v>400</v>
      </c>
      <c r="M136" s="167">
        <v>35</v>
      </c>
      <c r="O136">
        <v>75</v>
      </c>
      <c r="P136">
        <v>200</v>
      </c>
      <c r="Q136">
        <v>4.5</v>
      </c>
      <c r="R136" s="206" t="s">
        <v>2776</v>
      </c>
      <c r="V136" t="s">
        <v>2810</v>
      </c>
      <c r="X136" t="s">
        <v>2590</v>
      </c>
      <c r="Y136">
        <v>10</v>
      </c>
      <c r="Z136">
        <v>5</v>
      </c>
      <c r="AA136" t="s">
        <v>2579</v>
      </c>
      <c r="AB136" t="s">
        <v>2753</v>
      </c>
      <c r="AD136" t="s">
        <v>2826</v>
      </c>
    </row>
    <row r="137" spans="1:32">
      <c r="A137" t="s">
        <v>2827</v>
      </c>
      <c r="C137" s="385">
        <v>46170</v>
      </c>
      <c r="D137" s="387"/>
      <c r="E137">
        <v>60</v>
      </c>
      <c r="G137" s="19">
        <v>623</v>
      </c>
      <c r="H137" s="19">
        <v>947</v>
      </c>
      <c r="I137" s="19">
        <v>4</v>
      </c>
      <c r="J137">
        <v>200</v>
      </c>
      <c r="K137" s="167">
        <v>100</v>
      </c>
      <c r="L137" s="167">
        <v>400</v>
      </c>
      <c r="M137" s="167">
        <v>35</v>
      </c>
      <c r="O137">
        <v>75</v>
      </c>
      <c r="P137">
        <v>200</v>
      </c>
      <c r="Q137">
        <v>4.5</v>
      </c>
      <c r="R137" s="206" t="s">
        <v>2590</v>
      </c>
      <c r="V137" t="s">
        <v>2810</v>
      </c>
      <c r="X137" t="s">
        <v>2590</v>
      </c>
      <c r="Y137">
        <v>10</v>
      </c>
      <c r="Z137">
        <v>5</v>
      </c>
      <c r="AA137" t="s">
        <v>2579</v>
      </c>
      <c r="AB137" t="s">
        <v>2753</v>
      </c>
    </row>
    <row r="138" spans="1:32">
      <c r="A138" t="s">
        <v>2828</v>
      </c>
      <c r="C138" s="385">
        <v>46170</v>
      </c>
      <c r="D138" s="387"/>
      <c r="E138">
        <v>60</v>
      </c>
      <c r="G138" s="19">
        <v>623</v>
      </c>
      <c r="H138" s="19">
        <v>947</v>
      </c>
      <c r="I138" s="19">
        <v>4</v>
      </c>
      <c r="J138" s="206">
        <v>100</v>
      </c>
      <c r="K138" s="305">
        <v>200</v>
      </c>
      <c r="L138" s="167">
        <v>400</v>
      </c>
      <c r="M138" s="167">
        <v>35</v>
      </c>
      <c r="O138">
        <v>75</v>
      </c>
      <c r="P138">
        <v>200</v>
      </c>
      <c r="Q138">
        <v>4.5</v>
      </c>
      <c r="R138" t="s">
        <v>2590</v>
      </c>
      <c r="V138" t="s">
        <v>2810</v>
      </c>
      <c r="X138" t="s">
        <v>2590</v>
      </c>
      <c r="Y138">
        <v>10</v>
      </c>
      <c r="Z138">
        <v>5</v>
      </c>
      <c r="AA138" t="s">
        <v>2579</v>
      </c>
      <c r="AB138" t="s">
        <v>2753</v>
      </c>
    </row>
    <row r="139" spans="1:32">
      <c r="A139" t="s">
        <v>2829</v>
      </c>
      <c r="B139" t="s">
        <v>2828</v>
      </c>
      <c r="C139" s="385">
        <v>46171</v>
      </c>
      <c r="E139">
        <v>60</v>
      </c>
      <c r="G139" s="19">
        <v>623</v>
      </c>
      <c r="H139" s="19">
        <v>950</v>
      </c>
      <c r="I139" s="19">
        <v>4</v>
      </c>
      <c r="J139">
        <v>100</v>
      </c>
      <c r="K139" s="167">
        <v>200</v>
      </c>
      <c r="L139" s="167">
        <v>400</v>
      </c>
      <c r="M139" s="167">
        <v>35</v>
      </c>
      <c r="O139">
        <v>75</v>
      </c>
      <c r="P139">
        <v>200</v>
      </c>
      <c r="Q139" s="206">
        <v>5.5</v>
      </c>
      <c r="R139" t="s">
        <v>2590</v>
      </c>
      <c r="S139" s="206"/>
      <c r="T139" s="206"/>
      <c r="U139" s="206"/>
      <c r="V139" s="206" t="s">
        <v>2814</v>
      </c>
      <c r="W139" s="206"/>
      <c r="X139" t="s">
        <v>2590</v>
      </c>
      <c r="Y139">
        <v>10</v>
      </c>
      <c r="Z139">
        <v>5</v>
      </c>
      <c r="AA139" t="s">
        <v>2579</v>
      </c>
      <c r="AB139" t="s">
        <v>2753</v>
      </c>
      <c r="AC139" t="s">
        <v>2830</v>
      </c>
      <c r="AD139" t="s">
        <v>2831</v>
      </c>
    </row>
    <row r="140" spans="1:32">
      <c r="A140" t="s">
        <v>2832</v>
      </c>
      <c r="B140" t="s">
        <v>2828</v>
      </c>
      <c r="C140" s="385">
        <v>46171</v>
      </c>
      <c r="E140">
        <v>60</v>
      </c>
      <c r="G140" s="19">
        <v>621</v>
      </c>
      <c r="H140" s="19">
        <v>949</v>
      </c>
      <c r="I140" s="19">
        <v>4</v>
      </c>
      <c r="J140">
        <v>100</v>
      </c>
      <c r="K140" s="167">
        <v>200</v>
      </c>
      <c r="L140" s="167">
        <v>400</v>
      </c>
      <c r="M140" s="167">
        <v>35</v>
      </c>
      <c r="O140">
        <v>75</v>
      </c>
      <c r="P140">
        <v>200</v>
      </c>
      <c r="Q140">
        <v>4.5</v>
      </c>
      <c r="R140" t="s">
        <v>2590</v>
      </c>
      <c r="V140" t="s">
        <v>2810</v>
      </c>
      <c r="X140" t="s">
        <v>2590</v>
      </c>
      <c r="Y140">
        <v>10</v>
      </c>
      <c r="Z140">
        <v>5</v>
      </c>
      <c r="AA140" t="s">
        <v>2579</v>
      </c>
      <c r="AB140" s="206" t="s">
        <v>2833</v>
      </c>
      <c r="AD140" t="s">
        <v>2834</v>
      </c>
    </row>
    <row r="141" spans="1:32">
      <c r="A141" t="s">
        <v>2835</v>
      </c>
      <c r="C141" s="385">
        <v>46174</v>
      </c>
      <c r="D141" t="s">
        <v>2836</v>
      </c>
      <c r="E141">
        <v>60</v>
      </c>
      <c r="G141" s="19">
        <v>623</v>
      </c>
      <c r="H141" s="19">
        <v>948</v>
      </c>
      <c r="I141" s="19">
        <v>4</v>
      </c>
      <c r="J141">
        <v>100</v>
      </c>
      <c r="K141" s="167">
        <v>200</v>
      </c>
      <c r="L141" s="167">
        <v>400</v>
      </c>
      <c r="M141" s="167">
        <v>35</v>
      </c>
      <c r="O141">
        <v>75</v>
      </c>
      <c r="P141" s="206">
        <v>400</v>
      </c>
      <c r="Q141">
        <v>4.5</v>
      </c>
      <c r="R141" t="s">
        <v>2590</v>
      </c>
      <c r="V141" t="s">
        <v>2810</v>
      </c>
      <c r="X141" t="s">
        <v>2590</v>
      </c>
      <c r="Y141">
        <v>10</v>
      </c>
      <c r="Z141">
        <v>5</v>
      </c>
      <c r="AA141" t="s">
        <v>2579</v>
      </c>
      <c r="AB141" t="s">
        <v>2833</v>
      </c>
      <c r="AC141" t="s">
        <v>2837</v>
      </c>
      <c r="AD141" t="s">
        <v>2838</v>
      </c>
    </row>
    <row r="142" spans="1:32">
      <c r="A142" t="s">
        <v>2839</v>
      </c>
      <c r="C142" s="385">
        <v>46175</v>
      </c>
      <c r="E142">
        <v>60</v>
      </c>
      <c r="G142" s="19">
        <v>621</v>
      </c>
      <c r="H142" s="19">
        <v>945</v>
      </c>
      <c r="I142" s="19">
        <v>4</v>
      </c>
      <c r="J142" s="206">
        <v>150</v>
      </c>
      <c r="K142" s="305">
        <v>150</v>
      </c>
      <c r="L142" s="167">
        <v>400</v>
      </c>
      <c r="M142" s="167">
        <v>35</v>
      </c>
      <c r="O142" s="206">
        <v>50</v>
      </c>
      <c r="P142">
        <v>400</v>
      </c>
      <c r="Q142">
        <v>4.5</v>
      </c>
      <c r="R142" t="s">
        <v>2590</v>
      </c>
      <c r="V142" t="s">
        <v>2810</v>
      </c>
      <c r="X142" t="s">
        <v>2590</v>
      </c>
      <c r="Y142">
        <v>10</v>
      </c>
      <c r="Z142">
        <v>5</v>
      </c>
      <c r="AA142" t="s">
        <v>2579</v>
      </c>
      <c r="AB142" t="s">
        <v>2833</v>
      </c>
    </row>
    <row r="143" spans="1:32">
      <c r="A143" t="s">
        <v>2840</v>
      </c>
      <c r="B143" t="s">
        <v>2828</v>
      </c>
      <c r="C143" s="385">
        <v>46175</v>
      </c>
      <c r="D143" t="s">
        <v>2841</v>
      </c>
      <c r="E143">
        <v>60</v>
      </c>
      <c r="G143" s="19">
        <v>614</v>
      </c>
      <c r="H143" s="19">
        <v>941</v>
      </c>
      <c r="I143" s="19">
        <v>4</v>
      </c>
      <c r="J143" s="206">
        <v>100</v>
      </c>
      <c r="K143" s="305">
        <v>200</v>
      </c>
      <c r="L143" s="167">
        <v>400</v>
      </c>
      <c r="M143" s="167">
        <v>35</v>
      </c>
      <c r="O143">
        <v>75</v>
      </c>
      <c r="P143">
        <v>200</v>
      </c>
      <c r="Q143">
        <v>4.5</v>
      </c>
      <c r="R143" t="s">
        <v>2590</v>
      </c>
      <c r="V143" t="s">
        <v>2810</v>
      </c>
      <c r="X143" t="s">
        <v>2590</v>
      </c>
      <c r="Y143">
        <v>10</v>
      </c>
      <c r="Z143">
        <v>5</v>
      </c>
      <c r="AA143" t="s">
        <v>2579</v>
      </c>
      <c r="AB143" t="s">
        <v>2833</v>
      </c>
      <c r="AC143" t="s">
        <v>2842</v>
      </c>
      <c r="AD143" t="s">
        <v>2843</v>
      </c>
    </row>
    <row r="144" spans="1:32">
      <c r="A144" s="412" t="s">
        <v>2844</v>
      </c>
      <c r="B144" t="s">
        <v>2429</v>
      </c>
      <c r="C144" s="385">
        <v>46175</v>
      </c>
    </row>
    <row r="145" spans="1:33">
      <c r="A145" t="s">
        <v>2845</v>
      </c>
      <c r="B145" t="s">
        <v>2828</v>
      </c>
      <c r="C145" s="385">
        <v>46176</v>
      </c>
      <c r="D145" t="s">
        <v>1950</v>
      </c>
      <c r="E145">
        <v>60</v>
      </c>
      <c r="G145" s="19">
        <v>615</v>
      </c>
      <c r="H145" s="19">
        <v>942</v>
      </c>
      <c r="I145" s="19">
        <v>4</v>
      </c>
      <c r="J145" s="206">
        <v>100</v>
      </c>
      <c r="K145" s="305">
        <v>200</v>
      </c>
      <c r="L145" s="167">
        <v>400</v>
      </c>
      <c r="M145" s="167">
        <v>35</v>
      </c>
      <c r="O145">
        <v>75</v>
      </c>
      <c r="P145">
        <v>200</v>
      </c>
      <c r="Q145">
        <v>4.5</v>
      </c>
      <c r="R145" t="s">
        <v>2590</v>
      </c>
      <c r="V145" t="s">
        <v>2810</v>
      </c>
      <c r="X145" t="s">
        <v>2590</v>
      </c>
      <c r="Y145">
        <v>10</v>
      </c>
      <c r="Z145">
        <v>5</v>
      </c>
      <c r="AA145" t="s">
        <v>2579</v>
      </c>
      <c r="AB145" t="s">
        <v>2833</v>
      </c>
      <c r="AC145" t="s">
        <v>2846</v>
      </c>
      <c r="AD145" t="s">
        <v>2847</v>
      </c>
    </row>
    <row r="146" spans="1:33">
      <c r="A146" s="412" t="s">
        <v>2848</v>
      </c>
      <c r="B146" t="s">
        <v>2429</v>
      </c>
      <c r="C146" s="385">
        <v>46176</v>
      </c>
      <c r="E146">
        <v>80</v>
      </c>
      <c r="G146" s="19">
        <v>550</v>
      </c>
      <c r="H146" s="19">
        <v>943</v>
      </c>
      <c r="I146" s="19">
        <v>1.5</v>
      </c>
      <c r="J146" s="206">
        <v>100</v>
      </c>
      <c r="K146" s="305"/>
      <c r="O146">
        <v>75</v>
      </c>
      <c r="P146">
        <v>200</v>
      </c>
      <c r="Q146">
        <v>4.5</v>
      </c>
      <c r="R146" t="s">
        <v>2590</v>
      </c>
      <c r="X146" t="s">
        <v>2590</v>
      </c>
      <c r="Y146">
        <v>10</v>
      </c>
      <c r="Z146">
        <v>5</v>
      </c>
      <c r="AA146" t="s">
        <v>2579</v>
      </c>
      <c r="AC146" t="s">
        <v>2849</v>
      </c>
      <c r="AD146" t="s">
        <v>2850</v>
      </c>
    </row>
    <row r="147" spans="1:33">
      <c r="A147" t="s">
        <v>2851</v>
      </c>
      <c r="B147" t="s">
        <v>2828</v>
      </c>
      <c r="C147" s="385">
        <v>46176</v>
      </c>
      <c r="D147" t="s">
        <v>1950</v>
      </c>
      <c r="E147">
        <v>60</v>
      </c>
      <c r="G147" s="19">
        <v>585</v>
      </c>
      <c r="H147" s="19">
        <v>941</v>
      </c>
      <c r="I147" s="19">
        <v>4</v>
      </c>
      <c r="J147" s="206">
        <v>100</v>
      </c>
      <c r="K147" s="305">
        <v>200</v>
      </c>
      <c r="L147" s="167">
        <v>400</v>
      </c>
      <c r="M147" s="167">
        <v>35</v>
      </c>
      <c r="O147">
        <v>75</v>
      </c>
      <c r="P147">
        <v>200</v>
      </c>
      <c r="Q147">
        <v>4.5</v>
      </c>
      <c r="R147" t="s">
        <v>2590</v>
      </c>
      <c r="V147" t="s">
        <v>2810</v>
      </c>
      <c r="X147" t="s">
        <v>2590</v>
      </c>
      <c r="Y147">
        <v>10</v>
      </c>
      <c r="Z147">
        <v>5</v>
      </c>
      <c r="AA147" t="s">
        <v>2579</v>
      </c>
      <c r="AB147" t="s">
        <v>2833</v>
      </c>
      <c r="AC147" s="365" t="s">
        <v>2852</v>
      </c>
    </row>
    <row r="148" spans="1:33" ht="16.5" thickBot="1">
      <c r="A148" t="s">
        <v>2853</v>
      </c>
      <c r="B148" t="s">
        <v>2835</v>
      </c>
      <c r="C148" s="385">
        <v>46176</v>
      </c>
      <c r="D148" t="s">
        <v>1950</v>
      </c>
      <c r="E148">
        <v>60</v>
      </c>
      <c r="G148" s="19">
        <v>557</v>
      </c>
      <c r="H148" s="19">
        <v>944</v>
      </c>
      <c r="I148" s="19">
        <v>4</v>
      </c>
      <c r="J148">
        <v>100</v>
      </c>
      <c r="K148" s="167">
        <v>200</v>
      </c>
      <c r="L148" s="167">
        <v>400</v>
      </c>
      <c r="M148" s="167">
        <v>35</v>
      </c>
      <c r="O148">
        <v>75</v>
      </c>
      <c r="P148" s="206">
        <v>400</v>
      </c>
      <c r="Q148">
        <v>4.5</v>
      </c>
      <c r="R148" t="s">
        <v>2590</v>
      </c>
      <c r="V148" t="s">
        <v>2810</v>
      </c>
      <c r="X148" t="s">
        <v>2590</v>
      </c>
      <c r="Y148">
        <v>10</v>
      </c>
      <c r="Z148">
        <v>5</v>
      </c>
      <c r="AA148" t="s">
        <v>2579</v>
      </c>
      <c r="AB148" t="s">
        <v>2833</v>
      </c>
      <c r="AC148" t="s">
        <v>2854</v>
      </c>
    </row>
    <row r="149" spans="1:33" s="449" customFormat="1" ht="16.5" thickBot="1">
      <c r="A149" s="448" t="s">
        <v>2855</v>
      </c>
      <c r="C149" s="450"/>
      <c r="F149" s="451"/>
      <c r="G149" s="451"/>
      <c r="H149" s="451"/>
      <c r="I149" s="451"/>
      <c r="K149" s="452"/>
      <c r="L149" s="452"/>
      <c r="M149" s="452"/>
    </row>
    <row r="150" spans="1:33">
      <c r="A150" t="s">
        <v>2856</v>
      </c>
      <c r="C150" s="385">
        <v>46182</v>
      </c>
      <c r="E150">
        <v>60</v>
      </c>
      <c r="G150" s="19">
        <v>570</v>
      </c>
      <c r="H150" s="19">
        <v>970</v>
      </c>
      <c r="I150" s="19">
        <v>4</v>
      </c>
      <c r="J150" s="206">
        <v>150</v>
      </c>
      <c r="K150" s="305">
        <v>150</v>
      </c>
      <c r="L150" s="167">
        <v>400</v>
      </c>
      <c r="M150" s="167">
        <v>35</v>
      </c>
      <c r="O150" s="206">
        <v>50</v>
      </c>
      <c r="P150">
        <v>400</v>
      </c>
      <c r="Q150">
        <v>4.5</v>
      </c>
      <c r="R150" t="s">
        <v>2590</v>
      </c>
      <c r="V150" t="s">
        <v>2810</v>
      </c>
      <c r="X150" t="s">
        <v>2590</v>
      </c>
      <c r="Y150">
        <v>10</v>
      </c>
      <c r="Z150">
        <v>5</v>
      </c>
      <c r="AA150" t="s">
        <v>2579</v>
      </c>
      <c r="AB150" t="s">
        <v>2833</v>
      </c>
      <c r="AC150" t="s">
        <v>2857</v>
      </c>
      <c r="AD150" t="s">
        <v>2858</v>
      </c>
    </row>
    <row r="151" spans="1:33">
      <c r="A151" s="454" t="s">
        <v>2859</v>
      </c>
      <c r="B151" t="s">
        <v>2429</v>
      </c>
      <c r="C151" s="385">
        <v>46182</v>
      </c>
      <c r="E151">
        <v>80</v>
      </c>
      <c r="G151" s="19">
        <v>554</v>
      </c>
      <c r="H151" s="19">
        <v>970</v>
      </c>
      <c r="I151" s="19">
        <v>1.5</v>
      </c>
      <c r="J151">
        <v>150</v>
      </c>
      <c r="Q151">
        <v>7</v>
      </c>
      <c r="R151" t="s">
        <v>2590</v>
      </c>
      <c r="X151" t="s">
        <v>2590</v>
      </c>
      <c r="Y151">
        <v>10</v>
      </c>
      <c r="Z151">
        <v>10</v>
      </c>
      <c r="AC151" t="s">
        <v>2860</v>
      </c>
      <c r="AD151" t="s">
        <v>2861</v>
      </c>
    </row>
    <row r="152" spans="1:33">
      <c r="A152" t="s">
        <v>2862</v>
      </c>
      <c r="C152" s="385">
        <v>46183</v>
      </c>
      <c r="D152" t="s">
        <v>2863</v>
      </c>
      <c r="E152">
        <v>60</v>
      </c>
      <c r="G152" s="19">
        <v>574</v>
      </c>
      <c r="H152" s="19">
        <v>970</v>
      </c>
      <c r="I152" s="19">
        <v>4</v>
      </c>
      <c r="J152" s="206">
        <v>150</v>
      </c>
      <c r="K152" s="305">
        <v>150</v>
      </c>
      <c r="L152" s="167">
        <v>400</v>
      </c>
      <c r="M152" s="167">
        <v>35</v>
      </c>
      <c r="O152" s="206">
        <v>50</v>
      </c>
      <c r="P152">
        <v>400</v>
      </c>
      <c r="Q152">
        <v>4.5</v>
      </c>
      <c r="R152" t="s">
        <v>2590</v>
      </c>
      <c r="V152" t="s">
        <v>2810</v>
      </c>
      <c r="X152" t="s">
        <v>2590</v>
      </c>
      <c r="Y152">
        <v>10</v>
      </c>
      <c r="Z152">
        <v>5</v>
      </c>
      <c r="AA152" t="s">
        <v>2579</v>
      </c>
      <c r="AB152" t="s">
        <v>2833</v>
      </c>
      <c r="AC152" s="221" t="s">
        <v>2864</v>
      </c>
      <c r="AD152" s="221" t="s">
        <v>2865</v>
      </c>
    </row>
    <row r="153" spans="1:33">
      <c r="A153" s="454" t="s">
        <v>2866</v>
      </c>
      <c r="B153" t="s">
        <v>2429</v>
      </c>
      <c r="C153" s="385">
        <v>46184</v>
      </c>
      <c r="E153">
        <v>80</v>
      </c>
      <c r="G153" s="19">
        <v>551</v>
      </c>
      <c r="H153" s="19">
        <v>970</v>
      </c>
      <c r="I153" s="19">
        <v>1.5</v>
      </c>
      <c r="J153">
        <v>150</v>
      </c>
      <c r="O153" s="206">
        <v>50</v>
      </c>
      <c r="P153">
        <v>400</v>
      </c>
      <c r="Q153">
        <v>7</v>
      </c>
      <c r="R153" t="s">
        <v>2590</v>
      </c>
      <c r="X153" t="s">
        <v>2590</v>
      </c>
      <c r="Y153">
        <v>10</v>
      </c>
      <c r="Z153">
        <v>10</v>
      </c>
    </row>
    <row r="154" spans="1:33">
      <c r="A154" t="s">
        <v>2867</v>
      </c>
      <c r="C154" s="385">
        <v>46184</v>
      </c>
      <c r="D154" t="s">
        <v>1704</v>
      </c>
      <c r="E154">
        <v>60</v>
      </c>
      <c r="G154" s="19">
        <v>576</v>
      </c>
      <c r="H154" s="19">
        <v>970</v>
      </c>
      <c r="I154" s="19">
        <v>4</v>
      </c>
      <c r="J154" s="206">
        <v>150</v>
      </c>
      <c r="K154" s="305">
        <v>150</v>
      </c>
      <c r="L154" s="167">
        <v>400</v>
      </c>
      <c r="M154" s="167">
        <v>35</v>
      </c>
      <c r="O154" s="206">
        <v>50</v>
      </c>
      <c r="P154">
        <v>400</v>
      </c>
      <c r="Q154">
        <v>4.5</v>
      </c>
      <c r="R154" t="s">
        <v>2590</v>
      </c>
      <c r="V154" t="s">
        <v>2810</v>
      </c>
      <c r="X154" t="s">
        <v>2590</v>
      </c>
      <c r="Y154">
        <v>10</v>
      </c>
      <c r="Z154">
        <v>5</v>
      </c>
      <c r="AA154" t="s">
        <v>2579</v>
      </c>
      <c r="AB154" t="s">
        <v>2833</v>
      </c>
      <c r="AD154" t="s">
        <v>2868</v>
      </c>
      <c r="AF154" t="s">
        <v>2869</v>
      </c>
    </row>
    <row r="155" spans="1:33">
      <c r="A155" s="454" t="s">
        <v>2870</v>
      </c>
      <c r="B155" t="s">
        <v>2429</v>
      </c>
      <c r="C155" s="385">
        <v>46184</v>
      </c>
      <c r="E155">
        <v>80</v>
      </c>
      <c r="H155" s="19">
        <v>970</v>
      </c>
      <c r="I155" s="19">
        <v>1.5</v>
      </c>
      <c r="J155">
        <v>150</v>
      </c>
      <c r="O155" s="206">
        <v>50</v>
      </c>
      <c r="P155">
        <v>400</v>
      </c>
      <c r="Q155">
        <v>7</v>
      </c>
      <c r="R155" t="s">
        <v>2590</v>
      </c>
      <c r="X155" t="s">
        <v>2590</v>
      </c>
      <c r="Y155">
        <v>10</v>
      </c>
      <c r="Z155">
        <v>5</v>
      </c>
    </row>
    <row r="156" spans="1:33">
      <c r="A156" t="s">
        <v>2871</v>
      </c>
      <c r="C156" s="385">
        <v>46184</v>
      </c>
      <c r="D156" t="s">
        <v>2872</v>
      </c>
      <c r="E156">
        <v>60</v>
      </c>
      <c r="G156" s="19">
        <v>576</v>
      </c>
      <c r="H156" s="19">
        <v>970</v>
      </c>
      <c r="I156" s="19">
        <v>4</v>
      </c>
      <c r="J156" s="206">
        <v>150</v>
      </c>
      <c r="K156" s="305">
        <v>150</v>
      </c>
      <c r="L156" s="167">
        <v>400</v>
      </c>
      <c r="M156" s="167">
        <v>35</v>
      </c>
      <c r="O156" s="206">
        <v>50</v>
      </c>
      <c r="P156">
        <v>400</v>
      </c>
      <c r="Q156">
        <v>4.5</v>
      </c>
      <c r="R156" t="s">
        <v>2590</v>
      </c>
      <c r="V156" t="s">
        <v>2810</v>
      </c>
      <c r="X156" t="s">
        <v>2590</v>
      </c>
      <c r="Y156">
        <v>10</v>
      </c>
      <c r="Z156">
        <v>5</v>
      </c>
      <c r="AA156" t="s">
        <v>2579</v>
      </c>
      <c r="AB156" t="s">
        <v>2833</v>
      </c>
      <c r="AD156" t="s">
        <v>2873</v>
      </c>
      <c r="AF156" t="s">
        <v>2874</v>
      </c>
      <c r="AG156" t="s">
        <v>2648</v>
      </c>
    </row>
    <row r="157" spans="1:33">
      <c r="A157" s="454" t="s">
        <v>2875</v>
      </c>
      <c r="B157" t="s">
        <v>2429</v>
      </c>
      <c r="C157" s="385">
        <v>46184</v>
      </c>
      <c r="E157">
        <v>80</v>
      </c>
      <c r="G157" s="19">
        <v>553</v>
      </c>
      <c r="H157" s="19">
        <v>970</v>
      </c>
      <c r="I157" s="19">
        <v>1.5</v>
      </c>
      <c r="J157">
        <v>150</v>
      </c>
      <c r="O157" s="206">
        <v>50</v>
      </c>
      <c r="P157">
        <v>400</v>
      </c>
      <c r="Q157">
        <v>7</v>
      </c>
      <c r="R157" t="s">
        <v>2590</v>
      </c>
      <c r="X157" t="s">
        <v>2590</v>
      </c>
      <c r="Y157">
        <v>10</v>
      </c>
      <c r="Z157" s="456">
        <v>5</v>
      </c>
    </row>
    <row r="158" spans="1:33">
      <c r="A158" t="s">
        <v>2876</v>
      </c>
      <c r="C158" s="385">
        <v>46185</v>
      </c>
      <c r="D158" t="s">
        <v>2877</v>
      </c>
      <c r="E158">
        <v>60</v>
      </c>
      <c r="H158" s="19">
        <v>970</v>
      </c>
      <c r="I158" s="19">
        <v>4</v>
      </c>
      <c r="J158">
        <v>150</v>
      </c>
      <c r="K158" s="167">
        <v>150</v>
      </c>
      <c r="L158" s="167">
        <v>400</v>
      </c>
      <c r="M158" s="167">
        <v>35</v>
      </c>
      <c r="O158">
        <v>50</v>
      </c>
      <c r="P158">
        <v>400</v>
      </c>
      <c r="Q158">
        <v>4.5</v>
      </c>
      <c r="R158" t="s">
        <v>2590</v>
      </c>
      <c r="V158" t="s">
        <v>2810</v>
      </c>
      <c r="X158" t="s">
        <v>2590</v>
      </c>
      <c r="Y158">
        <v>10</v>
      </c>
      <c r="Z158">
        <v>5</v>
      </c>
      <c r="AA158" s="206" t="s">
        <v>2833</v>
      </c>
      <c r="AB158" t="s">
        <v>2833</v>
      </c>
    </row>
    <row r="159" spans="1:33">
      <c r="A159" s="454" t="s">
        <v>2878</v>
      </c>
      <c r="B159" t="s">
        <v>2429</v>
      </c>
    </row>
    <row r="160" spans="1:33" s="458" customFormat="1">
      <c r="A160" s="458" t="s">
        <v>2879</v>
      </c>
      <c r="C160" s="459"/>
      <c r="F160" s="460"/>
      <c r="G160" s="460"/>
      <c r="H160" s="460"/>
      <c r="I160" s="460"/>
      <c r="K160" s="461"/>
      <c r="L160" s="461"/>
      <c r="M160" s="461"/>
    </row>
    <row r="161" spans="1:32">
      <c r="A161" t="s">
        <v>2880</v>
      </c>
      <c r="C161" s="385">
        <v>46190</v>
      </c>
      <c r="D161" t="s">
        <v>2881</v>
      </c>
      <c r="E161">
        <v>60</v>
      </c>
      <c r="G161" s="19">
        <v>568</v>
      </c>
      <c r="H161" s="19">
        <v>970</v>
      </c>
      <c r="I161" s="19">
        <v>4</v>
      </c>
      <c r="J161" s="206">
        <v>150</v>
      </c>
      <c r="K161" s="305">
        <v>150</v>
      </c>
      <c r="L161" s="167">
        <v>400</v>
      </c>
      <c r="M161" s="167">
        <v>35</v>
      </c>
      <c r="O161">
        <v>50</v>
      </c>
      <c r="P161">
        <v>400</v>
      </c>
      <c r="Q161">
        <v>4.5</v>
      </c>
      <c r="R161" t="s">
        <v>2590</v>
      </c>
      <c r="V161" t="s">
        <v>2810</v>
      </c>
      <c r="X161" t="s">
        <v>2590</v>
      </c>
      <c r="Y161">
        <v>10</v>
      </c>
      <c r="Z161">
        <v>5</v>
      </c>
      <c r="AA161" t="s">
        <v>2579</v>
      </c>
      <c r="AB161" t="s">
        <v>2833</v>
      </c>
      <c r="AC161" t="s">
        <v>2882</v>
      </c>
      <c r="AD161" t="s">
        <v>2883</v>
      </c>
    </row>
    <row r="162" spans="1:32">
      <c r="A162" s="454" t="s">
        <v>2884</v>
      </c>
      <c r="B162" t="s">
        <v>2429</v>
      </c>
      <c r="C162" s="385">
        <v>46190</v>
      </c>
      <c r="E162">
        <v>80</v>
      </c>
      <c r="G162" s="19">
        <v>553</v>
      </c>
      <c r="H162" s="19">
        <v>970</v>
      </c>
      <c r="I162" s="19">
        <v>1.5</v>
      </c>
      <c r="J162">
        <v>150</v>
      </c>
      <c r="O162">
        <v>50</v>
      </c>
      <c r="P162">
        <v>400</v>
      </c>
      <c r="Q162">
        <v>7</v>
      </c>
      <c r="R162" t="s">
        <v>2590</v>
      </c>
      <c r="X162" t="s">
        <v>2590</v>
      </c>
      <c r="Y162">
        <v>10</v>
      </c>
      <c r="Z162">
        <v>10</v>
      </c>
    </row>
    <row r="163" spans="1:32">
      <c r="A163" t="s">
        <v>2885</v>
      </c>
      <c r="C163" s="385">
        <v>46191</v>
      </c>
      <c r="D163" t="s">
        <v>2886</v>
      </c>
      <c r="E163">
        <v>60</v>
      </c>
      <c r="G163" s="19">
        <v>563</v>
      </c>
      <c r="H163" s="19">
        <v>970</v>
      </c>
      <c r="I163" s="19">
        <v>4</v>
      </c>
      <c r="J163" s="206">
        <v>150</v>
      </c>
      <c r="K163" s="305">
        <v>150</v>
      </c>
      <c r="L163" s="167">
        <v>400</v>
      </c>
      <c r="M163" s="167">
        <v>35</v>
      </c>
      <c r="O163">
        <v>50</v>
      </c>
      <c r="P163">
        <v>400</v>
      </c>
      <c r="Q163">
        <v>4.5</v>
      </c>
      <c r="R163" t="s">
        <v>2590</v>
      </c>
      <c r="V163" t="s">
        <v>2810</v>
      </c>
      <c r="X163" t="s">
        <v>2590</v>
      </c>
      <c r="Y163">
        <v>10</v>
      </c>
      <c r="Z163">
        <v>5</v>
      </c>
      <c r="AA163" t="s">
        <v>2579</v>
      </c>
      <c r="AB163" t="s">
        <v>2833</v>
      </c>
      <c r="AC163" t="s">
        <v>2887</v>
      </c>
    </row>
    <row r="164" spans="1:32">
      <c r="A164" s="454" t="s">
        <v>2888</v>
      </c>
      <c r="B164" t="s">
        <v>2429</v>
      </c>
      <c r="C164" s="385">
        <v>46191</v>
      </c>
      <c r="E164">
        <v>80</v>
      </c>
      <c r="G164" s="19">
        <v>553</v>
      </c>
      <c r="H164" s="19">
        <v>970</v>
      </c>
      <c r="I164" s="19">
        <v>1.5</v>
      </c>
      <c r="J164">
        <v>150</v>
      </c>
      <c r="O164">
        <v>50</v>
      </c>
      <c r="P164">
        <v>400</v>
      </c>
      <c r="Q164">
        <v>7</v>
      </c>
      <c r="R164" t="s">
        <v>2590</v>
      </c>
      <c r="X164" t="s">
        <v>2590</v>
      </c>
      <c r="Y164">
        <v>10</v>
      </c>
      <c r="Z164">
        <v>10</v>
      </c>
    </row>
    <row r="165" spans="1:32">
      <c r="A165" t="s">
        <v>2889</v>
      </c>
      <c r="C165" s="385">
        <v>46191</v>
      </c>
      <c r="D165" t="s">
        <v>2890</v>
      </c>
      <c r="E165">
        <v>60</v>
      </c>
      <c r="G165" s="19">
        <v>572</v>
      </c>
      <c r="H165" s="19">
        <v>970</v>
      </c>
      <c r="I165" s="19">
        <v>4</v>
      </c>
      <c r="J165">
        <v>150</v>
      </c>
      <c r="K165" s="167">
        <v>150</v>
      </c>
      <c r="L165" s="167">
        <v>400</v>
      </c>
      <c r="M165" s="167">
        <v>35</v>
      </c>
      <c r="O165" s="206">
        <v>50</v>
      </c>
      <c r="P165" s="206">
        <v>200</v>
      </c>
      <c r="Q165">
        <v>4.5</v>
      </c>
      <c r="R165" t="s">
        <v>2590</v>
      </c>
      <c r="V165" t="s">
        <v>2810</v>
      </c>
      <c r="X165" t="s">
        <v>2590</v>
      </c>
      <c r="Y165">
        <v>10</v>
      </c>
      <c r="Z165">
        <v>5</v>
      </c>
      <c r="AA165" t="s">
        <v>2579</v>
      </c>
      <c r="AB165" t="s">
        <v>2833</v>
      </c>
      <c r="AD165" t="s">
        <v>2891</v>
      </c>
    </row>
    <row r="166" spans="1:32">
      <c r="A166" s="454" t="s">
        <v>2892</v>
      </c>
      <c r="C166" s="385">
        <v>46191</v>
      </c>
      <c r="E166">
        <v>80</v>
      </c>
      <c r="G166" s="19">
        <v>553</v>
      </c>
      <c r="H166" s="19">
        <v>970</v>
      </c>
      <c r="I166" s="19">
        <v>1.5</v>
      </c>
      <c r="J166">
        <v>150</v>
      </c>
      <c r="O166">
        <v>50</v>
      </c>
      <c r="P166">
        <v>400</v>
      </c>
      <c r="Q166">
        <v>7</v>
      </c>
      <c r="R166" t="s">
        <v>2590</v>
      </c>
      <c r="X166" t="s">
        <v>2590</v>
      </c>
      <c r="Y166">
        <v>10</v>
      </c>
      <c r="Z166">
        <v>10</v>
      </c>
    </row>
    <row r="167" spans="1:32" s="462" customFormat="1">
      <c r="A167" s="462" t="s">
        <v>2893</v>
      </c>
      <c r="C167" s="463">
        <v>46192</v>
      </c>
      <c r="D167" s="462" t="s">
        <v>2894</v>
      </c>
      <c r="E167" s="462">
        <v>60</v>
      </c>
      <c r="F167" s="464"/>
      <c r="G167" s="464">
        <v>563</v>
      </c>
      <c r="H167" s="464">
        <v>970</v>
      </c>
      <c r="I167" s="464">
        <v>4</v>
      </c>
      <c r="J167" s="465">
        <v>175</v>
      </c>
      <c r="K167" s="466">
        <v>125</v>
      </c>
      <c r="L167" s="467">
        <v>400</v>
      </c>
      <c r="M167" s="467">
        <v>35</v>
      </c>
      <c r="O167" s="462">
        <v>50</v>
      </c>
      <c r="P167" s="462">
        <v>400</v>
      </c>
      <c r="Q167" s="462">
        <v>4.5</v>
      </c>
      <c r="R167" s="462" t="s">
        <v>2590</v>
      </c>
      <c r="V167" s="462" t="s">
        <v>2810</v>
      </c>
      <c r="X167" s="462" t="s">
        <v>2590</v>
      </c>
      <c r="Y167" s="462">
        <v>10</v>
      </c>
      <c r="Z167" s="462">
        <v>5</v>
      </c>
      <c r="AA167" s="462" t="s">
        <v>2579</v>
      </c>
      <c r="AB167" s="462" t="s">
        <v>2833</v>
      </c>
      <c r="AC167" s="462" t="s">
        <v>2895</v>
      </c>
      <c r="AD167" s="462" t="s">
        <v>2896</v>
      </c>
    </row>
    <row r="168" spans="1:32">
      <c r="A168" s="454" t="s">
        <v>2897</v>
      </c>
      <c r="C168" s="385">
        <v>46192</v>
      </c>
      <c r="E168">
        <v>80</v>
      </c>
      <c r="G168" s="19">
        <v>553</v>
      </c>
      <c r="H168" s="19">
        <v>970</v>
      </c>
      <c r="I168" s="19">
        <v>1.5</v>
      </c>
      <c r="J168">
        <v>150</v>
      </c>
      <c r="O168">
        <v>50</v>
      </c>
      <c r="P168">
        <v>400</v>
      </c>
      <c r="Q168">
        <v>7</v>
      </c>
      <c r="R168" t="s">
        <v>2590</v>
      </c>
      <c r="X168" t="s">
        <v>2590</v>
      </c>
      <c r="Y168">
        <v>10</v>
      </c>
      <c r="Z168">
        <v>10</v>
      </c>
    </row>
    <row r="169" spans="1:32">
      <c r="A169" t="s">
        <v>2898</v>
      </c>
      <c r="C169" s="385">
        <v>46192</v>
      </c>
      <c r="D169" t="s">
        <v>2899</v>
      </c>
      <c r="E169">
        <v>60</v>
      </c>
      <c r="H169" s="19">
        <v>970</v>
      </c>
      <c r="I169" s="19">
        <v>4</v>
      </c>
      <c r="J169">
        <v>175</v>
      </c>
      <c r="K169" s="167">
        <v>125</v>
      </c>
      <c r="L169" s="167">
        <v>400</v>
      </c>
      <c r="M169" s="167">
        <v>35</v>
      </c>
      <c r="O169">
        <v>50</v>
      </c>
      <c r="P169">
        <v>400</v>
      </c>
      <c r="Q169">
        <v>4.5</v>
      </c>
      <c r="R169" t="s">
        <v>2590</v>
      </c>
      <c r="V169" t="s">
        <v>2810</v>
      </c>
      <c r="X169" t="s">
        <v>2590</v>
      </c>
      <c r="Y169">
        <v>10</v>
      </c>
      <c r="Z169">
        <v>5</v>
      </c>
      <c r="AA169" t="s">
        <v>2579</v>
      </c>
      <c r="AB169" s="206" t="s">
        <v>2900</v>
      </c>
      <c r="AD169" t="s">
        <v>2901</v>
      </c>
    </row>
    <row r="170" spans="1:32">
      <c r="A170" s="454" t="s">
        <v>2902</v>
      </c>
      <c r="C170" s="385">
        <v>46192</v>
      </c>
      <c r="E170">
        <v>80</v>
      </c>
      <c r="G170" s="19">
        <v>553</v>
      </c>
      <c r="H170" s="19">
        <v>970</v>
      </c>
      <c r="I170" s="19">
        <v>1.5</v>
      </c>
      <c r="J170">
        <v>150</v>
      </c>
      <c r="O170">
        <v>50</v>
      </c>
      <c r="P170">
        <v>400</v>
      </c>
      <c r="Q170">
        <v>7</v>
      </c>
      <c r="R170" t="s">
        <v>2590</v>
      </c>
      <c r="X170" t="s">
        <v>2590</v>
      </c>
      <c r="Y170">
        <v>10</v>
      </c>
      <c r="Z170">
        <v>10</v>
      </c>
    </row>
    <row r="171" spans="1:32" s="405" customFormat="1" ht="16.5" thickBot="1">
      <c r="A171" s="405" t="s">
        <v>2903</v>
      </c>
      <c r="B171" s="405" t="s">
        <v>2893</v>
      </c>
      <c r="C171" s="406">
        <v>46193</v>
      </c>
      <c r="D171" s="405" t="s">
        <v>2904</v>
      </c>
      <c r="E171" s="405">
        <v>60</v>
      </c>
      <c r="F171" s="407"/>
      <c r="G171" s="407">
        <v>566</v>
      </c>
      <c r="H171" s="407">
        <v>970</v>
      </c>
      <c r="I171" s="407">
        <v>4</v>
      </c>
      <c r="J171" s="410">
        <v>175</v>
      </c>
      <c r="K171" s="468">
        <v>125</v>
      </c>
      <c r="L171" s="409">
        <v>400</v>
      </c>
      <c r="M171" s="409">
        <v>35</v>
      </c>
      <c r="O171" s="405">
        <v>50</v>
      </c>
      <c r="P171" s="405">
        <v>400</v>
      </c>
      <c r="Q171" s="405">
        <v>4.5</v>
      </c>
      <c r="R171" s="405" t="s">
        <v>2590</v>
      </c>
      <c r="V171" s="405" t="s">
        <v>2810</v>
      </c>
      <c r="X171" s="405" t="s">
        <v>2590</v>
      </c>
      <c r="Y171" s="405">
        <v>10</v>
      </c>
      <c r="Z171" s="405">
        <v>5</v>
      </c>
      <c r="AA171" s="405" t="s">
        <v>2579</v>
      </c>
      <c r="AB171" s="405" t="s">
        <v>2833</v>
      </c>
      <c r="AC171" s="405" t="s">
        <v>2905</v>
      </c>
      <c r="AD171" s="405" t="s">
        <v>2906</v>
      </c>
    </row>
    <row r="172" spans="1:32" ht="16.5" thickTop="1">
      <c r="A172" s="454" t="s">
        <v>2907</v>
      </c>
      <c r="C172" s="385">
        <v>46193</v>
      </c>
      <c r="AC172" t="s">
        <v>2908</v>
      </c>
    </row>
    <row r="173" spans="1:32">
      <c r="A173" t="s">
        <v>2909</v>
      </c>
      <c r="B173" t="s">
        <v>2893</v>
      </c>
      <c r="C173" s="385">
        <v>46194</v>
      </c>
      <c r="D173" t="s">
        <v>2910</v>
      </c>
      <c r="E173">
        <v>60</v>
      </c>
      <c r="G173" s="19">
        <v>535</v>
      </c>
      <c r="H173" s="19">
        <v>970</v>
      </c>
      <c r="I173" s="19">
        <v>4</v>
      </c>
      <c r="J173">
        <v>175</v>
      </c>
      <c r="K173" s="167">
        <v>125</v>
      </c>
      <c r="L173" s="167">
        <v>400</v>
      </c>
      <c r="M173" s="167">
        <v>35</v>
      </c>
      <c r="O173">
        <v>50</v>
      </c>
      <c r="P173">
        <v>400</v>
      </c>
      <c r="Q173" s="206">
        <v>4</v>
      </c>
      <c r="R173" t="s">
        <v>2590</v>
      </c>
      <c r="V173" t="s">
        <v>2590</v>
      </c>
      <c r="X173" s="206" t="s">
        <v>2590</v>
      </c>
      <c r="Y173">
        <v>10</v>
      </c>
      <c r="Z173">
        <v>5</v>
      </c>
      <c r="AA173" t="s">
        <v>2692</v>
      </c>
      <c r="AB173" t="s">
        <v>2780</v>
      </c>
      <c r="AC173" t="s">
        <v>2911</v>
      </c>
      <c r="AD173" t="s">
        <v>2912</v>
      </c>
      <c r="AE173" t="s">
        <v>2913</v>
      </c>
    </row>
    <row r="174" spans="1:32">
      <c r="A174" s="454" t="s">
        <v>2914</v>
      </c>
      <c r="C174" s="385">
        <v>46194</v>
      </c>
    </row>
    <row r="175" spans="1:32">
      <c r="A175" t="s">
        <v>2915</v>
      </c>
      <c r="B175" t="s">
        <v>2909</v>
      </c>
      <c r="C175" s="385">
        <v>46194</v>
      </c>
      <c r="D175" t="s">
        <v>2916</v>
      </c>
      <c r="E175">
        <v>60</v>
      </c>
      <c r="G175" s="19">
        <v>535</v>
      </c>
      <c r="H175" s="346">
        <v>1020</v>
      </c>
      <c r="I175" s="19">
        <v>4</v>
      </c>
      <c r="J175">
        <v>175</v>
      </c>
      <c r="K175" s="167">
        <v>125</v>
      </c>
      <c r="L175" s="167">
        <v>400</v>
      </c>
      <c r="M175" s="167">
        <v>35</v>
      </c>
      <c r="O175">
        <v>50</v>
      </c>
      <c r="P175">
        <v>400</v>
      </c>
      <c r="Q175">
        <v>4</v>
      </c>
      <c r="R175" t="s">
        <v>2590</v>
      </c>
      <c r="V175" t="s">
        <v>2590</v>
      </c>
      <c r="X175" t="s">
        <v>2590</v>
      </c>
      <c r="Y175">
        <v>10</v>
      </c>
      <c r="Z175">
        <v>5</v>
      </c>
      <c r="AA175" t="s">
        <v>2692</v>
      </c>
      <c r="AB175" t="s">
        <v>2917</v>
      </c>
      <c r="AD175" t="s">
        <v>2918</v>
      </c>
      <c r="AF175" t="s">
        <v>2660</v>
      </c>
    </row>
    <row r="176" spans="1:32">
      <c r="A176" s="454" t="s">
        <v>2919</v>
      </c>
      <c r="C176" s="385">
        <v>46194</v>
      </c>
    </row>
    <row r="177" spans="1:32">
      <c r="A177" t="s">
        <v>2920</v>
      </c>
      <c r="B177" t="s">
        <v>2909</v>
      </c>
      <c r="C177" s="385">
        <v>46195</v>
      </c>
      <c r="D177" t="s">
        <v>2921</v>
      </c>
      <c r="E177">
        <v>60</v>
      </c>
      <c r="H177" s="346">
        <v>1000</v>
      </c>
      <c r="I177" s="19">
        <v>4</v>
      </c>
      <c r="J177">
        <v>175</v>
      </c>
      <c r="K177" s="167">
        <v>125</v>
      </c>
      <c r="L177" s="167">
        <v>400</v>
      </c>
      <c r="M177" s="167">
        <v>35</v>
      </c>
      <c r="O177">
        <v>50</v>
      </c>
      <c r="P177">
        <v>400</v>
      </c>
      <c r="Q177">
        <v>4</v>
      </c>
      <c r="R177" s="206" t="s">
        <v>2776</v>
      </c>
      <c r="V177" t="s">
        <v>2590</v>
      </c>
      <c r="X177" t="s">
        <v>2590</v>
      </c>
      <c r="Y177">
        <v>10</v>
      </c>
      <c r="Z177">
        <v>5</v>
      </c>
      <c r="AA177" t="s">
        <v>2692</v>
      </c>
      <c r="AB177" t="s">
        <v>2780</v>
      </c>
    </row>
    <row r="178" spans="1:32">
      <c r="A178" t="s">
        <v>2922</v>
      </c>
      <c r="B178" t="s">
        <v>2909</v>
      </c>
      <c r="C178" s="385">
        <v>46195</v>
      </c>
      <c r="E178">
        <v>60</v>
      </c>
      <c r="H178" s="19">
        <v>1000</v>
      </c>
      <c r="I178" s="19">
        <v>4</v>
      </c>
      <c r="J178">
        <v>175</v>
      </c>
      <c r="K178" s="167">
        <v>125</v>
      </c>
      <c r="L178" s="167">
        <v>400</v>
      </c>
      <c r="M178" s="167">
        <v>35</v>
      </c>
      <c r="O178">
        <v>50</v>
      </c>
      <c r="P178">
        <v>400</v>
      </c>
      <c r="Q178">
        <v>4</v>
      </c>
      <c r="R178" t="s">
        <v>2776</v>
      </c>
      <c r="V178" t="s">
        <v>2590</v>
      </c>
      <c r="X178" t="s">
        <v>2590</v>
      </c>
      <c r="Y178">
        <v>10</v>
      </c>
      <c r="Z178">
        <v>5</v>
      </c>
      <c r="AA178" t="s">
        <v>2692</v>
      </c>
      <c r="AB178" t="s">
        <v>2923</v>
      </c>
    </row>
    <row r="179" spans="1:32">
      <c r="A179" s="392" t="s">
        <v>2924</v>
      </c>
      <c r="C179" s="385">
        <v>46196</v>
      </c>
      <c r="D179" t="s">
        <v>2925</v>
      </c>
      <c r="E179">
        <v>60</v>
      </c>
      <c r="H179" s="346">
        <v>970</v>
      </c>
      <c r="I179" s="19">
        <v>4</v>
      </c>
      <c r="J179">
        <v>175</v>
      </c>
      <c r="K179" s="167">
        <v>125</v>
      </c>
      <c r="L179" s="167">
        <v>400</v>
      </c>
      <c r="M179" s="167">
        <v>35</v>
      </c>
      <c r="O179">
        <v>50</v>
      </c>
      <c r="P179">
        <v>400</v>
      </c>
      <c r="Q179">
        <v>4</v>
      </c>
      <c r="R179" t="s">
        <v>2776</v>
      </c>
      <c r="V179" t="s">
        <v>2590</v>
      </c>
      <c r="X179" t="s">
        <v>2590</v>
      </c>
      <c r="Y179">
        <v>10</v>
      </c>
      <c r="Z179" s="206">
        <v>10</v>
      </c>
      <c r="AA179" t="s">
        <v>2692</v>
      </c>
      <c r="AB179" t="s">
        <v>2780</v>
      </c>
      <c r="AC179" s="221" t="s">
        <v>2926</v>
      </c>
      <c r="AD179" t="s">
        <v>2927</v>
      </c>
    </row>
    <row r="180" spans="1:32">
      <c r="A180" s="392" t="s">
        <v>2928</v>
      </c>
      <c r="C180" s="385">
        <v>46196</v>
      </c>
      <c r="D180" t="s">
        <v>2929</v>
      </c>
      <c r="E180">
        <v>60</v>
      </c>
      <c r="H180" s="346">
        <v>970</v>
      </c>
      <c r="I180" s="19">
        <v>4</v>
      </c>
      <c r="J180">
        <v>175</v>
      </c>
      <c r="K180" s="167">
        <v>125</v>
      </c>
      <c r="L180" s="167">
        <v>400</v>
      </c>
      <c r="M180" s="167">
        <v>35</v>
      </c>
      <c r="O180">
        <v>50</v>
      </c>
      <c r="P180">
        <v>400</v>
      </c>
      <c r="Q180">
        <v>4</v>
      </c>
      <c r="R180" t="s">
        <v>2776</v>
      </c>
      <c r="V180" t="s">
        <v>2590</v>
      </c>
      <c r="X180" t="s">
        <v>2590</v>
      </c>
      <c r="Y180">
        <v>10</v>
      </c>
      <c r="Z180" s="206">
        <v>8</v>
      </c>
      <c r="AA180" t="s">
        <v>2692</v>
      </c>
      <c r="AB180" t="s">
        <v>2780</v>
      </c>
      <c r="AC180" s="221" t="s">
        <v>2930</v>
      </c>
      <c r="AD180" t="s">
        <v>2608</v>
      </c>
    </row>
    <row r="181" spans="1:32">
      <c r="A181" t="s">
        <v>2931</v>
      </c>
      <c r="C181" s="385">
        <v>46196</v>
      </c>
      <c r="D181" t="s">
        <v>2932</v>
      </c>
      <c r="E181">
        <v>60</v>
      </c>
      <c r="H181" s="346">
        <v>970</v>
      </c>
      <c r="I181" s="19">
        <v>4</v>
      </c>
      <c r="J181">
        <v>175</v>
      </c>
      <c r="K181" s="167">
        <v>125</v>
      </c>
      <c r="L181" s="167">
        <v>400</v>
      </c>
      <c r="M181" s="167">
        <v>35</v>
      </c>
      <c r="O181">
        <v>50</v>
      </c>
      <c r="P181">
        <v>400</v>
      </c>
      <c r="Q181">
        <v>4</v>
      </c>
      <c r="R181" t="s">
        <v>2776</v>
      </c>
      <c r="V181" s="206" t="s">
        <v>2814</v>
      </c>
      <c r="W181" s="206"/>
      <c r="X181" t="s">
        <v>2590</v>
      </c>
      <c r="Y181">
        <v>10</v>
      </c>
      <c r="Z181" s="206">
        <v>8</v>
      </c>
      <c r="AA181" t="s">
        <v>2692</v>
      </c>
      <c r="AB181" t="s">
        <v>2933</v>
      </c>
    </row>
    <row r="182" spans="1:32">
      <c r="A182" t="s">
        <v>2934</v>
      </c>
      <c r="C182" s="385">
        <v>46196</v>
      </c>
      <c r="D182" t="s">
        <v>2935</v>
      </c>
      <c r="E182">
        <v>60</v>
      </c>
      <c r="H182" s="346">
        <v>970</v>
      </c>
      <c r="I182" s="19">
        <v>4</v>
      </c>
      <c r="J182">
        <v>175</v>
      </c>
      <c r="K182" s="167">
        <v>125</v>
      </c>
      <c r="L182" s="167">
        <v>400</v>
      </c>
      <c r="M182" s="167">
        <v>35</v>
      </c>
      <c r="O182">
        <v>50</v>
      </c>
      <c r="P182">
        <v>400</v>
      </c>
      <c r="Q182">
        <v>3.5</v>
      </c>
      <c r="R182" t="s">
        <v>2776</v>
      </c>
      <c r="V182" s="206" t="s">
        <v>2936</v>
      </c>
      <c r="W182" s="206"/>
      <c r="X182" t="s">
        <v>2590</v>
      </c>
      <c r="Y182">
        <v>10</v>
      </c>
      <c r="Z182" s="206">
        <v>8</v>
      </c>
      <c r="AA182" t="s">
        <v>2937</v>
      </c>
      <c r="AB182" t="s">
        <v>2938</v>
      </c>
    </row>
    <row r="183" spans="1:32">
      <c r="A183" s="454" t="s">
        <v>2939</v>
      </c>
      <c r="C183" s="385">
        <v>46197</v>
      </c>
      <c r="E183">
        <v>80</v>
      </c>
      <c r="H183" s="19">
        <v>970</v>
      </c>
      <c r="I183" s="19">
        <v>1.5</v>
      </c>
      <c r="J183">
        <v>150</v>
      </c>
      <c r="O183">
        <v>50</v>
      </c>
      <c r="P183">
        <v>400</v>
      </c>
      <c r="Q183">
        <v>7</v>
      </c>
      <c r="R183" t="s">
        <v>2776</v>
      </c>
      <c r="X183" t="s">
        <v>2590</v>
      </c>
      <c r="Y183">
        <v>10</v>
      </c>
      <c r="Z183">
        <v>10</v>
      </c>
    </row>
    <row r="184" spans="1:32">
      <c r="A184" t="s">
        <v>2940</v>
      </c>
      <c r="C184" s="385">
        <v>46198</v>
      </c>
      <c r="D184" s="385" t="s">
        <v>1950</v>
      </c>
      <c r="E184">
        <v>60</v>
      </c>
      <c r="G184" s="19">
        <v>530</v>
      </c>
      <c r="H184" s="19">
        <v>970</v>
      </c>
      <c r="I184" s="19">
        <v>4</v>
      </c>
      <c r="J184">
        <v>175</v>
      </c>
      <c r="K184" s="167">
        <v>125</v>
      </c>
      <c r="L184" s="167">
        <v>400</v>
      </c>
      <c r="M184" s="167">
        <v>35</v>
      </c>
      <c r="O184">
        <v>50</v>
      </c>
      <c r="P184">
        <v>400</v>
      </c>
      <c r="Q184">
        <v>4.5</v>
      </c>
      <c r="R184" t="s">
        <v>2776</v>
      </c>
      <c r="V184" t="s">
        <v>2810</v>
      </c>
      <c r="X184" t="s">
        <v>2590</v>
      </c>
      <c r="Y184">
        <v>10</v>
      </c>
      <c r="Z184">
        <v>5</v>
      </c>
      <c r="AA184" t="s">
        <v>2579</v>
      </c>
      <c r="AB184" t="s">
        <v>2833</v>
      </c>
      <c r="AD184" t="s">
        <v>2941</v>
      </c>
    </row>
    <row r="185" spans="1:32">
      <c r="A185" s="454" t="s">
        <v>2942</v>
      </c>
      <c r="C185" s="385">
        <v>46198</v>
      </c>
    </row>
    <row r="186" spans="1:32" s="503" customFormat="1" ht="16.5" thickBot="1">
      <c r="A186" s="503" t="s">
        <v>2943</v>
      </c>
      <c r="C186" s="504"/>
      <c r="F186" s="505"/>
      <c r="G186" s="505"/>
      <c r="H186" s="505"/>
      <c r="I186" s="505"/>
      <c r="K186" s="506"/>
      <c r="L186" s="506"/>
      <c r="M186" s="506"/>
    </row>
    <row r="187" spans="1:32" ht="16.5" thickTop="1">
      <c r="A187" t="s">
        <v>2944</v>
      </c>
      <c r="C187" s="385">
        <v>46201</v>
      </c>
      <c r="D187" t="s">
        <v>1950</v>
      </c>
      <c r="E187">
        <v>60</v>
      </c>
      <c r="G187" s="19">
        <v>536</v>
      </c>
      <c r="H187" s="19">
        <v>970</v>
      </c>
      <c r="I187" s="19">
        <v>4</v>
      </c>
      <c r="J187">
        <v>175</v>
      </c>
      <c r="K187" s="167">
        <v>125</v>
      </c>
      <c r="L187" s="167">
        <v>400</v>
      </c>
      <c r="M187" s="167">
        <v>35</v>
      </c>
      <c r="O187">
        <v>50</v>
      </c>
      <c r="P187">
        <v>400</v>
      </c>
      <c r="Q187">
        <v>4.5</v>
      </c>
      <c r="R187" t="s">
        <v>2776</v>
      </c>
      <c r="V187" t="s">
        <v>2810</v>
      </c>
      <c r="X187" t="s">
        <v>2590</v>
      </c>
      <c r="Y187">
        <v>10</v>
      </c>
      <c r="Z187">
        <v>5</v>
      </c>
      <c r="AA187" t="s">
        <v>2579</v>
      </c>
      <c r="AB187" t="s">
        <v>2833</v>
      </c>
      <c r="AC187" t="s">
        <v>2945</v>
      </c>
      <c r="AD187" t="s">
        <v>2946</v>
      </c>
    </row>
    <row r="188" spans="1:32">
      <c r="A188" s="454" t="s">
        <v>2947</v>
      </c>
      <c r="C188" s="385">
        <v>46201</v>
      </c>
      <c r="E188">
        <v>80</v>
      </c>
      <c r="H188" s="19">
        <v>970</v>
      </c>
      <c r="I188" s="19">
        <v>1.5</v>
      </c>
      <c r="J188">
        <v>175</v>
      </c>
      <c r="O188">
        <v>50</v>
      </c>
      <c r="P188">
        <v>400</v>
      </c>
      <c r="Q188">
        <v>7</v>
      </c>
      <c r="R188" t="s">
        <v>2590</v>
      </c>
      <c r="X188" t="s">
        <v>2590</v>
      </c>
      <c r="Y188">
        <v>10</v>
      </c>
      <c r="Z188">
        <v>10</v>
      </c>
      <c r="AA188" t="s">
        <v>2700</v>
      </c>
    </row>
    <row r="189" spans="1:32">
      <c r="A189" t="s">
        <v>2948</v>
      </c>
      <c r="C189" s="385">
        <v>46201</v>
      </c>
      <c r="D189" t="s">
        <v>1950</v>
      </c>
      <c r="E189">
        <v>60</v>
      </c>
      <c r="G189" s="19">
        <v>536</v>
      </c>
      <c r="H189" s="19">
        <v>970</v>
      </c>
      <c r="I189" s="19">
        <v>4</v>
      </c>
      <c r="J189">
        <v>175</v>
      </c>
      <c r="K189" s="167">
        <v>125</v>
      </c>
      <c r="L189" s="167">
        <v>400</v>
      </c>
      <c r="M189" s="167">
        <v>35</v>
      </c>
      <c r="O189">
        <v>50</v>
      </c>
      <c r="P189">
        <v>400</v>
      </c>
      <c r="Q189">
        <v>4.5</v>
      </c>
      <c r="R189" t="s">
        <v>2776</v>
      </c>
      <c r="V189" t="s">
        <v>2810</v>
      </c>
      <c r="X189" t="s">
        <v>2590</v>
      </c>
      <c r="Y189">
        <v>10</v>
      </c>
      <c r="Z189">
        <v>5</v>
      </c>
      <c r="AA189" t="s">
        <v>2579</v>
      </c>
      <c r="AB189" t="s">
        <v>2833</v>
      </c>
      <c r="AD189" t="s">
        <v>2949</v>
      </c>
      <c r="AF189" t="s">
        <v>2950</v>
      </c>
    </row>
    <row r="190" spans="1:32">
      <c r="A190" s="454" t="s">
        <v>2951</v>
      </c>
      <c r="C190" s="385">
        <v>46201</v>
      </c>
      <c r="E190">
        <v>80</v>
      </c>
      <c r="H190" s="19">
        <v>970</v>
      </c>
      <c r="I190" s="19">
        <v>1.5</v>
      </c>
      <c r="J190">
        <v>175</v>
      </c>
      <c r="O190">
        <v>50</v>
      </c>
      <c r="P190">
        <v>400</v>
      </c>
      <c r="Q190">
        <v>7</v>
      </c>
      <c r="R190" t="s">
        <v>2590</v>
      </c>
      <c r="X190" t="s">
        <v>2590</v>
      </c>
      <c r="Y190">
        <v>10</v>
      </c>
      <c r="Z190">
        <v>10</v>
      </c>
      <c r="AA190" t="s">
        <v>2700</v>
      </c>
    </row>
    <row r="191" spans="1:32">
      <c r="A191" t="s">
        <v>2952</v>
      </c>
      <c r="C191" s="385">
        <v>46202</v>
      </c>
      <c r="D191" t="s">
        <v>2953</v>
      </c>
      <c r="E191">
        <v>60</v>
      </c>
      <c r="G191" s="19">
        <v>527</v>
      </c>
      <c r="H191" s="19">
        <v>970</v>
      </c>
      <c r="I191" s="19">
        <v>4</v>
      </c>
      <c r="J191">
        <v>175</v>
      </c>
      <c r="K191" s="167">
        <v>125</v>
      </c>
      <c r="L191" s="167">
        <v>400</v>
      </c>
      <c r="M191" s="167">
        <v>35</v>
      </c>
      <c r="O191">
        <v>50</v>
      </c>
      <c r="P191">
        <v>400</v>
      </c>
      <c r="Q191">
        <v>4.5</v>
      </c>
      <c r="R191" t="s">
        <v>2776</v>
      </c>
      <c r="V191" t="s">
        <v>2810</v>
      </c>
      <c r="X191" t="s">
        <v>2590</v>
      </c>
      <c r="Y191">
        <v>10</v>
      </c>
      <c r="Z191">
        <v>5</v>
      </c>
      <c r="AA191" t="s">
        <v>2579</v>
      </c>
      <c r="AB191" t="s">
        <v>2833</v>
      </c>
      <c r="AC191" t="s">
        <v>2954</v>
      </c>
      <c r="AD191" t="s">
        <v>2955</v>
      </c>
      <c r="AF191" t="s">
        <v>2956</v>
      </c>
    </row>
    <row r="192" spans="1:32">
      <c r="A192" s="454" t="s">
        <v>2957</v>
      </c>
      <c r="C192" s="385">
        <v>46202</v>
      </c>
      <c r="E192">
        <v>80</v>
      </c>
      <c r="H192" s="19">
        <v>970</v>
      </c>
      <c r="I192" s="19">
        <v>1.5</v>
      </c>
      <c r="J192">
        <v>175</v>
      </c>
      <c r="O192">
        <v>50</v>
      </c>
      <c r="P192">
        <v>400</v>
      </c>
      <c r="Q192">
        <v>7</v>
      </c>
      <c r="R192" t="s">
        <v>2590</v>
      </c>
      <c r="X192" t="s">
        <v>2590</v>
      </c>
      <c r="Y192">
        <v>10</v>
      </c>
      <c r="Z192">
        <v>10</v>
      </c>
      <c r="AA192" t="s">
        <v>2700</v>
      </c>
    </row>
    <row r="193" spans="1:32">
      <c r="A193" t="s">
        <v>2958</v>
      </c>
      <c r="C193" s="385">
        <v>46202</v>
      </c>
      <c r="D193" t="s">
        <v>2959</v>
      </c>
      <c r="E193">
        <v>60</v>
      </c>
      <c r="G193" s="19">
        <v>537</v>
      </c>
      <c r="H193" s="19">
        <v>1000</v>
      </c>
      <c r="I193" s="19">
        <v>4</v>
      </c>
      <c r="J193">
        <v>175</v>
      </c>
      <c r="K193" s="167">
        <v>125</v>
      </c>
      <c r="L193" s="167">
        <v>400</v>
      </c>
      <c r="M193" s="167">
        <v>35</v>
      </c>
      <c r="O193">
        <v>50</v>
      </c>
      <c r="P193">
        <v>400</v>
      </c>
      <c r="Q193">
        <v>4.5</v>
      </c>
      <c r="R193" t="s">
        <v>2776</v>
      </c>
      <c r="V193" t="s">
        <v>2810</v>
      </c>
      <c r="X193" t="s">
        <v>2590</v>
      </c>
      <c r="Y193">
        <v>10</v>
      </c>
      <c r="Z193">
        <v>5</v>
      </c>
      <c r="AA193" t="s">
        <v>2579</v>
      </c>
      <c r="AB193" t="s">
        <v>2833</v>
      </c>
      <c r="AD193" t="s">
        <v>2960</v>
      </c>
      <c r="AF193">
        <v>28</v>
      </c>
    </row>
    <row r="194" spans="1:32" ht="15" customHeight="1">
      <c r="A194" s="454" t="s">
        <v>2961</v>
      </c>
      <c r="C194" s="385">
        <v>46202</v>
      </c>
      <c r="E194">
        <v>80</v>
      </c>
      <c r="H194" s="19">
        <v>1000</v>
      </c>
      <c r="I194" s="19">
        <v>1.5</v>
      </c>
      <c r="J194">
        <v>175</v>
      </c>
      <c r="O194">
        <v>50</v>
      </c>
      <c r="P194">
        <v>400</v>
      </c>
      <c r="Q194">
        <v>7</v>
      </c>
      <c r="R194" t="s">
        <v>2590</v>
      </c>
      <c r="X194" t="s">
        <v>2590</v>
      </c>
      <c r="Y194">
        <v>10</v>
      </c>
      <c r="Z194">
        <v>10</v>
      </c>
      <c r="AA194" t="s">
        <v>2700</v>
      </c>
    </row>
    <row r="195" spans="1:32">
      <c r="A195" t="s">
        <v>2962</v>
      </c>
      <c r="B195" t="s">
        <v>2958</v>
      </c>
      <c r="C195" s="385">
        <v>46202</v>
      </c>
      <c r="D195" t="s">
        <v>2963</v>
      </c>
      <c r="E195">
        <v>60</v>
      </c>
      <c r="G195" s="19">
        <v>544</v>
      </c>
      <c r="H195" s="346">
        <v>1050</v>
      </c>
      <c r="I195" s="19">
        <v>4</v>
      </c>
      <c r="J195">
        <v>175</v>
      </c>
      <c r="K195" s="167">
        <v>125</v>
      </c>
      <c r="L195" s="167">
        <v>400</v>
      </c>
      <c r="M195" s="167">
        <v>35</v>
      </c>
      <c r="O195">
        <v>50</v>
      </c>
      <c r="P195">
        <v>400</v>
      </c>
      <c r="Q195">
        <v>4.5</v>
      </c>
      <c r="R195" t="s">
        <v>2776</v>
      </c>
      <c r="V195" t="s">
        <v>2810</v>
      </c>
      <c r="X195" t="s">
        <v>2590</v>
      </c>
      <c r="Y195">
        <v>10</v>
      </c>
      <c r="Z195">
        <v>5</v>
      </c>
      <c r="AA195" t="s">
        <v>2579</v>
      </c>
      <c r="AB195" t="s">
        <v>2964</v>
      </c>
      <c r="AD195" t="s">
        <v>2965</v>
      </c>
      <c r="AF195" t="s">
        <v>2966</v>
      </c>
    </row>
    <row r="196" spans="1:32">
      <c r="A196" s="454" t="s">
        <v>2967</v>
      </c>
      <c r="C196" s="385">
        <v>46203</v>
      </c>
      <c r="E196">
        <v>80</v>
      </c>
      <c r="H196" s="346">
        <v>1000</v>
      </c>
      <c r="I196" s="19">
        <v>1.5</v>
      </c>
      <c r="J196">
        <v>175</v>
      </c>
      <c r="O196">
        <v>50</v>
      </c>
      <c r="P196">
        <v>400</v>
      </c>
      <c r="Q196">
        <v>7</v>
      </c>
      <c r="R196" t="s">
        <v>2590</v>
      </c>
      <c r="X196" t="s">
        <v>2590</v>
      </c>
      <c r="Y196">
        <v>10</v>
      </c>
      <c r="Z196">
        <v>10</v>
      </c>
      <c r="AA196" t="s">
        <v>2700</v>
      </c>
    </row>
    <row r="197" spans="1:32">
      <c r="A197" t="s">
        <v>2968</v>
      </c>
      <c r="C197" s="385">
        <v>46203</v>
      </c>
      <c r="D197" t="s">
        <v>2969</v>
      </c>
      <c r="E197">
        <v>60</v>
      </c>
      <c r="G197" s="19">
        <v>544</v>
      </c>
      <c r="H197" s="19">
        <v>1000</v>
      </c>
      <c r="I197" s="19">
        <v>4</v>
      </c>
      <c r="J197">
        <v>175</v>
      </c>
      <c r="K197" s="167">
        <v>125</v>
      </c>
      <c r="L197" s="167">
        <v>400</v>
      </c>
      <c r="M197" s="167">
        <v>35</v>
      </c>
      <c r="O197">
        <v>50</v>
      </c>
      <c r="P197">
        <v>400</v>
      </c>
      <c r="Q197">
        <v>4.5</v>
      </c>
      <c r="R197" t="s">
        <v>2776</v>
      </c>
      <c r="V197" t="s">
        <v>2810</v>
      </c>
      <c r="X197" t="s">
        <v>2590</v>
      </c>
      <c r="Y197">
        <v>10</v>
      </c>
      <c r="Z197" s="206">
        <v>10</v>
      </c>
      <c r="AA197" t="s">
        <v>2579</v>
      </c>
      <c r="AB197" t="s">
        <v>2833</v>
      </c>
      <c r="AD197" t="s">
        <v>2970</v>
      </c>
      <c r="AF197">
        <v>34</v>
      </c>
    </row>
    <row r="198" spans="1:32">
      <c r="A198" s="454" t="s">
        <v>2971</v>
      </c>
      <c r="C198" s="385">
        <v>46203</v>
      </c>
      <c r="E198">
        <v>80</v>
      </c>
      <c r="H198" s="19">
        <v>1000</v>
      </c>
      <c r="I198" s="19">
        <v>1.5</v>
      </c>
      <c r="J198">
        <v>175</v>
      </c>
      <c r="O198">
        <v>50</v>
      </c>
      <c r="P198">
        <v>400</v>
      </c>
      <c r="Q198">
        <v>7</v>
      </c>
      <c r="R198" t="s">
        <v>2590</v>
      </c>
      <c r="X198" t="s">
        <v>2590</v>
      </c>
      <c r="Y198">
        <v>10</v>
      </c>
      <c r="Z198">
        <v>10</v>
      </c>
      <c r="AA198" t="s">
        <v>2700</v>
      </c>
    </row>
    <row r="199" spans="1:32">
      <c r="A199" t="s">
        <v>2972</v>
      </c>
      <c r="C199" s="385">
        <v>46203</v>
      </c>
      <c r="D199" t="s">
        <v>2973</v>
      </c>
      <c r="E199">
        <v>60</v>
      </c>
      <c r="H199" s="19">
        <v>950</v>
      </c>
      <c r="I199" s="19">
        <v>4</v>
      </c>
      <c r="J199">
        <v>175</v>
      </c>
      <c r="K199" s="167">
        <v>125</v>
      </c>
      <c r="L199" s="167">
        <v>400</v>
      </c>
      <c r="M199" s="167">
        <v>35</v>
      </c>
      <c r="O199">
        <v>50</v>
      </c>
      <c r="P199">
        <v>400</v>
      </c>
      <c r="Q199">
        <v>4.5</v>
      </c>
      <c r="R199" t="s">
        <v>2776</v>
      </c>
      <c r="V199" t="s">
        <v>2810</v>
      </c>
      <c r="X199" t="s">
        <v>2590</v>
      </c>
      <c r="Y199">
        <v>10</v>
      </c>
      <c r="Z199" s="206">
        <v>5</v>
      </c>
      <c r="AA199" t="s">
        <v>2579</v>
      </c>
      <c r="AB199" t="s">
        <v>2974</v>
      </c>
    </row>
    <row r="200" spans="1:32">
      <c r="A200" s="454" t="s">
        <v>2975</v>
      </c>
      <c r="C200" s="385">
        <v>46204</v>
      </c>
      <c r="E200">
        <v>80</v>
      </c>
      <c r="H200" s="19">
        <v>1000</v>
      </c>
      <c r="I200" s="19">
        <v>1.5</v>
      </c>
      <c r="J200">
        <v>175</v>
      </c>
      <c r="O200">
        <v>50</v>
      </c>
      <c r="P200">
        <v>400</v>
      </c>
      <c r="Q200">
        <v>7</v>
      </c>
      <c r="R200" t="s">
        <v>2776</v>
      </c>
      <c r="X200" t="s">
        <v>2590</v>
      </c>
      <c r="Y200">
        <v>10</v>
      </c>
      <c r="Z200">
        <v>10</v>
      </c>
      <c r="AA200" t="s">
        <v>2700</v>
      </c>
      <c r="AC200" t="s">
        <v>2954</v>
      </c>
    </row>
    <row r="201" spans="1:32">
      <c r="A201" t="s">
        <v>2976</v>
      </c>
      <c r="B201" t="s">
        <v>2958</v>
      </c>
      <c r="C201" s="385">
        <v>46204</v>
      </c>
      <c r="D201" t="s">
        <v>2977</v>
      </c>
      <c r="E201">
        <v>60</v>
      </c>
      <c r="G201" s="19">
        <v>544</v>
      </c>
      <c r="H201" s="19">
        <v>1000</v>
      </c>
      <c r="I201" s="19">
        <v>4</v>
      </c>
      <c r="J201">
        <v>175</v>
      </c>
      <c r="K201" s="305">
        <v>100</v>
      </c>
      <c r="L201" s="167">
        <v>400</v>
      </c>
      <c r="M201" s="167">
        <v>35</v>
      </c>
      <c r="O201">
        <v>50</v>
      </c>
      <c r="P201">
        <v>400</v>
      </c>
      <c r="Q201">
        <v>4.5</v>
      </c>
      <c r="R201" t="s">
        <v>2776</v>
      </c>
      <c r="V201" t="s">
        <v>2810</v>
      </c>
      <c r="X201" t="s">
        <v>2590</v>
      </c>
      <c r="Y201">
        <v>10</v>
      </c>
      <c r="Z201" s="206">
        <v>10</v>
      </c>
      <c r="AA201" t="s">
        <v>2579</v>
      </c>
      <c r="AB201" t="s">
        <v>2833</v>
      </c>
      <c r="AD201" t="s">
        <v>2978</v>
      </c>
      <c r="AF201" t="s">
        <v>2979</v>
      </c>
    </row>
    <row r="202" spans="1:32">
      <c r="A202" s="454" t="s">
        <v>2980</v>
      </c>
      <c r="C202" s="385">
        <v>46204</v>
      </c>
      <c r="E202">
        <v>80</v>
      </c>
      <c r="H202" s="19">
        <v>1000</v>
      </c>
      <c r="I202" s="19">
        <v>1.5</v>
      </c>
      <c r="J202">
        <v>175</v>
      </c>
      <c r="O202">
        <v>50</v>
      </c>
      <c r="P202">
        <v>400</v>
      </c>
      <c r="Q202">
        <v>7</v>
      </c>
      <c r="R202" t="s">
        <v>2776</v>
      </c>
      <c r="X202" t="s">
        <v>2590</v>
      </c>
      <c r="Y202">
        <v>10</v>
      </c>
      <c r="Z202">
        <v>10</v>
      </c>
      <c r="AA202" t="s">
        <v>2700</v>
      </c>
    </row>
    <row r="203" spans="1:32">
      <c r="A203" t="s">
        <v>2981</v>
      </c>
      <c r="B203" t="s">
        <v>2962</v>
      </c>
      <c r="C203" s="385">
        <v>46205</v>
      </c>
      <c r="D203" t="s">
        <v>2982</v>
      </c>
      <c r="E203">
        <v>60</v>
      </c>
      <c r="H203" s="19">
        <v>1050</v>
      </c>
      <c r="I203" s="19">
        <v>4</v>
      </c>
      <c r="J203">
        <v>175</v>
      </c>
      <c r="K203" s="305">
        <v>125</v>
      </c>
      <c r="L203" s="167">
        <v>400</v>
      </c>
      <c r="M203" s="167">
        <v>35</v>
      </c>
      <c r="O203">
        <v>50</v>
      </c>
      <c r="P203">
        <v>400</v>
      </c>
      <c r="Q203">
        <v>4.5</v>
      </c>
      <c r="R203" t="s">
        <v>2776</v>
      </c>
      <c r="V203" t="s">
        <v>2810</v>
      </c>
      <c r="X203" t="s">
        <v>2590</v>
      </c>
      <c r="Y203">
        <v>10</v>
      </c>
      <c r="Z203" s="206">
        <v>5</v>
      </c>
      <c r="AA203" t="s">
        <v>2579</v>
      </c>
      <c r="AB203" t="s">
        <v>2833</v>
      </c>
      <c r="AD203" t="s">
        <v>2983</v>
      </c>
      <c r="AF203" t="s">
        <v>2984</v>
      </c>
    </row>
    <row r="204" spans="1:32">
      <c r="A204" s="454" t="s">
        <v>2985</v>
      </c>
      <c r="C204" s="385">
        <v>46206</v>
      </c>
      <c r="E204">
        <v>80</v>
      </c>
      <c r="H204" s="19">
        <v>1000</v>
      </c>
      <c r="I204" s="19">
        <v>1.5</v>
      </c>
      <c r="J204">
        <v>175</v>
      </c>
      <c r="O204">
        <v>50</v>
      </c>
      <c r="P204">
        <v>400</v>
      </c>
      <c r="Q204">
        <v>7</v>
      </c>
      <c r="R204" t="s">
        <v>2776</v>
      </c>
      <c r="X204" t="s">
        <v>2590</v>
      </c>
      <c r="Y204">
        <v>10</v>
      </c>
      <c r="Z204">
        <v>10</v>
      </c>
      <c r="AA204" t="s">
        <v>2700</v>
      </c>
    </row>
    <row r="205" spans="1:32">
      <c r="A205" t="s">
        <v>2986</v>
      </c>
      <c r="C205" s="385">
        <v>46206</v>
      </c>
      <c r="D205" t="s">
        <v>2987</v>
      </c>
      <c r="E205">
        <v>60</v>
      </c>
      <c r="H205" s="19">
        <v>1050</v>
      </c>
      <c r="I205" s="19">
        <v>4</v>
      </c>
      <c r="J205">
        <v>175</v>
      </c>
      <c r="K205" s="305">
        <v>125</v>
      </c>
      <c r="L205" s="167">
        <v>400</v>
      </c>
      <c r="M205" s="167">
        <v>35</v>
      </c>
      <c r="O205">
        <v>50</v>
      </c>
      <c r="P205">
        <v>400</v>
      </c>
      <c r="Q205">
        <v>4.5</v>
      </c>
      <c r="R205" t="s">
        <v>2776</v>
      </c>
      <c r="V205" t="s">
        <v>2810</v>
      </c>
      <c r="X205" t="s">
        <v>2590</v>
      </c>
      <c r="Y205">
        <v>10</v>
      </c>
      <c r="Z205" s="206">
        <v>5</v>
      </c>
      <c r="AA205" t="s">
        <v>2579</v>
      </c>
      <c r="AB205" t="s">
        <v>2833</v>
      </c>
      <c r="AD205" t="s">
        <v>2988</v>
      </c>
      <c r="AF205" t="s">
        <v>2989</v>
      </c>
    </row>
    <row r="206" spans="1:32">
      <c r="A206" s="454" t="s">
        <v>2990</v>
      </c>
      <c r="C206" s="385">
        <v>46206</v>
      </c>
    </row>
    <row r="207" spans="1:32">
      <c r="A207" t="s">
        <v>2991</v>
      </c>
      <c r="B207" t="s">
        <v>2958</v>
      </c>
      <c r="C207" s="385">
        <v>46206</v>
      </c>
      <c r="D207" t="s">
        <v>2992</v>
      </c>
      <c r="E207">
        <v>60</v>
      </c>
      <c r="F207" s="19">
        <v>670</v>
      </c>
      <c r="G207" s="19">
        <v>517</v>
      </c>
      <c r="H207" s="19">
        <v>1000</v>
      </c>
      <c r="I207" s="19">
        <v>4</v>
      </c>
      <c r="J207">
        <v>175</v>
      </c>
      <c r="K207" s="167">
        <v>100</v>
      </c>
      <c r="L207" s="167">
        <v>400</v>
      </c>
      <c r="M207" s="167">
        <v>35</v>
      </c>
      <c r="O207">
        <v>50</v>
      </c>
      <c r="P207">
        <v>400</v>
      </c>
      <c r="Q207">
        <v>4.5</v>
      </c>
      <c r="R207" t="s">
        <v>2776</v>
      </c>
      <c r="V207" t="s">
        <v>2810</v>
      </c>
      <c r="X207" t="s">
        <v>2590</v>
      </c>
      <c r="Y207">
        <v>10</v>
      </c>
      <c r="Z207" s="206">
        <v>10</v>
      </c>
      <c r="AA207" t="s">
        <v>2833</v>
      </c>
      <c r="AB207" t="s">
        <v>2833</v>
      </c>
      <c r="AC207" t="s">
        <v>2993</v>
      </c>
      <c r="AD207" t="s">
        <v>2994</v>
      </c>
    </row>
    <row r="208" spans="1:32">
      <c r="A208" s="454" t="s">
        <v>2995</v>
      </c>
      <c r="C208" s="385">
        <v>46206</v>
      </c>
    </row>
    <row r="209" spans="1:32">
      <c r="A209" t="s">
        <v>2996</v>
      </c>
      <c r="B209" t="s">
        <v>2958</v>
      </c>
      <c r="C209" s="385">
        <v>46207</v>
      </c>
      <c r="E209">
        <v>60</v>
      </c>
      <c r="F209" s="19">
        <v>670</v>
      </c>
      <c r="G209" s="19">
        <v>517</v>
      </c>
      <c r="H209" s="19">
        <v>1000</v>
      </c>
      <c r="I209" s="19">
        <v>4</v>
      </c>
      <c r="J209">
        <v>175</v>
      </c>
      <c r="K209" s="167">
        <v>100</v>
      </c>
      <c r="L209" s="167">
        <v>400</v>
      </c>
      <c r="M209" s="167">
        <v>35</v>
      </c>
      <c r="O209">
        <v>50</v>
      </c>
      <c r="P209">
        <v>400</v>
      </c>
      <c r="Q209" s="206">
        <v>5</v>
      </c>
      <c r="R209" t="s">
        <v>2776</v>
      </c>
      <c r="V209" t="s">
        <v>2810</v>
      </c>
      <c r="X209" t="s">
        <v>2590</v>
      </c>
      <c r="Y209">
        <v>10</v>
      </c>
      <c r="Z209" s="206">
        <v>10</v>
      </c>
      <c r="AA209" t="s">
        <v>2833</v>
      </c>
      <c r="AB209" t="s">
        <v>2833</v>
      </c>
    </row>
    <row r="210" spans="1:32">
      <c r="A210" s="454" t="s">
        <v>2997</v>
      </c>
      <c r="C210" s="385">
        <v>46207</v>
      </c>
    </row>
    <row r="211" spans="1:32">
      <c r="A211" t="s">
        <v>2998</v>
      </c>
      <c r="B211" t="s">
        <v>2976</v>
      </c>
      <c r="C211" s="385">
        <v>46207</v>
      </c>
      <c r="D211" s="313" t="s">
        <v>2999</v>
      </c>
      <c r="E211">
        <v>60</v>
      </c>
      <c r="F211" s="19">
        <v>671</v>
      </c>
      <c r="H211" s="19">
        <v>1050</v>
      </c>
      <c r="I211" s="346">
        <v>4</v>
      </c>
      <c r="J211">
        <v>200</v>
      </c>
      <c r="K211" s="167">
        <v>100</v>
      </c>
      <c r="L211" s="167">
        <v>400</v>
      </c>
      <c r="M211" s="167">
        <v>35</v>
      </c>
      <c r="O211" s="206">
        <v>100</v>
      </c>
      <c r="P211">
        <v>400</v>
      </c>
      <c r="Q211">
        <v>4.5</v>
      </c>
      <c r="R211" t="s">
        <v>2776</v>
      </c>
      <c r="V211" t="s">
        <v>2810</v>
      </c>
      <c r="X211" t="s">
        <v>2590</v>
      </c>
      <c r="Y211">
        <v>10</v>
      </c>
      <c r="Z211">
        <v>10</v>
      </c>
      <c r="AA211" t="s">
        <v>2833</v>
      </c>
      <c r="AB211" t="s">
        <v>3000</v>
      </c>
      <c r="AD211" t="s">
        <v>3001</v>
      </c>
    </row>
    <row r="212" spans="1:32">
      <c r="A212" s="454" t="s">
        <v>3002</v>
      </c>
      <c r="C212" s="385">
        <v>46207</v>
      </c>
      <c r="I212" s="346"/>
    </row>
    <row r="213" spans="1:32">
      <c r="A213" t="s">
        <v>3003</v>
      </c>
      <c r="B213" t="s">
        <v>2998</v>
      </c>
      <c r="C213" s="385">
        <v>46207</v>
      </c>
      <c r="D213" s="313" t="s">
        <v>2999</v>
      </c>
      <c r="E213">
        <v>60</v>
      </c>
      <c r="F213" s="19">
        <v>667</v>
      </c>
      <c r="H213" s="19">
        <v>1050</v>
      </c>
      <c r="I213" s="346">
        <v>6</v>
      </c>
      <c r="J213">
        <v>200</v>
      </c>
      <c r="K213" s="167">
        <v>100</v>
      </c>
      <c r="L213" s="167">
        <v>400</v>
      </c>
      <c r="M213" s="167">
        <v>35</v>
      </c>
      <c r="O213">
        <v>100</v>
      </c>
      <c r="P213">
        <v>400</v>
      </c>
      <c r="Q213">
        <v>4.5</v>
      </c>
      <c r="R213" t="s">
        <v>2776</v>
      </c>
      <c r="V213" t="s">
        <v>2810</v>
      </c>
      <c r="X213" t="s">
        <v>2590</v>
      </c>
      <c r="Y213">
        <v>10</v>
      </c>
      <c r="Z213">
        <v>10</v>
      </c>
      <c r="AA213" t="s">
        <v>2833</v>
      </c>
      <c r="AB213" t="s">
        <v>3000</v>
      </c>
    </row>
    <row r="214" spans="1:32">
      <c r="A214" s="454" t="s">
        <v>3004</v>
      </c>
      <c r="C214" s="385">
        <v>46208</v>
      </c>
    </row>
    <row r="215" spans="1:32">
      <c r="A215" t="s">
        <v>3005</v>
      </c>
      <c r="B215" t="s">
        <v>2998</v>
      </c>
      <c r="C215" s="385">
        <v>46209</v>
      </c>
      <c r="D215" s="313" t="s">
        <v>2999</v>
      </c>
      <c r="E215">
        <v>60</v>
      </c>
      <c r="H215" s="19">
        <v>1050</v>
      </c>
      <c r="I215" s="346">
        <v>2</v>
      </c>
      <c r="J215">
        <v>200</v>
      </c>
      <c r="K215" s="167">
        <v>100</v>
      </c>
      <c r="L215" s="167">
        <v>400</v>
      </c>
      <c r="M215" s="167">
        <v>35</v>
      </c>
      <c r="O215">
        <v>100</v>
      </c>
      <c r="P215">
        <v>400</v>
      </c>
      <c r="Q215">
        <v>4.5</v>
      </c>
      <c r="R215" t="s">
        <v>2776</v>
      </c>
      <c r="V215" t="s">
        <v>2810</v>
      </c>
      <c r="X215" t="s">
        <v>2590</v>
      </c>
      <c r="Y215">
        <v>10</v>
      </c>
      <c r="Z215">
        <v>10</v>
      </c>
      <c r="AA215" t="s">
        <v>2833</v>
      </c>
      <c r="AB215" t="s">
        <v>3000</v>
      </c>
      <c r="AF215" t="s">
        <v>3006</v>
      </c>
    </row>
    <row r="216" spans="1:32">
      <c r="A216" s="454" t="s">
        <v>3007</v>
      </c>
      <c r="C216" s="385">
        <v>46209</v>
      </c>
    </row>
    <row r="217" spans="1:32">
      <c r="A217" t="s">
        <v>3008</v>
      </c>
      <c r="B217" t="s">
        <v>2998</v>
      </c>
      <c r="C217" s="385">
        <v>46209</v>
      </c>
      <c r="D217" t="s">
        <v>3009</v>
      </c>
      <c r="E217">
        <v>60</v>
      </c>
      <c r="H217" s="19">
        <v>1050</v>
      </c>
      <c r="I217" s="346">
        <v>4</v>
      </c>
      <c r="J217">
        <v>200</v>
      </c>
      <c r="K217" s="167">
        <v>100</v>
      </c>
      <c r="L217" s="167">
        <v>400</v>
      </c>
      <c r="M217" s="167">
        <v>35</v>
      </c>
      <c r="O217" s="206">
        <v>100</v>
      </c>
      <c r="P217">
        <v>400</v>
      </c>
      <c r="Q217">
        <v>4.5</v>
      </c>
      <c r="R217" t="s">
        <v>2776</v>
      </c>
      <c r="V217" t="s">
        <v>2810</v>
      </c>
      <c r="X217" t="s">
        <v>2590</v>
      </c>
      <c r="Y217">
        <v>10</v>
      </c>
      <c r="Z217">
        <v>10</v>
      </c>
      <c r="AA217" t="s">
        <v>2833</v>
      </c>
      <c r="AB217" t="s">
        <v>3000</v>
      </c>
      <c r="AD217" t="s">
        <v>3010</v>
      </c>
      <c r="AF217" t="s">
        <v>3011</v>
      </c>
    </row>
    <row r="218" spans="1:32">
      <c r="A218" s="454" t="s">
        <v>3012</v>
      </c>
      <c r="C218" s="385">
        <v>46209</v>
      </c>
    </row>
    <row r="219" spans="1:32">
      <c r="A219" t="s">
        <v>3013</v>
      </c>
      <c r="C219" s="385">
        <v>46209</v>
      </c>
      <c r="D219" s="245" t="s">
        <v>3014</v>
      </c>
      <c r="E219">
        <v>60</v>
      </c>
      <c r="F219" s="19">
        <v>672</v>
      </c>
      <c r="H219" s="19">
        <v>1050</v>
      </c>
      <c r="I219" s="346">
        <v>4</v>
      </c>
      <c r="J219">
        <v>200</v>
      </c>
      <c r="K219" s="167">
        <v>100</v>
      </c>
      <c r="L219" s="167">
        <v>400</v>
      </c>
      <c r="M219" s="167">
        <v>35</v>
      </c>
      <c r="O219" s="206">
        <v>100</v>
      </c>
      <c r="P219" s="206">
        <v>300</v>
      </c>
      <c r="Q219">
        <v>4.5</v>
      </c>
      <c r="R219" t="s">
        <v>2776</v>
      </c>
      <c r="V219" t="s">
        <v>2810</v>
      </c>
      <c r="X219" t="s">
        <v>2590</v>
      </c>
      <c r="Y219">
        <v>10</v>
      </c>
      <c r="Z219">
        <v>10</v>
      </c>
      <c r="AA219" t="s">
        <v>2833</v>
      </c>
      <c r="AB219" t="s">
        <v>3000</v>
      </c>
      <c r="AF219" t="s">
        <v>3015</v>
      </c>
    </row>
    <row r="220" spans="1:32">
      <c r="A220" s="454" t="s">
        <v>3016</v>
      </c>
      <c r="C220" s="385">
        <v>46210</v>
      </c>
      <c r="I220" s="346"/>
      <c r="O220" s="206"/>
      <c r="P220" s="206"/>
    </row>
    <row r="221" spans="1:32">
      <c r="A221" t="s">
        <v>3017</v>
      </c>
      <c r="C221" s="385">
        <v>46210</v>
      </c>
      <c r="D221" s="245" t="s">
        <v>3014</v>
      </c>
      <c r="E221">
        <v>60</v>
      </c>
      <c r="H221" s="19">
        <v>1050</v>
      </c>
      <c r="I221" s="346">
        <v>4</v>
      </c>
      <c r="J221">
        <v>200</v>
      </c>
      <c r="K221" s="167">
        <v>100</v>
      </c>
      <c r="L221" s="167">
        <v>400</v>
      </c>
      <c r="M221" s="167">
        <v>35</v>
      </c>
      <c r="O221" s="206">
        <v>100</v>
      </c>
      <c r="P221" s="206">
        <v>200</v>
      </c>
      <c r="Q221">
        <v>4.5</v>
      </c>
      <c r="R221" t="s">
        <v>2776</v>
      </c>
      <c r="V221" t="s">
        <v>2810</v>
      </c>
      <c r="X221" t="s">
        <v>2590</v>
      </c>
      <c r="Y221">
        <v>10</v>
      </c>
      <c r="Z221">
        <v>10</v>
      </c>
      <c r="AA221" t="s">
        <v>2833</v>
      </c>
      <c r="AB221" t="s">
        <v>3000</v>
      </c>
      <c r="AF221" t="s">
        <v>3018</v>
      </c>
    </row>
    <row r="222" spans="1:32">
      <c r="A222" s="454" t="s">
        <v>3019</v>
      </c>
      <c r="C222" s="385">
        <v>46210</v>
      </c>
    </row>
    <row r="223" spans="1:32">
      <c r="A223" t="s">
        <v>3020</v>
      </c>
      <c r="C223" s="385">
        <v>46210</v>
      </c>
      <c r="D223" s="245" t="s">
        <v>3021</v>
      </c>
      <c r="E223">
        <v>60</v>
      </c>
      <c r="H223" s="19">
        <v>1050</v>
      </c>
      <c r="I223" s="346">
        <v>4</v>
      </c>
      <c r="J223">
        <v>200</v>
      </c>
      <c r="K223" s="167">
        <v>100</v>
      </c>
      <c r="L223" s="167">
        <v>400</v>
      </c>
      <c r="M223" s="167">
        <v>35</v>
      </c>
      <c r="O223" s="206">
        <v>50</v>
      </c>
      <c r="P223" s="206">
        <v>400</v>
      </c>
      <c r="Q223">
        <v>4.5</v>
      </c>
      <c r="R223" t="s">
        <v>2776</v>
      </c>
      <c r="V223" t="s">
        <v>2810</v>
      </c>
      <c r="X223" t="s">
        <v>2590</v>
      </c>
      <c r="Y223">
        <v>10</v>
      </c>
      <c r="Z223">
        <v>10</v>
      </c>
      <c r="AA223" t="s">
        <v>2833</v>
      </c>
      <c r="AB223" t="s">
        <v>3000</v>
      </c>
      <c r="AC223" t="s">
        <v>3022</v>
      </c>
    </row>
    <row r="224" spans="1:32">
      <c r="A224" s="454" t="s">
        <v>3023</v>
      </c>
      <c r="C224" s="385">
        <v>46210</v>
      </c>
    </row>
    <row r="225" spans="1:32" s="458" customFormat="1">
      <c r="A225" s="582"/>
      <c r="C225" s="459"/>
      <c r="D225" s="458" t="s">
        <v>3024</v>
      </c>
      <c r="F225" s="460"/>
      <c r="G225" s="460"/>
      <c r="H225" s="460"/>
      <c r="I225" s="460"/>
      <c r="K225" s="461"/>
      <c r="L225" s="461"/>
      <c r="M225" s="461"/>
    </row>
    <row r="226" spans="1:32">
      <c r="A226" t="s">
        <v>3025</v>
      </c>
      <c r="C226" s="385">
        <v>46213</v>
      </c>
      <c r="D226" t="s">
        <v>3026</v>
      </c>
      <c r="E226">
        <v>60</v>
      </c>
      <c r="H226" s="19">
        <v>1050</v>
      </c>
      <c r="I226" s="346">
        <v>4</v>
      </c>
      <c r="J226">
        <v>200</v>
      </c>
      <c r="K226" s="167">
        <v>100</v>
      </c>
      <c r="L226" s="167">
        <v>400</v>
      </c>
      <c r="M226" s="167">
        <v>35</v>
      </c>
      <c r="O226">
        <v>100</v>
      </c>
      <c r="P226">
        <v>400</v>
      </c>
      <c r="Q226">
        <v>4</v>
      </c>
      <c r="R226" t="s">
        <v>2776</v>
      </c>
      <c r="V226" t="s">
        <v>2810</v>
      </c>
      <c r="X226" t="s">
        <v>2590</v>
      </c>
      <c r="Y226">
        <v>10</v>
      </c>
      <c r="Z226">
        <v>10</v>
      </c>
      <c r="AA226" t="s">
        <v>2833</v>
      </c>
      <c r="AB226" t="s">
        <v>3000</v>
      </c>
      <c r="AF226" t="s">
        <v>3027</v>
      </c>
    </row>
    <row r="227" spans="1:32">
      <c r="A227" s="454" t="s">
        <v>3028</v>
      </c>
      <c r="C227" s="385">
        <v>46214</v>
      </c>
    </row>
    <row r="228" spans="1:32">
      <c r="A228" t="s">
        <v>3029</v>
      </c>
      <c r="C228" s="385">
        <v>46215</v>
      </c>
      <c r="E228">
        <v>60</v>
      </c>
      <c r="H228" s="19">
        <v>1050</v>
      </c>
      <c r="I228" s="346">
        <v>4</v>
      </c>
      <c r="J228">
        <v>200</v>
      </c>
      <c r="K228" s="167">
        <v>100</v>
      </c>
      <c r="L228" s="167">
        <v>400</v>
      </c>
      <c r="M228" s="167">
        <v>35</v>
      </c>
      <c r="O228">
        <v>100</v>
      </c>
      <c r="P228">
        <v>400</v>
      </c>
      <c r="Q228">
        <v>4.5</v>
      </c>
      <c r="R228" t="s">
        <v>2776</v>
      </c>
      <c r="V228" t="s">
        <v>2590</v>
      </c>
      <c r="X228" t="s">
        <v>2590</v>
      </c>
      <c r="Y228">
        <v>10</v>
      </c>
      <c r="Z228">
        <v>10</v>
      </c>
      <c r="AA228" t="s">
        <v>2833</v>
      </c>
      <c r="AB228" t="s">
        <v>3000</v>
      </c>
      <c r="AF228" t="s">
        <v>3030</v>
      </c>
    </row>
    <row r="229" spans="1:32">
      <c r="A229" s="454" t="s">
        <v>3031</v>
      </c>
      <c r="C229" s="385">
        <v>46215</v>
      </c>
      <c r="I229" s="346"/>
      <c r="K229" s="305"/>
      <c r="O229" s="206"/>
      <c r="P229" s="206"/>
    </row>
    <row r="230" spans="1:32">
      <c r="A230" t="s">
        <v>3032</v>
      </c>
      <c r="C230" s="385">
        <v>46215</v>
      </c>
      <c r="D230" t="s">
        <v>3033</v>
      </c>
      <c r="E230">
        <v>60</v>
      </c>
      <c r="H230" s="346">
        <v>1000</v>
      </c>
      <c r="I230" s="19">
        <v>4</v>
      </c>
      <c r="J230">
        <v>200</v>
      </c>
      <c r="K230" s="167">
        <v>100</v>
      </c>
      <c r="L230" s="167">
        <v>400</v>
      </c>
      <c r="M230" s="167">
        <v>35</v>
      </c>
      <c r="O230">
        <v>100</v>
      </c>
      <c r="P230">
        <v>400</v>
      </c>
      <c r="Q230">
        <v>4.5</v>
      </c>
      <c r="R230" t="s">
        <v>2776</v>
      </c>
      <c r="V230" t="s">
        <v>2590</v>
      </c>
      <c r="X230" t="s">
        <v>2590</v>
      </c>
      <c r="Y230">
        <v>10</v>
      </c>
      <c r="Z230">
        <v>10</v>
      </c>
      <c r="AA230" t="s">
        <v>2833</v>
      </c>
      <c r="AB230" t="s">
        <v>3034</v>
      </c>
      <c r="AD230" t="s">
        <v>3035</v>
      </c>
      <c r="AF230" t="s">
        <v>3036</v>
      </c>
    </row>
    <row r="231" spans="1:32">
      <c r="A231" s="454" t="s">
        <v>3037</v>
      </c>
      <c r="C231" s="385">
        <v>46216</v>
      </c>
    </row>
    <row r="232" spans="1:32">
      <c r="A232" t="s">
        <v>3038</v>
      </c>
      <c r="C232" s="385">
        <v>46216</v>
      </c>
      <c r="D232" t="s">
        <v>3039</v>
      </c>
      <c r="E232">
        <v>60</v>
      </c>
      <c r="F232" s="19">
        <v>658</v>
      </c>
      <c r="H232" s="19">
        <v>1000</v>
      </c>
      <c r="I232" s="19">
        <v>4</v>
      </c>
      <c r="J232">
        <v>200</v>
      </c>
      <c r="K232" s="167">
        <v>100</v>
      </c>
      <c r="L232" s="167">
        <v>400</v>
      </c>
      <c r="M232" s="167">
        <v>35</v>
      </c>
      <c r="O232" s="206">
        <v>50</v>
      </c>
      <c r="P232">
        <v>400</v>
      </c>
      <c r="Q232">
        <v>4.5</v>
      </c>
      <c r="R232" t="s">
        <v>2776</v>
      </c>
      <c r="V232" t="s">
        <v>2590</v>
      </c>
      <c r="X232" t="s">
        <v>2590</v>
      </c>
      <c r="Y232">
        <v>10</v>
      </c>
      <c r="Z232" s="206">
        <v>8</v>
      </c>
      <c r="AA232" t="s">
        <v>2833</v>
      </c>
      <c r="AB232" t="s">
        <v>3040</v>
      </c>
      <c r="AC232" t="s">
        <v>3041</v>
      </c>
      <c r="AD232" t="s">
        <v>3042</v>
      </c>
      <c r="AF232" t="s">
        <v>3043</v>
      </c>
    </row>
    <row r="233" spans="1:32">
      <c r="A233" s="454" t="s">
        <v>3044</v>
      </c>
      <c r="C233" s="385">
        <v>46216</v>
      </c>
    </row>
    <row r="234" spans="1:32">
      <c r="A234" t="s">
        <v>3045</v>
      </c>
      <c r="C234" s="385">
        <v>46216</v>
      </c>
      <c r="E234">
        <v>60</v>
      </c>
      <c r="F234" s="19">
        <v>656</v>
      </c>
      <c r="H234" s="19">
        <v>1000</v>
      </c>
      <c r="I234" s="19">
        <v>4</v>
      </c>
      <c r="J234">
        <v>200</v>
      </c>
      <c r="K234" s="167">
        <v>100</v>
      </c>
      <c r="L234" s="167">
        <v>400</v>
      </c>
      <c r="M234" s="167">
        <v>35</v>
      </c>
      <c r="O234">
        <v>100</v>
      </c>
      <c r="P234">
        <v>400</v>
      </c>
      <c r="Q234">
        <v>4.5</v>
      </c>
      <c r="R234" t="s">
        <v>2776</v>
      </c>
      <c r="V234" t="s">
        <v>2590</v>
      </c>
      <c r="X234" t="s">
        <v>2590</v>
      </c>
      <c r="Y234">
        <v>10</v>
      </c>
      <c r="Z234" s="206">
        <v>8</v>
      </c>
      <c r="AA234" t="s">
        <v>2833</v>
      </c>
      <c r="AB234" t="s">
        <v>3040</v>
      </c>
      <c r="AD234" s="365" t="s">
        <v>3046</v>
      </c>
      <c r="AF234" t="s">
        <v>3047</v>
      </c>
    </row>
    <row r="235" spans="1:32">
      <c r="A235" s="454" t="s">
        <v>3048</v>
      </c>
      <c r="C235" s="385">
        <v>46217</v>
      </c>
    </row>
    <row r="236" spans="1:32">
      <c r="A236" t="s">
        <v>3049</v>
      </c>
      <c r="C236" s="385">
        <v>46217</v>
      </c>
      <c r="D236" t="s">
        <v>3050</v>
      </c>
      <c r="E236">
        <v>60</v>
      </c>
      <c r="F236" s="19">
        <v>648</v>
      </c>
      <c r="H236" s="19">
        <v>1000</v>
      </c>
      <c r="I236" s="19">
        <v>4</v>
      </c>
      <c r="J236">
        <v>200</v>
      </c>
      <c r="K236" s="167">
        <v>100</v>
      </c>
      <c r="L236" s="167">
        <v>400</v>
      </c>
      <c r="M236" s="167">
        <v>35</v>
      </c>
      <c r="O236">
        <v>100</v>
      </c>
      <c r="P236">
        <v>400</v>
      </c>
      <c r="Q236">
        <v>4.5</v>
      </c>
      <c r="R236" t="s">
        <v>2776</v>
      </c>
      <c r="V236" t="s">
        <v>2590</v>
      </c>
      <c r="X236" t="s">
        <v>2590</v>
      </c>
      <c r="Y236">
        <v>10</v>
      </c>
      <c r="Z236" s="206">
        <v>9</v>
      </c>
      <c r="AA236" t="s">
        <v>2833</v>
      </c>
      <c r="AB236" t="s">
        <v>3051</v>
      </c>
      <c r="AD236" t="s">
        <v>3052</v>
      </c>
      <c r="AF236" t="s">
        <v>3053</v>
      </c>
    </row>
    <row r="237" spans="1:32">
      <c r="A237" s="454" t="s">
        <v>3054</v>
      </c>
      <c r="C237" s="385">
        <v>46217</v>
      </c>
    </row>
    <row r="238" spans="1:32">
      <c r="A238" t="s">
        <v>3055</v>
      </c>
      <c r="B238" t="s">
        <v>3038</v>
      </c>
      <c r="C238" s="385">
        <v>46217</v>
      </c>
      <c r="D238" t="s">
        <v>3056</v>
      </c>
      <c r="E238">
        <v>60</v>
      </c>
      <c r="H238" s="19">
        <v>1000</v>
      </c>
      <c r="I238" s="19">
        <v>4</v>
      </c>
      <c r="J238">
        <v>200</v>
      </c>
      <c r="K238" s="167">
        <v>100</v>
      </c>
      <c r="L238" s="167">
        <v>400</v>
      </c>
      <c r="M238" s="167">
        <v>35</v>
      </c>
      <c r="O238" s="206">
        <v>50</v>
      </c>
      <c r="P238">
        <v>400</v>
      </c>
      <c r="Q238">
        <v>4.5</v>
      </c>
      <c r="R238" t="s">
        <v>2776</v>
      </c>
      <c r="V238" s="206" t="s">
        <v>2814</v>
      </c>
      <c r="W238" s="206"/>
      <c r="X238" t="s">
        <v>2590</v>
      </c>
      <c r="Y238">
        <v>10</v>
      </c>
      <c r="Z238" s="206">
        <v>8</v>
      </c>
      <c r="AA238" t="s">
        <v>2833</v>
      </c>
      <c r="AB238" t="s">
        <v>3040</v>
      </c>
      <c r="AF238" t="s">
        <v>3057</v>
      </c>
    </row>
    <row r="239" spans="1:32" ht="16.5" thickBot="1">
      <c r="A239" s="454" t="s">
        <v>3058</v>
      </c>
      <c r="C239" s="385">
        <v>46217</v>
      </c>
    </row>
    <row r="240" spans="1:32" s="449" customFormat="1" ht="16.5" thickBot="1">
      <c r="A240" s="448"/>
      <c r="C240" s="450"/>
      <c r="F240" s="451"/>
      <c r="G240" s="451"/>
      <c r="H240" s="451"/>
      <c r="I240" s="451"/>
      <c r="K240" s="452"/>
      <c r="L240" s="452"/>
      <c r="M240" s="452"/>
    </row>
    <row r="241" spans="1:30">
      <c r="A241" t="s">
        <v>3059</v>
      </c>
    </row>
    <row r="242" spans="1:30">
      <c r="A242" t="s">
        <v>3060</v>
      </c>
      <c r="C242" s="385">
        <v>46223</v>
      </c>
      <c r="D242" t="s">
        <v>3061</v>
      </c>
      <c r="E242">
        <v>60</v>
      </c>
      <c r="F242" s="19">
        <v>663</v>
      </c>
      <c r="H242" s="19">
        <v>1000</v>
      </c>
      <c r="I242" s="19">
        <v>4</v>
      </c>
      <c r="J242">
        <v>200</v>
      </c>
      <c r="K242" s="167">
        <v>100</v>
      </c>
      <c r="L242" s="167">
        <v>400</v>
      </c>
      <c r="M242" s="167">
        <v>35</v>
      </c>
      <c r="O242">
        <v>50</v>
      </c>
      <c r="P242">
        <v>400</v>
      </c>
      <c r="Q242">
        <v>6</v>
      </c>
      <c r="R242" t="s">
        <v>2776</v>
      </c>
      <c r="V242" t="s">
        <v>2936</v>
      </c>
      <c r="X242" t="s">
        <v>2590</v>
      </c>
      <c r="Y242">
        <v>10</v>
      </c>
      <c r="Z242" s="206">
        <v>10</v>
      </c>
      <c r="AA242" t="s">
        <v>2938</v>
      </c>
      <c r="AB242" t="s">
        <v>3062</v>
      </c>
    </row>
    <row r="243" spans="1:30">
      <c r="A243" s="454" t="s">
        <v>3063</v>
      </c>
    </row>
    <row r="244" spans="1:30">
      <c r="A244" t="s">
        <v>3064</v>
      </c>
      <c r="C244" s="385">
        <v>46224</v>
      </c>
      <c r="D244" t="s">
        <v>3061</v>
      </c>
      <c r="E244">
        <v>80</v>
      </c>
      <c r="F244" s="19">
        <v>648</v>
      </c>
      <c r="H244" s="19">
        <v>1000</v>
      </c>
      <c r="I244" s="19">
        <v>4</v>
      </c>
      <c r="J244">
        <v>200</v>
      </c>
      <c r="K244" s="167">
        <v>100</v>
      </c>
      <c r="L244" s="167">
        <v>400</v>
      </c>
      <c r="M244" s="167">
        <v>35</v>
      </c>
      <c r="O244">
        <v>50</v>
      </c>
      <c r="P244">
        <v>400</v>
      </c>
      <c r="Q244">
        <v>6</v>
      </c>
      <c r="R244" t="s">
        <v>2776</v>
      </c>
      <c r="V244" t="s">
        <v>2936</v>
      </c>
      <c r="X244" t="s">
        <v>2590</v>
      </c>
      <c r="Y244">
        <v>10</v>
      </c>
      <c r="Z244">
        <v>10</v>
      </c>
      <c r="AA244" t="s">
        <v>2938</v>
      </c>
      <c r="AB244" t="s">
        <v>3062</v>
      </c>
      <c r="AC244" t="s">
        <v>3065</v>
      </c>
    </row>
    <row r="245" spans="1:30" s="449" customFormat="1" ht="16.5" thickBot="1">
      <c r="A245" s="448" t="s">
        <v>3066</v>
      </c>
      <c r="C245" s="450"/>
      <c r="D245" s="449" t="s">
        <v>3067</v>
      </c>
      <c r="F245" s="451"/>
      <c r="G245" s="451"/>
      <c r="H245" s="451"/>
      <c r="I245" s="451"/>
      <c r="K245" s="452"/>
      <c r="L245" s="452"/>
      <c r="M245" s="452"/>
    </row>
    <row r="246" spans="1:30">
      <c r="A246" s="454" t="s">
        <v>3068</v>
      </c>
      <c r="C246" s="385">
        <v>46227</v>
      </c>
      <c r="F246" s="19">
        <v>696</v>
      </c>
      <c r="H246" s="19">
        <v>1000</v>
      </c>
      <c r="I246" s="19">
        <v>1.5</v>
      </c>
    </row>
    <row r="247" spans="1:30">
      <c r="A247" t="s">
        <v>3069</v>
      </c>
      <c r="C247" s="385">
        <v>46227</v>
      </c>
      <c r="D247" t="s">
        <v>3070</v>
      </c>
      <c r="E247">
        <v>60</v>
      </c>
      <c r="F247" s="19">
        <v>699</v>
      </c>
      <c r="H247" s="19">
        <v>1000</v>
      </c>
      <c r="I247" s="19">
        <v>4</v>
      </c>
      <c r="J247">
        <v>200</v>
      </c>
      <c r="K247" s="167">
        <v>100</v>
      </c>
      <c r="L247" s="167">
        <v>400</v>
      </c>
      <c r="M247" s="167">
        <v>35</v>
      </c>
      <c r="O247">
        <v>50</v>
      </c>
      <c r="P247">
        <v>400</v>
      </c>
      <c r="Q247">
        <v>6</v>
      </c>
      <c r="R247" t="s">
        <v>2776</v>
      </c>
      <c r="V247" t="s">
        <v>2936</v>
      </c>
      <c r="X247" t="s">
        <v>2590</v>
      </c>
      <c r="Y247">
        <v>10</v>
      </c>
      <c r="Z247">
        <v>10</v>
      </c>
      <c r="AA247" t="s">
        <v>2938</v>
      </c>
      <c r="AB247" t="s">
        <v>3062</v>
      </c>
      <c r="AC247" t="s">
        <v>3071</v>
      </c>
    </row>
    <row r="248" spans="1:30">
      <c r="A248" s="454" t="s">
        <v>3072</v>
      </c>
      <c r="C248" s="385">
        <v>46228</v>
      </c>
    </row>
    <row r="249" spans="1:30">
      <c r="A249" t="s">
        <v>3073</v>
      </c>
      <c r="C249" s="385">
        <v>46228</v>
      </c>
      <c r="D249" t="s">
        <v>3074</v>
      </c>
      <c r="E249">
        <v>60</v>
      </c>
      <c r="F249" s="19">
        <v>700</v>
      </c>
      <c r="H249" s="19">
        <v>1000</v>
      </c>
      <c r="I249" s="19">
        <v>4</v>
      </c>
      <c r="J249">
        <v>200</v>
      </c>
      <c r="K249" s="167">
        <v>100</v>
      </c>
      <c r="L249" s="167">
        <v>400</v>
      </c>
      <c r="M249" s="167">
        <v>35</v>
      </c>
      <c r="O249">
        <v>50</v>
      </c>
      <c r="P249">
        <v>400</v>
      </c>
      <c r="Q249">
        <v>6</v>
      </c>
      <c r="R249" t="s">
        <v>2776</v>
      </c>
      <c r="V249" t="s">
        <v>2936</v>
      </c>
      <c r="X249" t="s">
        <v>2590</v>
      </c>
      <c r="Y249">
        <v>10</v>
      </c>
      <c r="Z249">
        <v>10</v>
      </c>
      <c r="AA249" t="s">
        <v>2938</v>
      </c>
      <c r="AB249" t="s">
        <v>3062</v>
      </c>
      <c r="AD249" t="s">
        <v>3075</v>
      </c>
    </row>
    <row r="250" spans="1:30">
      <c r="A250" s="454" t="s">
        <v>3076</v>
      </c>
      <c r="C250" s="385">
        <v>46229</v>
      </c>
    </row>
    <row r="251" spans="1:30">
      <c r="A251" t="s">
        <v>3077</v>
      </c>
      <c r="C251" s="385">
        <v>46229</v>
      </c>
      <c r="D251" t="s">
        <v>3078</v>
      </c>
      <c r="E251">
        <v>60</v>
      </c>
      <c r="F251" s="19">
        <v>701</v>
      </c>
      <c r="H251" s="19">
        <v>1000</v>
      </c>
      <c r="I251" s="19">
        <v>4</v>
      </c>
      <c r="J251">
        <v>200</v>
      </c>
      <c r="K251" s="305">
        <v>200</v>
      </c>
      <c r="L251" s="167">
        <v>400</v>
      </c>
      <c r="M251" s="167">
        <v>35</v>
      </c>
      <c r="O251" s="206">
        <v>100</v>
      </c>
      <c r="P251">
        <v>400</v>
      </c>
      <c r="Q251" s="206">
        <v>0.7</v>
      </c>
      <c r="R251" t="s">
        <v>2776</v>
      </c>
      <c r="V251" t="s">
        <v>2936</v>
      </c>
      <c r="X251" t="s">
        <v>2590</v>
      </c>
      <c r="Y251">
        <v>10</v>
      </c>
      <c r="Z251">
        <v>10</v>
      </c>
      <c r="AA251" t="s">
        <v>2938</v>
      </c>
      <c r="AB251" t="s">
        <v>3062</v>
      </c>
      <c r="AD251" t="s">
        <v>3079</v>
      </c>
    </row>
    <row r="252" spans="1:30" s="449" customFormat="1">
      <c r="A252" s="448"/>
      <c r="C252" s="450"/>
      <c r="D252" s="449" t="s">
        <v>3080</v>
      </c>
      <c r="F252" s="451"/>
      <c r="G252" s="451"/>
      <c r="H252" s="451"/>
      <c r="I252" s="451"/>
      <c r="K252" s="452"/>
      <c r="L252" s="452"/>
      <c r="M252" s="452"/>
    </row>
    <row r="253" spans="1:30">
      <c r="A253" t="s">
        <v>3081</v>
      </c>
      <c r="C253" s="385">
        <v>46230</v>
      </c>
      <c r="D253" t="s">
        <v>3078</v>
      </c>
      <c r="E253">
        <v>60</v>
      </c>
      <c r="F253" s="19">
        <v>690</v>
      </c>
      <c r="H253" s="19">
        <v>1000</v>
      </c>
      <c r="I253" s="19">
        <v>4</v>
      </c>
      <c r="J253">
        <v>200</v>
      </c>
      <c r="K253" s="305">
        <v>200</v>
      </c>
      <c r="L253" s="167">
        <v>400</v>
      </c>
      <c r="M253" s="167">
        <v>35</v>
      </c>
      <c r="O253" s="206">
        <v>100</v>
      </c>
      <c r="P253">
        <v>400</v>
      </c>
      <c r="Q253" s="206">
        <v>0.7</v>
      </c>
      <c r="R253" t="s">
        <v>2776</v>
      </c>
      <c r="V253" t="s">
        <v>2936</v>
      </c>
      <c r="X253" t="s">
        <v>2590</v>
      </c>
      <c r="Y253">
        <v>10</v>
      </c>
      <c r="Z253">
        <v>10</v>
      </c>
      <c r="AA253" t="s">
        <v>2938</v>
      </c>
      <c r="AB253" t="s">
        <v>3062</v>
      </c>
    </row>
    <row r="254" spans="1:30" s="449" customFormat="1">
      <c r="A254" s="448"/>
      <c r="C254" s="450"/>
      <c r="D254" s="449" t="s">
        <v>3082</v>
      </c>
      <c r="F254" s="451"/>
      <c r="G254" s="451"/>
      <c r="H254" s="451"/>
      <c r="I254" s="451"/>
      <c r="K254" s="624"/>
      <c r="L254" s="452"/>
      <c r="M254" s="452"/>
      <c r="O254" s="625"/>
      <c r="Q254" s="625"/>
    </row>
    <row r="255" spans="1:30">
      <c r="A255" s="454" t="s">
        <v>3083</v>
      </c>
      <c r="D255" t="s">
        <v>3084</v>
      </c>
    </row>
    <row r="256" spans="1:30">
      <c r="A256" t="s">
        <v>3085</v>
      </c>
      <c r="C256" s="385">
        <v>46231</v>
      </c>
      <c r="D256" t="s">
        <v>3086</v>
      </c>
      <c r="E256">
        <v>60</v>
      </c>
      <c r="G256" s="626">
        <v>488</v>
      </c>
      <c r="H256" s="19">
        <v>1000</v>
      </c>
      <c r="I256" s="19">
        <v>4</v>
      </c>
      <c r="K256" s="305"/>
      <c r="O256" s="206">
        <v>100</v>
      </c>
      <c r="P256">
        <v>400</v>
      </c>
      <c r="Q256" s="206">
        <v>6</v>
      </c>
      <c r="R256" t="s">
        <v>2776</v>
      </c>
      <c r="V256" t="s">
        <v>2936</v>
      </c>
      <c r="X256" t="s">
        <v>2590</v>
      </c>
      <c r="Y256">
        <v>10</v>
      </c>
      <c r="Z256">
        <v>10</v>
      </c>
      <c r="AA256" t="s">
        <v>2938</v>
      </c>
      <c r="AB256" t="s">
        <v>3062</v>
      </c>
      <c r="AC256" t="s">
        <v>3087</v>
      </c>
      <c r="AD256" t="s">
        <v>3088</v>
      </c>
    </row>
    <row r="257" spans="1:32">
      <c r="A257" t="s">
        <v>3089</v>
      </c>
      <c r="B257" t="s">
        <v>3060</v>
      </c>
      <c r="C257" s="385">
        <v>46231</v>
      </c>
      <c r="D257" t="s">
        <v>3060</v>
      </c>
      <c r="E257">
        <v>60</v>
      </c>
      <c r="F257" s="19">
        <v>674</v>
      </c>
      <c r="H257" s="19">
        <v>1000</v>
      </c>
      <c r="I257" s="19">
        <v>4</v>
      </c>
      <c r="J257">
        <v>200</v>
      </c>
      <c r="K257" s="167">
        <v>100</v>
      </c>
      <c r="L257" s="167">
        <v>400</v>
      </c>
      <c r="M257" s="167">
        <v>35</v>
      </c>
      <c r="O257">
        <v>50</v>
      </c>
      <c r="P257">
        <v>400</v>
      </c>
      <c r="Q257">
        <v>6</v>
      </c>
      <c r="R257" t="s">
        <v>2776</v>
      </c>
      <c r="V257" t="s">
        <v>2936</v>
      </c>
      <c r="X257" t="s">
        <v>2590</v>
      </c>
      <c r="Y257">
        <v>10</v>
      </c>
      <c r="Z257">
        <v>10</v>
      </c>
      <c r="AA257" t="s">
        <v>2938</v>
      </c>
      <c r="AB257" t="s">
        <v>3062</v>
      </c>
      <c r="AD257" t="s">
        <v>3090</v>
      </c>
    </row>
    <row r="258" spans="1:32">
      <c r="A258" s="454" t="s">
        <v>3091</v>
      </c>
      <c r="C258" s="385">
        <v>46231</v>
      </c>
    </row>
    <row r="259" spans="1:32">
      <c r="A259" t="s">
        <v>3092</v>
      </c>
      <c r="C259" s="385">
        <v>46231</v>
      </c>
      <c r="D259" t="s">
        <v>3093</v>
      </c>
      <c r="E259" s="206">
        <v>80</v>
      </c>
      <c r="F259" s="19">
        <v>674</v>
      </c>
      <c r="H259" s="19">
        <v>1000</v>
      </c>
      <c r="I259" s="19">
        <v>4</v>
      </c>
      <c r="J259" s="206">
        <v>100</v>
      </c>
      <c r="K259" s="305">
        <v>200</v>
      </c>
      <c r="L259" s="167">
        <v>400</v>
      </c>
      <c r="M259" s="167">
        <v>35</v>
      </c>
      <c r="O259">
        <v>50</v>
      </c>
      <c r="P259">
        <v>400</v>
      </c>
      <c r="Q259">
        <v>6</v>
      </c>
      <c r="R259" t="s">
        <v>2776</v>
      </c>
      <c r="V259" t="s">
        <v>2936</v>
      </c>
      <c r="X259" t="s">
        <v>2590</v>
      </c>
      <c r="Y259">
        <v>10</v>
      </c>
      <c r="Z259">
        <v>10</v>
      </c>
      <c r="AA259" t="s">
        <v>2938</v>
      </c>
      <c r="AB259" t="s">
        <v>3062</v>
      </c>
      <c r="AD259" t="s">
        <v>3094</v>
      </c>
    </row>
    <row r="260" spans="1:32" s="449" customFormat="1">
      <c r="A260" s="448"/>
      <c r="C260" s="450"/>
      <c r="D260" s="449" t="s">
        <v>3095</v>
      </c>
      <c r="F260" s="451"/>
      <c r="G260" s="451"/>
      <c r="H260" s="451"/>
      <c r="I260" s="451"/>
      <c r="K260" s="452"/>
      <c r="L260" s="452"/>
      <c r="M260" s="452"/>
    </row>
    <row r="261" spans="1:32">
      <c r="A261" t="s">
        <v>3096</v>
      </c>
      <c r="C261" s="385">
        <v>46233</v>
      </c>
      <c r="D261" t="s">
        <v>3089</v>
      </c>
      <c r="E261">
        <v>60</v>
      </c>
      <c r="F261" s="19">
        <v>685</v>
      </c>
      <c r="H261" s="19">
        <v>1000</v>
      </c>
      <c r="I261" s="19">
        <v>4</v>
      </c>
      <c r="J261">
        <v>200</v>
      </c>
      <c r="K261" s="167">
        <v>100</v>
      </c>
      <c r="L261" s="167">
        <v>400</v>
      </c>
      <c r="M261" s="167">
        <v>35</v>
      </c>
      <c r="O261">
        <v>50</v>
      </c>
      <c r="P261">
        <v>400</v>
      </c>
      <c r="Q261">
        <v>6</v>
      </c>
      <c r="R261" t="s">
        <v>2776</v>
      </c>
      <c r="V261" t="s">
        <v>2936</v>
      </c>
      <c r="X261" t="s">
        <v>2590</v>
      </c>
      <c r="Y261">
        <v>10</v>
      </c>
      <c r="Z261">
        <v>10</v>
      </c>
      <c r="AA261" t="s">
        <v>2938</v>
      </c>
      <c r="AB261" t="s">
        <v>3062</v>
      </c>
      <c r="AD261" t="s">
        <v>3097</v>
      </c>
    </row>
    <row r="262" spans="1:32">
      <c r="A262" s="454" t="s">
        <v>3098</v>
      </c>
      <c r="C262" s="385">
        <v>46233</v>
      </c>
      <c r="D262" t="s">
        <v>3099</v>
      </c>
      <c r="F262" s="19">
        <v>674</v>
      </c>
      <c r="G262" s="19">
        <v>520</v>
      </c>
      <c r="H262" s="19">
        <v>1000</v>
      </c>
      <c r="AD262" t="s">
        <v>3100</v>
      </c>
    </row>
    <row r="263" spans="1:32">
      <c r="A263" t="s">
        <v>3101</v>
      </c>
      <c r="C263" s="385">
        <v>46233</v>
      </c>
      <c r="D263" t="s">
        <v>3102</v>
      </c>
      <c r="E263">
        <v>60</v>
      </c>
      <c r="F263" s="346">
        <v>660</v>
      </c>
      <c r="H263" s="19">
        <v>1000</v>
      </c>
      <c r="I263" s="19">
        <v>4</v>
      </c>
      <c r="J263">
        <v>200</v>
      </c>
      <c r="K263" s="167">
        <v>100</v>
      </c>
      <c r="L263" s="167">
        <v>400</v>
      </c>
      <c r="M263" s="167">
        <v>35</v>
      </c>
      <c r="O263">
        <v>50</v>
      </c>
      <c r="P263">
        <v>400</v>
      </c>
      <c r="Q263">
        <v>6</v>
      </c>
      <c r="R263" t="s">
        <v>2776</v>
      </c>
      <c r="V263" t="s">
        <v>2936</v>
      </c>
      <c r="X263" t="s">
        <v>2590</v>
      </c>
      <c r="Y263">
        <v>10</v>
      </c>
      <c r="Z263">
        <v>10</v>
      </c>
      <c r="AA263" t="s">
        <v>2938</v>
      </c>
      <c r="AB263" t="s">
        <v>3062</v>
      </c>
      <c r="AD263" t="s">
        <v>3103</v>
      </c>
      <c r="AF263" t="s">
        <v>3104</v>
      </c>
    </row>
    <row r="264" spans="1:32">
      <c r="A264" s="454" t="s">
        <v>3105</v>
      </c>
      <c r="C264" s="385">
        <v>46234</v>
      </c>
      <c r="F264" s="19">
        <v>660</v>
      </c>
      <c r="H264" s="19">
        <v>1000</v>
      </c>
    </row>
    <row r="265" spans="1:32">
      <c r="A265" t="s">
        <v>3106</v>
      </c>
      <c r="B265" t="s">
        <v>3101</v>
      </c>
      <c r="C265" s="385">
        <v>46234</v>
      </c>
      <c r="D265" t="s">
        <v>3107</v>
      </c>
      <c r="E265">
        <v>60</v>
      </c>
      <c r="F265" s="346">
        <v>660</v>
      </c>
      <c r="H265" s="19">
        <v>1000</v>
      </c>
      <c r="I265" s="19">
        <v>4</v>
      </c>
      <c r="J265">
        <v>200</v>
      </c>
      <c r="K265" s="167">
        <v>100</v>
      </c>
      <c r="L265" s="167">
        <v>400</v>
      </c>
      <c r="M265" s="167">
        <v>35</v>
      </c>
      <c r="O265">
        <v>50</v>
      </c>
      <c r="P265">
        <v>400</v>
      </c>
      <c r="Q265">
        <v>6</v>
      </c>
      <c r="R265" t="s">
        <v>2776</v>
      </c>
      <c r="V265" t="s">
        <v>2936</v>
      </c>
      <c r="X265" t="s">
        <v>2590</v>
      </c>
      <c r="Y265">
        <v>10</v>
      </c>
      <c r="Z265">
        <v>10</v>
      </c>
      <c r="AA265" t="s">
        <v>2938</v>
      </c>
      <c r="AB265" t="s">
        <v>3062</v>
      </c>
      <c r="AC265" t="s">
        <v>3108</v>
      </c>
      <c r="AD265" t="s">
        <v>3109</v>
      </c>
    </row>
    <row r="266" spans="1:32">
      <c r="A266" s="454" t="s">
        <v>3110</v>
      </c>
      <c r="C266" s="385">
        <v>46234</v>
      </c>
      <c r="F266" s="19">
        <v>660</v>
      </c>
      <c r="H266" s="19">
        <v>1000</v>
      </c>
      <c r="I266" s="19">
        <v>1.5</v>
      </c>
    </row>
    <row r="267" spans="1:32">
      <c r="A267" t="s">
        <v>3111</v>
      </c>
      <c r="B267" t="s">
        <v>3101</v>
      </c>
      <c r="C267" s="385">
        <v>46237</v>
      </c>
      <c r="E267">
        <v>60</v>
      </c>
      <c r="F267" s="635">
        <v>640</v>
      </c>
      <c r="H267" s="19">
        <v>1000</v>
      </c>
      <c r="I267" s="19">
        <v>4</v>
      </c>
      <c r="J267">
        <v>200</v>
      </c>
      <c r="K267" s="167">
        <v>100</v>
      </c>
      <c r="L267" s="167">
        <v>400</v>
      </c>
      <c r="M267" s="167">
        <v>35</v>
      </c>
      <c r="O267">
        <v>50</v>
      </c>
      <c r="P267">
        <v>400</v>
      </c>
      <c r="Q267">
        <v>6</v>
      </c>
      <c r="R267" t="s">
        <v>2776</v>
      </c>
      <c r="V267" t="s">
        <v>2936</v>
      </c>
      <c r="X267" t="s">
        <v>2590</v>
      </c>
      <c r="Y267">
        <v>10</v>
      </c>
      <c r="Z267">
        <v>10</v>
      </c>
      <c r="AA267" t="s">
        <v>2938</v>
      </c>
      <c r="AB267" t="s">
        <v>3062</v>
      </c>
      <c r="AD267" t="s">
        <v>3112</v>
      </c>
    </row>
    <row r="268" spans="1:32">
      <c r="A268" s="454" t="s">
        <v>3113</v>
      </c>
      <c r="C268" s="385">
        <v>46237</v>
      </c>
      <c r="F268" s="19">
        <v>640</v>
      </c>
      <c r="H268" s="19">
        <v>1000</v>
      </c>
      <c r="I268" s="19">
        <v>1.5</v>
      </c>
    </row>
    <row r="269" spans="1:32">
      <c r="A269" t="s">
        <v>3114</v>
      </c>
      <c r="B269" t="s">
        <v>3101</v>
      </c>
      <c r="C269" s="385">
        <v>46237</v>
      </c>
      <c r="E269">
        <v>60</v>
      </c>
      <c r="F269" s="635">
        <v>620</v>
      </c>
      <c r="H269" s="19">
        <v>1000</v>
      </c>
      <c r="I269" s="19">
        <v>4</v>
      </c>
      <c r="J269">
        <v>200</v>
      </c>
      <c r="K269" s="167">
        <v>100</v>
      </c>
      <c r="L269" s="167">
        <v>400</v>
      </c>
      <c r="M269" s="167">
        <v>35</v>
      </c>
      <c r="O269">
        <v>50</v>
      </c>
      <c r="P269">
        <v>400</v>
      </c>
      <c r="Q269">
        <v>6</v>
      </c>
      <c r="R269" t="s">
        <v>2776</v>
      </c>
      <c r="V269" t="s">
        <v>2936</v>
      </c>
      <c r="X269" t="s">
        <v>2590</v>
      </c>
      <c r="Y269">
        <v>10</v>
      </c>
      <c r="Z269">
        <v>10</v>
      </c>
      <c r="AA269" t="s">
        <v>2938</v>
      </c>
      <c r="AB269" t="s">
        <v>3062</v>
      </c>
      <c r="AD269" t="s">
        <v>3112</v>
      </c>
    </row>
    <row r="270" spans="1:32">
      <c r="A270" s="454" t="s">
        <v>3115</v>
      </c>
      <c r="C270" s="385">
        <v>46237</v>
      </c>
      <c r="F270" s="19">
        <v>620</v>
      </c>
      <c r="H270" s="19">
        <v>1000</v>
      </c>
      <c r="I270" s="19">
        <v>1.5</v>
      </c>
    </row>
    <row r="271" spans="1:32">
      <c r="A271" t="s">
        <v>3116</v>
      </c>
      <c r="B271" t="s">
        <v>3101</v>
      </c>
      <c r="C271" s="385">
        <v>46238</v>
      </c>
      <c r="E271">
        <v>60</v>
      </c>
      <c r="F271" s="635">
        <v>600</v>
      </c>
      <c r="H271" s="19">
        <v>1000</v>
      </c>
      <c r="I271" s="19">
        <v>4</v>
      </c>
      <c r="J271">
        <v>200</v>
      </c>
      <c r="K271" s="167">
        <v>100</v>
      </c>
      <c r="L271" s="167">
        <v>400</v>
      </c>
      <c r="M271" s="167">
        <v>35</v>
      </c>
      <c r="O271">
        <v>50</v>
      </c>
      <c r="P271">
        <v>400</v>
      </c>
      <c r="Q271">
        <v>6</v>
      </c>
      <c r="R271" t="s">
        <v>2776</v>
      </c>
      <c r="V271" t="s">
        <v>2936</v>
      </c>
      <c r="X271" t="s">
        <v>2590</v>
      </c>
      <c r="Y271">
        <v>10</v>
      </c>
      <c r="Z271">
        <v>10</v>
      </c>
      <c r="AA271" t="s">
        <v>2938</v>
      </c>
      <c r="AB271" t="s">
        <v>3062</v>
      </c>
      <c r="AD271" t="s">
        <v>3112</v>
      </c>
    </row>
    <row r="272" spans="1:32">
      <c r="A272" s="454" t="s">
        <v>3117</v>
      </c>
      <c r="C272" s="385">
        <v>46238</v>
      </c>
      <c r="F272" s="19">
        <v>674</v>
      </c>
      <c r="H272" s="19">
        <v>1000</v>
      </c>
      <c r="I272" s="19">
        <v>1.5</v>
      </c>
    </row>
    <row r="273" spans="1:30">
      <c r="A273" t="s">
        <v>3118</v>
      </c>
      <c r="B273" t="s">
        <v>3101</v>
      </c>
      <c r="C273" s="385">
        <v>46238</v>
      </c>
      <c r="E273">
        <v>60</v>
      </c>
      <c r="F273" s="635">
        <v>560</v>
      </c>
      <c r="H273" s="19">
        <v>1000</v>
      </c>
      <c r="I273" s="19">
        <v>4</v>
      </c>
      <c r="J273">
        <v>200</v>
      </c>
      <c r="K273" s="167">
        <v>100</v>
      </c>
      <c r="L273" s="167">
        <v>400</v>
      </c>
      <c r="M273" s="167">
        <v>35</v>
      </c>
      <c r="O273">
        <v>50</v>
      </c>
      <c r="P273">
        <v>400</v>
      </c>
      <c r="Q273">
        <v>6</v>
      </c>
      <c r="R273" t="s">
        <v>2776</v>
      </c>
      <c r="V273" t="s">
        <v>2936</v>
      </c>
      <c r="X273" t="s">
        <v>2590</v>
      </c>
      <c r="Y273">
        <v>10</v>
      </c>
      <c r="Z273">
        <v>10</v>
      </c>
      <c r="AA273" t="s">
        <v>2938</v>
      </c>
      <c r="AB273" t="s">
        <v>3062</v>
      </c>
      <c r="AD273" t="s">
        <v>3112</v>
      </c>
    </row>
    <row r="274" spans="1:30">
      <c r="A274" s="454" t="s">
        <v>3119</v>
      </c>
      <c r="C274" s="385">
        <v>46239</v>
      </c>
      <c r="F274" s="19">
        <v>674</v>
      </c>
      <c r="H274" s="19">
        <v>1000</v>
      </c>
      <c r="I274" s="19">
        <v>1.5</v>
      </c>
    </row>
    <row r="275" spans="1:30">
      <c r="A275" t="s">
        <v>3120</v>
      </c>
      <c r="B275" t="s">
        <v>3101</v>
      </c>
      <c r="C275" s="385">
        <v>46239</v>
      </c>
      <c r="E275">
        <v>60</v>
      </c>
      <c r="F275" s="635">
        <v>520</v>
      </c>
      <c r="H275" s="19">
        <v>1000</v>
      </c>
      <c r="I275" s="19">
        <v>4</v>
      </c>
      <c r="J275">
        <v>200</v>
      </c>
      <c r="K275" s="167">
        <v>100</v>
      </c>
      <c r="L275" s="167">
        <v>400</v>
      </c>
      <c r="M275" s="167">
        <v>35</v>
      </c>
      <c r="O275">
        <v>50</v>
      </c>
      <c r="P275">
        <v>400</v>
      </c>
      <c r="Q275">
        <v>6</v>
      </c>
      <c r="R275" t="s">
        <v>2776</v>
      </c>
      <c r="V275" t="s">
        <v>2936</v>
      </c>
      <c r="X275" t="s">
        <v>2590</v>
      </c>
      <c r="Y275">
        <v>10</v>
      </c>
      <c r="Z275">
        <v>10</v>
      </c>
      <c r="AA275" t="s">
        <v>2938</v>
      </c>
      <c r="AB275" t="s">
        <v>3062</v>
      </c>
      <c r="AD275" t="s">
        <v>3112</v>
      </c>
    </row>
    <row r="276" spans="1:30">
      <c r="A276" s="454" t="s">
        <v>3121</v>
      </c>
      <c r="C276" s="385">
        <v>46239</v>
      </c>
      <c r="E276">
        <v>80</v>
      </c>
      <c r="F276" s="19">
        <v>674</v>
      </c>
      <c r="H276" s="19">
        <v>1000</v>
      </c>
      <c r="I276" s="19">
        <v>1.5</v>
      </c>
    </row>
    <row r="277" spans="1:30">
      <c r="A277" t="s">
        <v>3122</v>
      </c>
      <c r="B277" t="s">
        <v>3101</v>
      </c>
      <c r="C277" s="385">
        <v>46240</v>
      </c>
      <c r="E277">
        <v>60</v>
      </c>
      <c r="F277" s="635">
        <v>440</v>
      </c>
      <c r="H277" s="19">
        <v>1000</v>
      </c>
      <c r="I277" s="19">
        <v>4</v>
      </c>
      <c r="J277">
        <v>200</v>
      </c>
      <c r="K277" s="167">
        <v>100</v>
      </c>
      <c r="L277" s="167">
        <v>400</v>
      </c>
      <c r="M277" s="167">
        <v>35</v>
      </c>
      <c r="O277">
        <v>50</v>
      </c>
      <c r="P277">
        <v>400</v>
      </c>
      <c r="Q277">
        <v>6</v>
      </c>
      <c r="R277" t="s">
        <v>2776</v>
      </c>
      <c r="V277" t="s">
        <v>2936</v>
      </c>
      <c r="X277" t="s">
        <v>2590</v>
      </c>
      <c r="Y277">
        <v>10</v>
      </c>
      <c r="Z277">
        <v>10</v>
      </c>
      <c r="AA277" t="s">
        <v>2938</v>
      </c>
      <c r="AB277" t="s">
        <v>3062</v>
      </c>
      <c r="AD277" t="s">
        <v>3112</v>
      </c>
    </row>
    <row r="278" spans="1:30">
      <c r="A278" s="454" t="s">
        <v>3123</v>
      </c>
      <c r="C278" s="385">
        <v>46240</v>
      </c>
      <c r="E278">
        <v>80</v>
      </c>
      <c r="F278" s="19">
        <v>674</v>
      </c>
      <c r="H278" s="19">
        <v>1000</v>
      </c>
      <c r="I278" s="19">
        <v>1.5</v>
      </c>
    </row>
    <row r="279" spans="1:30">
      <c r="A279" t="s">
        <v>3124</v>
      </c>
      <c r="C279" s="385">
        <v>46240</v>
      </c>
      <c r="D279" t="s">
        <v>3125</v>
      </c>
      <c r="E279">
        <v>60</v>
      </c>
      <c r="F279" s="19">
        <v>440</v>
      </c>
      <c r="H279" s="19">
        <v>1000</v>
      </c>
      <c r="I279" s="19">
        <v>4</v>
      </c>
      <c r="J279">
        <v>300</v>
      </c>
      <c r="O279">
        <v>50</v>
      </c>
      <c r="P279">
        <v>400</v>
      </c>
      <c r="Q279">
        <v>6</v>
      </c>
      <c r="R279" t="s">
        <v>2776</v>
      </c>
      <c r="V279" t="s">
        <v>2936</v>
      </c>
      <c r="X279" t="s">
        <v>2590</v>
      </c>
      <c r="Y279">
        <v>10</v>
      </c>
      <c r="Z279">
        <v>10</v>
      </c>
      <c r="AA279" t="s">
        <v>2938</v>
      </c>
      <c r="AB279" t="s">
        <v>3062</v>
      </c>
      <c r="AD279" t="s">
        <v>3126</v>
      </c>
    </row>
    <row r="280" spans="1:30">
      <c r="A280" t="s">
        <v>3127</v>
      </c>
      <c r="C280" s="385">
        <v>46240</v>
      </c>
      <c r="E280">
        <v>60</v>
      </c>
      <c r="F280" s="635">
        <v>360</v>
      </c>
      <c r="H280" s="19">
        <v>1000</v>
      </c>
      <c r="I280" s="19">
        <v>4</v>
      </c>
      <c r="J280">
        <v>200</v>
      </c>
      <c r="K280" s="167">
        <v>100</v>
      </c>
      <c r="L280" s="167">
        <v>400</v>
      </c>
      <c r="M280" s="167">
        <v>35</v>
      </c>
      <c r="O280">
        <v>50</v>
      </c>
      <c r="P280">
        <v>400</v>
      </c>
      <c r="Q280">
        <v>6</v>
      </c>
      <c r="R280" t="s">
        <v>2776</v>
      </c>
      <c r="V280" t="s">
        <v>2936</v>
      </c>
      <c r="X280" t="s">
        <v>2590</v>
      </c>
      <c r="Y280">
        <v>10</v>
      </c>
      <c r="Z280">
        <v>10</v>
      </c>
      <c r="AA280" t="s">
        <v>2938</v>
      </c>
      <c r="AB280" t="s">
        <v>3062</v>
      </c>
      <c r="AD280" t="s">
        <v>3128</v>
      </c>
    </row>
    <row r="281" spans="1:30">
      <c r="A281" s="454" t="s">
        <v>3129</v>
      </c>
      <c r="C281" s="385">
        <v>46241</v>
      </c>
    </row>
    <row r="282" spans="1:30">
      <c r="A282" t="s">
        <v>3130</v>
      </c>
      <c r="C282" s="385">
        <v>46241</v>
      </c>
      <c r="D282" t="s">
        <v>3131</v>
      </c>
      <c r="E282">
        <v>60</v>
      </c>
      <c r="F282" s="19">
        <v>360</v>
      </c>
      <c r="H282" s="19">
        <v>1000</v>
      </c>
      <c r="I282" s="19">
        <v>4</v>
      </c>
      <c r="J282">
        <v>250</v>
      </c>
      <c r="K282" s="167">
        <v>100</v>
      </c>
      <c r="L282" s="167">
        <v>400</v>
      </c>
      <c r="M282" s="167">
        <v>35</v>
      </c>
      <c r="O282" s="563">
        <v>0</v>
      </c>
      <c r="Q282">
        <v>6</v>
      </c>
      <c r="R282" t="s">
        <v>2776</v>
      </c>
      <c r="V282" t="s">
        <v>2936</v>
      </c>
      <c r="X282" t="s">
        <v>2590</v>
      </c>
      <c r="Y282">
        <v>10</v>
      </c>
      <c r="Z282">
        <v>10</v>
      </c>
      <c r="AA282" t="s">
        <v>2938</v>
      </c>
      <c r="AB282" t="s">
        <v>3062</v>
      </c>
      <c r="AD282" t="s">
        <v>3132</v>
      </c>
    </row>
    <row r="283" spans="1:30">
      <c r="A283" t="s">
        <v>3133</v>
      </c>
      <c r="C283" s="385">
        <v>46241</v>
      </c>
    </row>
    <row r="284" spans="1:30">
      <c r="A284" t="s">
        <v>3134</v>
      </c>
      <c r="C284" s="385">
        <v>46241</v>
      </c>
      <c r="E284">
        <v>60</v>
      </c>
      <c r="F284" s="19">
        <v>360</v>
      </c>
      <c r="H284" s="19">
        <v>1000</v>
      </c>
      <c r="I284" s="19">
        <v>4</v>
      </c>
      <c r="J284" s="563" t="s">
        <v>3135</v>
      </c>
      <c r="K284" s="167">
        <v>100</v>
      </c>
      <c r="L284" s="167">
        <v>400</v>
      </c>
      <c r="M284" s="167">
        <v>35</v>
      </c>
      <c r="O284">
        <v>50</v>
      </c>
      <c r="P284">
        <v>400</v>
      </c>
      <c r="Q284">
        <v>6</v>
      </c>
      <c r="R284" t="s">
        <v>2776</v>
      </c>
      <c r="V284" t="s">
        <v>2936</v>
      </c>
      <c r="X284" s="563" t="s">
        <v>2772</v>
      </c>
      <c r="Y284">
        <v>10</v>
      </c>
      <c r="Z284">
        <v>10</v>
      </c>
      <c r="AA284" t="s">
        <v>2938</v>
      </c>
      <c r="AB284" t="s">
        <v>3062</v>
      </c>
      <c r="AD284" t="s">
        <v>3136</v>
      </c>
    </row>
    <row r="285" spans="1:30">
      <c r="A285" t="s">
        <v>3137</v>
      </c>
      <c r="C285" s="385">
        <v>46244</v>
      </c>
      <c r="E285">
        <v>80</v>
      </c>
      <c r="F285" s="346">
        <v>660</v>
      </c>
      <c r="H285" s="19">
        <v>1000</v>
      </c>
      <c r="I285" s="19">
        <v>4</v>
      </c>
      <c r="J285">
        <v>200</v>
      </c>
      <c r="O285">
        <v>100</v>
      </c>
      <c r="P285">
        <v>400</v>
      </c>
      <c r="Q285">
        <v>6</v>
      </c>
      <c r="R285" t="s">
        <v>2776</v>
      </c>
      <c r="V285" t="s">
        <v>2936</v>
      </c>
      <c r="X285" t="s">
        <v>2590</v>
      </c>
      <c r="Y285">
        <v>10</v>
      </c>
      <c r="Z285">
        <v>10</v>
      </c>
    </row>
    <row r="286" spans="1:30">
      <c r="A286" t="s">
        <v>3138</v>
      </c>
      <c r="B286" t="s">
        <v>3127</v>
      </c>
      <c r="C286" s="385">
        <v>46244</v>
      </c>
      <c r="D286" t="s">
        <v>3139</v>
      </c>
      <c r="E286">
        <v>60</v>
      </c>
      <c r="F286" s="346">
        <v>360</v>
      </c>
      <c r="H286" s="19">
        <v>1000</v>
      </c>
      <c r="I286" s="19">
        <v>4</v>
      </c>
      <c r="J286">
        <v>200</v>
      </c>
      <c r="K286" s="717">
        <v>100</v>
      </c>
      <c r="L286" s="717">
        <v>400</v>
      </c>
      <c r="M286" s="717">
        <v>35</v>
      </c>
      <c r="N286" s="563"/>
      <c r="O286" s="563">
        <v>50</v>
      </c>
      <c r="P286" s="563">
        <v>400</v>
      </c>
      <c r="Q286" s="563">
        <v>6</v>
      </c>
      <c r="R286" t="s">
        <v>2776</v>
      </c>
      <c r="V286" t="s">
        <v>2936</v>
      </c>
      <c r="X286">
        <v>100</v>
      </c>
      <c r="Y286">
        <v>10</v>
      </c>
      <c r="Z286">
        <v>10</v>
      </c>
      <c r="AA286" t="s">
        <v>2938</v>
      </c>
      <c r="AB286" t="s">
        <v>3062</v>
      </c>
      <c r="AC286" t="s">
        <v>3140</v>
      </c>
    </row>
    <row r="287" spans="1:30">
      <c r="A287" t="s">
        <v>3141</v>
      </c>
      <c r="C287" s="385">
        <v>46244</v>
      </c>
    </row>
    <row r="288" spans="1:30">
      <c r="A288" t="s">
        <v>3142</v>
      </c>
      <c r="C288" s="385">
        <v>46244</v>
      </c>
      <c r="E288">
        <v>60</v>
      </c>
      <c r="F288" s="346">
        <v>360</v>
      </c>
      <c r="H288" s="19">
        <v>1000</v>
      </c>
      <c r="I288" s="19">
        <v>4</v>
      </c>
      <c r="J288">
        <v>100</v>
      </c>
      <c r="K288" s="717">
        <v>100</v>
      </c>
      <c r="L288" s="717">
        <v>400</v>
      </c>
      <c r="M288" s="717">
        <v>35</v>
      </c>
      <c r="N288" s="563"/>
      <c r="O288" s="563">
        <v>50</v>
      </c>
      <c r="P288" s="563">
        <v>400</v>
      </c>
      <c r="Q288" s="563">
        <v>6</v>
      </c>
      <c r="R288" t="s">
        <v>2776</v>
      </c>
      <c r="V288" t="s">
        <v>2936</v>
      </c>
      <c r="X288">
        <v>0</v>
      </c>
      <c r="Y288">
        <v>10</v>
      </c>
      <c r="Z288">
        <v>10</v>
      </c>
      <c r="AA288" t="s">
        <v>2938</v>
      </c>
      <c r="AB288" t="s">
        <v>3062</v>
      </c>
    </row>
    <row r="289" spans="1:28">
      <c r="A289" t="s">
        <v>3143</v>
      </c>
      <c r="C289" s="385">
        <v>46245</v>
      </c>
      <c r="E289">
        <v>80</v>
      </c>
      <c r="F289" s="346">
        <v>660</v>
      </c>
      <c r="H289" s="19">
        <v>1000</v>
      </c>
      <c r="I289" s="19">
        <v>4</v>
      </c>
      <c r="J289">
        <v>200</v>
      </c>
      <c r="O289">
        <v>100</v>
      </c>
      <c r="P289">
        <v>400</v>
      </c>
      <c r="Q289">
        <v>6</v>
      </c>
      <c r="R289" t="s">
        <v>2776</v>
      </c>
      <c r="V289" t="s">
        <v>2936</v>
      </c>
      <c r="X289" t="s">
        <v>2590</v>
      </c>
      <c r="Y289">
        <v>10</v>
      </c>
      <c r="Z289">
        <v>10</v>
      </c>
    </row>
    <row r="290" spans="1:28">
      <c r="A290" t="s">
        <v>3144</v>
      </c>
      <c r="C290" s="385">
        <v>46245</v>
      </c>
      <c r="D290" t="s">
        <v>1066</v>
      </c>
      <c r="AA290" t="s">
        <v>2938</v>
      </c>
      <c r="AB290" t="s">
        <v>3062</v>
      </c>
    </row>
    <row r="291" spans="1:28">
      <c r="A291" t="s">
        <v>3145</v>
      </c>
      <c r="C291" s="385">
        <v>46245</v>
      </c>
      <c r="E291">
        <v>60</v>
      </c>
      <c r="F291" s="346">
        <v>360</v>
      </c>
      <c r="H291" s="19">
        <v>1000</v>
      </c>
      <c r="I291" s="19">
        <v>4</v>
      </c>
      <c r="J291">
        <v>100</v>
      </c>
      <c r="K291" s="167">
        <v>100</v>
      </c>
      <c r="L291" s="167">
        <v>400</v>
      </c>
      <c r="M291" s="167">
        <v>35</v>
      </c>
      <c r="O291">
        <v>50</v>
      </c>
      <c r="P291">
        <v>400</v>
      </c>
      <c r="Q291">
        <v>6</v>
      </c>
      <c r="R291" t="s">
        <v>2776</v>
      </c>
      <c r="V291">
        <v>120</v>
      </c>
      <c r="W291">
        <v>12</v>
      </c>
      <c r="X291">
        <v>0</v>
      </c>
      <c r="Y291">
        <v>10</v>
      </c>
      <c r="Z291">
        <v>10</v>
      </c>
      <c r="AA291" t="s">
        <v>2938</v>
      </c>
      <c r="AB291" t="s">
        <v>3062</v>
      </c>
    </row>
  </sheetData>
  <mergeCells count="5">
    <mergeCell ref="D46:D49"/>
    <mergeCell ref="D50:D52"/>
    <mergeCell ref="K1:M1"/>
    <mergeCell ref="S1:U1"/>
    <mergeCell ref="D42:D45"/>
  </mergeCells>
  <phoneticPr fontId="5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D4872F720D4A9741754DB48F70F7" ma:contentTypeVersion="13" ma:contentTypeDescription="Create a new document." ma:contentTypeScope="" ma:versionID="02d50721088f62a5e72a8ab43c3726db">
  <xsd:schema xmlns:xsd="http://www.w3.org/2001/XMLSchema" xmlns:xs="http://www.w3.org/2001/XMLSchema" xmlns:p="http://schemas.microsoft.com/office/2006/metadata/properties" xmlns:ns2="646575f6-624e-43c6-b32c-beae8f69cfb6" xmlns:ns3="2887cdf2-6329-44b0-af2a-318c787ac7f4" targetNamespace="http://schemas.microsoft.com/office/2006/metadata/properties" ma:root="true" ma:fieldsID="02c2468499961ec5b8c3f0dfb39706d1" ns2:_="" ns3:_="">
    <xsd:import namespace="646575f6-624e-43c6-b32c-beae8f69cfb6"/>
    <xsd:import namespace="2887cdf2-6329-44b0-af2a-318c787ac7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6575f6-624e-43c6-b32c-beae8f69cf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c7e8c5a-b1cc-40dd-93b5-d71e127854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87cdf2-6329-44b0-af2a-318c787ac7f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e26c70b-6b2e-4d0b-a74c-b2fdfebf1b58}" ma:internalName="TaxCatchAll" ma:showField="CatchAllData" ma:web="2887cdf2-6329-44b0-af2a-318c787ac7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887cdf2-6329-44b0-af2a-318c787ac7f4" xsi:nil="true"/>
    <lcf76f155ced4ddcb4097134ff3c332f xmlns="646575f6-624e-43c6-b32c-beae8f69cfb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DFA07A-3F3B-4DE0-9654-AA66F485CA44}"/>
</file>

<file path=customXml/itemProps2.xml><?xml version="1.0" encoding="utf-8"?>
<ds:datastoreItem xmlns:ds="http://schemas.openxmlformats.org/officeDocument/2006/customXml" ds:itemID="{82563E1A-2B0C-4759-966A-530809A07F32}"/>
</file>

<file path=customXml/itemProps3.xml><?xml version="1.0" encoding="utf-8"?>
<ds:datastoreItem xmlns:ds="http://schemas.openxmlformats.org/officeDocument/2006/customXml" ds:itemID="{7E91876D-2669-4528-A363-AFF9E531B6E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Jing-Kai Huang</dc:creator>
  <cp:keywords/>
  <dc:description/>
  <cp:lastModifiedBy/>
  <cp:revision/>
  <dcterms:created xsi:type="dcterms:W3CDTF">2025-11-25T15:11:14Z</dcterms:created>
  <dcterms:modified xsi:type="dcterms:W3CDTF">2026-08-11T14:13:42Z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0x010100D9CBD4872F720D4A9741754DB48F70F7</vt:lpwstr>
  </property>
  <property fmtid="{D5CDD505-2E9C-101B-9397-08002B2CF9AE}" pid="3" name="MediaServiceImageTags">
    <vt:lpwstr/>
  </property>
</Properties>
</file>